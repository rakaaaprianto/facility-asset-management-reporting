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ALERT" sheetId="1" r:id="rId1"/>
    <sheet name="Consume &amp; Cost" sheetId="2" r:id="rId2"/>
    <sheet name="Status &amp; Utilisasi gedung" sheetId="3" r:id="rId3"/>
    <sheet name="Asset management" sheetId="4" r:id="rId4"/>
  </sheets>
  <externalReferences>
    <externalReference r:id="rId5"/>
  </externalReferences>
  <calcPr calcId="124519"/>
</workbook>
</file>

<file path=xl/calcChain.xml><?xml version="1.0" encoding="utf-8"?>
<calcChain xmlns="http://schemas.openxmlformats.org/spreadsheetml/2006/main">
  <c r="C65" i="1"/>
  <c r="D48" i="3"/>
  <c r="G28" l="1"/>
  <c r="I5"/>
  <c r="D41"/>
  <c r="C41"/>
  <c r="F11" i="2" l="1"/>
</calcChain>
</file>

<file path=xl/sharedStrings.xml><?xml version="1.0" encoding="utf-8"?>
<sst xmlns="http://schemas.openxmlformats.org/spreadsheetml/2006/main" count="248" uniqueCount="208">
  <si>
    <t>Penyediaan Air Mineral</t>
  </si>
  <si>
    <t>NAMA PKS</t>
  </si>
  <si>
    <t>LOKASI MITRA</t>
  </si>
  <si>
    <t>MEDAN</t>
  </si>
  <si>
    <t>NOMOR PKS</t>
  </si>
  <si>
    <t>003/IN/MITRA/LEGL-COPR/25</t>
  </si>
  <si>
    <t>MITRA</t>
  </si>
  <si>
    <t>PT. SINAR SOSRO GUNUNG SLAMET</t>
  </si>
  <si>
    <t>Penyediaan Jasa Maintenance Support Dan Service Air Conditioning</t>
  </si>
  <si>
    <t>003/IN/ADD-MITRA/LEGL-COPR/25</t>
  </si>
  <si>
    <t>PT. SINAR REZEKIMAS MAKMUR</t>
  </si>
  <si>
    <t>Penyediaan jasa Borongan Pengelolaan Gedung Infomedia Gatsu Medan</t>
  </si>
  <si>
    <t>002/IN/ADD-MITRA/LEGL-COPR/26</t>
  </si>
  <si>
    <t>PT. GRAHA SARANA DUTA</t>
  </si>
  <si>
    <t>013/IN/ADD-MITRA/LEGL-CORP/25</t>
  </si>
  <si>
    <t>PT.Mandiri Idmica Bersaudara</t>
  </si>
  <si>
    <t>JAKARTA</t>
  </si>
  <si>
    <t>MASA AKTIF PKS</t>
  </si>
  <si>
    <t>31 Des '27</t>
  </si>
  <si>
    <t>31 JAN '27</t>
  </si>
  <si>
    <t>31 Des '26</t>
  </si>
  <si>
    <t>31 OKT 2027</t>
  </si>
  <si>
    <t>Maintenance UPS</t>
  </si>
  <si>
    <t>018/IN/ADD-MITRA/LEGL-CORP/25</t>
  </si>
  <si>
    <t>Pest ControL</t>
  </si>
  <si>
    <t>29 OKT 2028</t>
  </si>
  <si>
    <t>PT. Insekta Fokustama</t>
  </si>
  <si>
    <t xml:space="preserve">022/IN/ADD-MITRA/LEGL-CORP/26 </t>
  </si>
  <si>
    <t xml:space="preserve">Jasa Keamanan BABINSA </t>
  </si>
  <si>
    <t>31 DES 2026</t>
  </si>
  <si>
    <t>PT MEDIA PRIMA HR SOLUTIONS</t>
  </si>
  <si>
    <t>SERVICE LIFT</t>
  </si>
  <si>
    <t>NON PKS</t>
  </si>
  <si>
    <t>TEKNISI</t>
  </si>
  <si>
    <t>SERVICE GENSET</t>
  </si>
  <si>
    <t>ONE TIME CAS</t>
  </si>
  <si>
    <t>ON PENGADAAN BY SP</t>
  </si>
  <si>
    <t>I.</t>
  </si>
  <si>
    <t>URAIAN PROJECK</t>
  </si>
  <si>
    <t>PEMBUATAN TANGGA DARURAT GATSU</t>
  </si>
  <si>
    <t>PEREMAJAAN UPS GATSU</t>
  </si>
  <si>
    <t>TARGET</t>
  </si>
  <si>
    <t>DRAFT JIB</t>
  </si>
  <si>
    <t>FINALISASI JIB</t>
  </si>
  <si>
    <t>STATUS SAAT INI</t>
  </si>
  <si>
    <t>ACTION</t>
  </si>
  <si>
    <t>JUST WAITING/REMAIND MAS KHAIRUN</t>
  </si>
  <si>
    <t>Q3 2026 (30 SEPT '26)</t>
  </si>
  <si>
    <t>1. STATUS PKS</t>
  </si>
  <si>
    <t>2. DUE DATE PROJECK</t>
  </si>
  <si>
    <t>MAPPING PEMENUHAN SMK3 ALL SITE</t>
  </si>
  <si>
    <t>MAPPING RESTRICTED AREA ALL SITE</t>
  </si>
  <si>
    <t xml:space="preserve">INVENTARISIR ASET GATSU </t>
  </si>
  <si>
    <t xml:space="preserve">CC MESTIKA </t>
  </si>
  <si>
    <t>DONE</t>
  </si>
  <si>
    <t>CC BANK SUMUT</t>
  </si>
  <si>
    <t>TAFF FMC TELKOMSEL</t>
  </si>
  <si>
    <t>BILLCO TELKOMSEL</t>
  </si>
  <si>
    <t>ON PROSES</t>
  </si>
  <si>
    <t>12 KRITEIA AUDIT SMK3</t>
  </si>
  <si>
    <t>FORMAT DONE</t>
  </si>
  <si>
    <t>PENGISIAN OLEH MASING MASING SITE</t>
  </si>
  <si>
    <t>KETERANGAN</t>
  </si>
  <si>
    <t>CEK LIST K3</t>
  </si>
  <si>
    <t>SDH TERMAPING</t>
  </si>
  <si>
    <t>FREKUENSI</t>
  </si>
  <si>
    <t>JADWAL 2026</t>
  </si>
  <si>
    <t>REALISASI JAN - JULI '26</t>
  </si>
  <si>
    <t>AGUS '26</t>
  </si>
  <si>
    <t>Per 4 Bulan</t>
  </si>
  <si>
    <t xml:space="preserve">APRIL, AGUS, DES </t>
  </si>
  <si>
    <t>APRIL</t>
  </si>
  <si>
    <t>Per 3 Bulan</t>
  </si>
  <si>
    <t>FEB, MEI, AGUS, NOV</t>
  </si>
  <si>
    <t>10 FEB; 25 MEI</t>
  </si>
  <si>
    <t>1X PER Bulan</t>
  </si>
  <si>
    <t>JAN - DES</t>
  </si>
  <si>
    <t>service besar 1X/THN</t>
  </si>
  <si>
    <t xml:space="preserve">OKT </t>
  </si>
  <si>
    <t>SUDAH TERMAPPING</t>
  </si>
  <si>
    <t>ON PROSES REKAP UNTUK REPORT</t>
  </si>
  <si>
    <t>BA SDH DI TTD</t>
  </si>
  <si>
    <t>ON PROSES TTD BA</t>
  </si>
  <si>
    <r>
      <t xml:space="preserve">SERVICE </t>
    </r>
    <r>
      <rPr>
        <b/>
        <sz val="12"/>
        <color theme="1"/>
        <rFont val="Calibri"/>
        <family val="2"/>
        <scheme val="minor"/>
      </rPr>
      <t xml:space="preserve">AC </t>
    </r>
    <r>
      <rPr>
        <b/>
        <sz val="11"/>
        <color theme="1"/>
        <rFont val="Calibri"/>
        <family val="2"/>
        <scheme val="minor"/>
      </rPr>
      <t>RUTIN</t>
    </r>
  </si>
  <si>
    <t>SERVICE UPS RUTIN</t>
  </si>
  <si>
    <r>
      <t xml:space="preserve">SERVICE </t>
    </r>
    <r>
      <rPr>
        <b/>
        <sz val="12"/>
        <color theme="1"/>
        <rFont val="Calibri"/>
        <family val="2"/>
        <scheme val="minor"/>
      </rPr>
      <t>LIFT</t>
    </r>
    <r>
      <rPr>
        <b/>
        <sz val="11"/>
        <color theme="1"/>
        <rFont val="Calibri"/>
        <family val="2"/>
        <scheme val="minor"/>
      </rPr>
      <t xml:space="preserve"> RUTIN</t>
    </r>
  </si>
  <si>
    <t>MAINTENANCE MANDIRI</t>
  </si>
  <si>
    <t>JAN</t>
  </si>
  <si>
    <t>FEB</t>
  </si>
  <si>
    <t>MAR</t>
  </si>
  <si>
    <t>MEI</t>
  </si>
  <si>
    <t>JUNI</t>
  </si>
  <si>
    <t>JULI</t>
  </si>
  <si>
    <t>AGUS</t>
  </si>
  <si>
    <t>SEP</t>
  </si>
  <si>
    <t>OKT</t>
  </si>
  <si>
    <t>NOV</t>
  </si>
  <si>
    <t>DES</t>
  </si>
  <si>
    <t>TOTAL</t>
  </si>
  <si>
    <t>MAINTENANCE BY MITRA</t>
  </si>
  <si>
    <t>4. NEAR MISS &amp; INCIDENT</t>
  </si>
  <si>
    <t>KATAGORI</t>
  </si>
  <si>
    <t>URAIAN KEJADIAN</t>
  </si>
  <si>
    <t>TANGGAL KEJADIAN</t>
  </si>
  <si>
    <t>NIHIL</t>
  </si>
  <si>
    <t>ALERT</t>
  </si>
  <si>
    <t>PDAM</t>
  </si>
  <si>
    <t>BIAYA LISTRIK</t>
  </si>
  <si>
    <t>PEMAKAIAN KWH</t>
  </si>
  <si>
    <t>PEMAKAIAN SOLAR (Liter)</t>
  </si>
  <si>
    <t>STOCK SOLAR (Liter)</t>
  </si>
  <si>
    <t>Gol tarif N.3 (m3)</t>
  </si>
  <si>
    <t>beli 170 liter saat black out dan badai, total jam hidup genset 24 jam</t>
  </si>
  <si>
    <t>24 jam x 20 liter = 440 liter</t>
  </si>
  <si>
    <t>CONSUME &amp; COST</t>
  </si>
  <si>
    <t>LAYANAN (USER)</t>
  </si>
  <si>
    <t xml:space="preserve"> Luas     (M2) </t>
  </si>
  <si>
    <t>Total Seat</t>
  </si>
  <si>
    <t>Used (seat)</t>
  </si>
  <si>
    <t>Idle (seat)</t>
  </si>
  <si>
    <t>Jumlah SDM</t>
  </si>
  <si>
    <t xml:space="preserve">CC BANK SUMUT lt. 1 </t>
  </si>
  <si>
    <t xml:space="preserve">HR SSO lt. 1 </t>
  </si>
  <si>
    <t xml:space="preserve">CC BANK MESTIKA lt. 1  </t>
  </si>
  <si>
    <t xml:space="preserve">OBC FMC PRODUCT STAGE-2 (TAFF) lt. 1 &amp; 2 (lt. 1 =219 m2 &amp; lt. 2 = 219 m2) </t>
  </si>
  <si>
    <t xml:space="preserve">COLLECTION CONVERGENCY T. SEL AREA-1 lt. 3  </t>
  </si>
  <si>
    <t xml:space="preserve">R. IDLE  lt. 2  </t>
  </si>
  <si>
    <t xml:space="preserve">3. Churn possibility      </t>
  </si>
  <si>
    <t>Site</t>
  </si>
  <si>
    <t>Jumlah Layanan</t>
  </si>
  <si>
    <t>Seat Idle</t>
  </si>
  <si>
    <t>Occupancy</t>
  </si>
  <si>
    <t>Gatsu Medan</t>
  </si>
  <si>
    <t>Luas R.Layanan</t>
  </si>
  <si>
    <t>Total Seat layanan</t>
  </si>
  <si>
    <t xml:space="preserve">Used Seat </t>
  </si>
  <si>
    <t>Anggota</t>
  </si>
  <si>
    <t>Mitra</t>
  </si>
  <si>
    <t>GSD</t>
  </si>
  <si>
    <t>Jasa</t>
  </si>
  <si>
    <t>Danru/UL</t>
  </si>
  <si>
    <t>Kebersihan</t>
  </si>
  <si>
    <t>Keamanan</t>
  </si>
  <si>
    <t>ME</t>
  </si>
  <si>
    <t xml:space="preserve">1. UTILISASI GEDUNG      </t>
  </si>
  <si>
    <t>4. KEAMANAN, KEBERSIHAN, ME</t>
  </si>
  <si>
    <t>Layanan/Support</t>
  </si>
  <si>
    <t>CC Bank Sumut</t>
  </si>
  <si>
    <t>CC bank Mestika</t>
  </si>
  <si>
    <t>OBC FMC PRODUCT STAGE-2 (TAFF)</t>
  </si>
  <si>
    <t>BILLCO (COLLECTION CONVERGENCY T. SEL AREA-1)</t>
  </si>
  <si>
    <t>HR SSO</t>
  </si>
  <si>
    <t>Site Manager</t>
  </si>
  <si>
    <t>CS/OB</t>
  </si>
  <si>
    <t>Security</t>
  </si>
  <si>
    <t>Teknisi</t>
  </si>
  <si>
    <t>JULI '26</t>
  </si>
  <si>
    <t>AGUSTUS '26</t>
  </si>
  <si>
    <t>Status Gedung</t>
  </si>
  <si>
    <t>Milik Sendiri</t>
  </si>
  <si>
    <t xml:space="preserve">2. Booking status </t>
  </si>
  <si>
    <t xml:space="preserve">Open invoice      </t>
  </si>
  <si>
    <t xml:space="preserve">Invoice terproses       </t>
  </si>
  <si>
    <t xml:space="preserve">invoice paid      </t>
  </si>
  <si>
    <t xml:space="preserve"> Incident Petty cash status</t>
  </si>
  <si>
    <t>Penyerapan RKAP capex &amp; opex</t>
  </si>
  <si>
    <t>INVOICE &amp; FAINANCIAL</t>
  </si>
  <si>
    <t>NO</t>
  </si>
  <si>
    <t>URAIAN</t>
  </si>
  <si>
    <t>STATUS</t>
  </si>
  <si>
    <t>NAMA TAGIHAN</t>
  </si>
  <si>
    <t>NILAI TAGIHAN</t>
  </si>
  <si>
    <t>SEPT '26</t>
  </si>
  <si>
    <t>30 AGUS '26</t>
  </si>
  <si>
    <t>sampai tanggal 4 sept belum terbit</t>
  </si>
  <si>
    <t>5. LAYANAN AKTIF   &amp; JUMLAH SDM PER 31 AGUSTUS 2026</t>
  </si>
  <si>
    <t>6. JUMLAH KARYAWAN PER 31 AGUSTUS 2026</t>
  </si>
  <si>
    <t>On Proses Rembes by Sosandra</t>
  </si>
  <si>
    <t>Perbaikan Perbaikan Minor BY Dana Taktis Juli - 31 Agustus 2026</t>
  </si>
  <si>
    <t>tdk ada jadwal</t>
  </si>
  <si>
    <t>akhir september</t>
  </si>
  <si>
    <t>1-31 AGUS '26</t>
  </si>
  <si>
    <t>12 AGUS '26</t>
  </si>
  <si>
    <t>3. PEKERJAAN MAINTENANCE TERJADWAL+1</t>
  </si>
  <si>
    <t>Penggantian Bola Lampu</t>
  </si>
  <si>
    <t>Perbaikan Jet Shower Toilet Loby</t>
  </si>
  <si>
    <t>Perbaikan Pintu toilet</t>
  </si>
  <si>
    <t>Water Proofing Pipa Saluran air</t>
  </si>
  <si>
    <t>Pengecekan AC Cassette Rusak</t>
  </si>
  <si>
    <t>Penutupan Akses Tikus Ke R. Layanan</t>
  </si>
  <si>
    <t>Pemasangan Lem Tikus</t>
  </si>
  <si>
    <t>Peerbaikan Bearing AC Cassette</t>
  </si>
  <si>
    <t>Perbaikan AC Split R. Mushalla</t>
  </si>
  <si>
    <t>Penggantian Kapasitor AC Cassette lt.2</t>
  </si>
  <si>
    <t>Pengukuran suhu all ruangan</t>
  </si>
  <si>
    <t>Pengecekan rembesan air hujan dari atap seng ke ruang mushalla</t>
  </si>
  <si>
    <t>Pemberian lapisan anti bocor pada atap seng</t>
  </si>
  <si>
    <t>Relokasi 1 meja kerja R. Billco rusak</t>
  </si>
  <si>
    <t>Pemasangan lampu tambahan lorong parkir belakang</t>
  </si>
  <si>
    <t>perbaikan baut pintu ruang genset yg lepas</t>
  </si>
  <si>
    <t>Pengeleman karpet copot R. eks FBCC lt.2</t>
  </si>
  <si>
    <t>Relokasi TV dari atas meja ke dinding ruang layanan Dunning lt.3</t>
  </si>
  <si>
    <t>Instalasi 4 seat tambahan di R. Dunning lt. 3</t>
  </si>
  <si>
    <t>Pengerjaan Toilet Tumpat Area Parkir belakang</t>
  </si>
  <si>
    <t>Pemasangan anti slip tangga lt.4</t>
  </si>
  <si>
    <t>Penyemenan keramik yang lepas di depan Lift lt.3</t>
  </si>
  <si>
    <t>3. PERAWATAN BY INSIDEN BULAN AGUSTUS</t>
  </si>
  <si>
    <t>JUMLAH PERBAIKAN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</si>
</sst>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65A73"/>
      </patternFill>
    </fill>
    <fill>
      <patternFill patternType="solid">
        <fgColor rgb="FFD5E6E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1" fontId="6" fillId="0" borderId="0" applyFont="0" applyFill="0" applyBorder="0" applyAlignment="0" applyProtection="0"/>
  </cellStyleXfs>
  <cellXfs count="1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center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Fill="1" applyBorder="1"/>
    <xf numFmtId="0" fontId="0" fillId="0" borderId="1" xfId="0" applyFill="1" applyBorder="1"/>
    <xf numFmtId="14" fontId="3" fillId="0" borderId="1" xfId="0" applyNumberFormat="1" applyFont="1" applyFill="1" applyBorder="1"/>
    <xf numFmtId="0" fontId="1" fillId="0" borderId="0" xfId="0" applyFont="1"/>
    <xf numFmtId="0" fontId="0" fillId="2" borderId="1" xfId="0" applyFill="1" applyBorder="1"/>
    <xf numFmtId="0" fontId="0" fillId="0" borderId="0" xfId="0" applyFill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1" fillId="0" borderId="3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5" fillId="2" borderId="1" xfId="0" applyFont="1" applyFill="1" applyBorder="1"/>
    <xf numFmtId="0" fontId="0" fillId="0" borderId="1" xfId="0" applyFill="1" applyBorder="1" applyAlignment="1"/>
    <xf numFmtId="16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wrapText="1"/>
    </xf>
    <xf numFmtId="0" fontId="7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41" fontId="0" fillId="0" borderId="0" xfId="1" applyFont="1"/>
    <xf numFmtId="41" fontId="0" fillId="0" borderId="0" xfId="0" applyNumberFormat="1"/>
    <xf numFmtId="0" fontId="1" fillId="2" borderId="7" xfId="0" applyFont="1" applyFill="1" applyBorder="1"/>
    <xf numFmtId="41" fontId="0" fillId="0" borderId="3" xfId="1" applyFont="1" applyBorder="1"/>
    <xf numFmtId="41" fontId="0" fillId="0" borderId="5" xfId="1" applyFont="1" applyFill="1" applyBorder="1"/>
    <xf numFmtId="41" fontId="0" fillId="0" borderId="0" xfId="0" applyNumberFormat="1" applyFill="1" applyBorder="1"/>
    <xf numFmtId="41" fontId="0" fillId="0" borderId="3" xfId="0" applyNumberFormat="1" applyFill="1" applyBorder="1"/>
    <xf numFmtId="41" fontId="0" fillId="0" borderId="5" xfId="0" applyNumberFormat="1" applyBorder="1"/>
    <xf numFmtId="41" fontId="0" fillId="0" borderId="3" xfId="0" applyNumberFormat="1" applyBorder="1"/>
    <xf numFmtId="41" fontId="0" fillId="0" borderId="0" xfId="0" quotePrefix="1" applyNumberFormat="1"/>
    <xf numFmtId="0" fontId="1" fillId="0" borderId="5" xfId="0" applyFont="1" applyBorder="1"/>
    <xf numFmtId="0" fontId="1" fillId="0" borderId="5" xfId="0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9" fontId="0" fillId="4" borderId="1" xfId="0" applyNumberFormat="1" applyFill="1" applyBorder="1" applyAlignment="1">
      <alignment horizontal="right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horizontal="right" vertical="center"/>
    </xf>
    <xf numFmtId="9" fontId="0" fillId="0" borderId="0" xfId="0" applyNumberFormat="1" applyFill="1" applyBorder="1" applyAlignment="1">
      <alignment horizontal="right" vertical="center"/>
    </xf>
    <xf numFmtId="0" fontId="12" fillId="0" borderId="1" xfId="0" applyFont="1" applyBorder="1" applyAlignment="1"/>
    <xf numFmtId="0" fontId="13" fillId="0" borderId="1" xfId="0" applyNumberFormat="1" applyFont="1" applyFill="1" applyBorder="1" applyAlignment="1"/>
    <xf numFmtId="0" fontId="12" fillId="0" borderId="1" xfId="0" applyFont="1" applyBorder="1" applyAlignment="1">
      <alignment wrapText="1"/>
    </xf>
    <xf numFmtId="0" fontId="12" fillId="0" borderId="1" xfId="0" applyNumberFormat="1" applyFont="1" applyBorder="1" applyAlignment="1"/>
    <xf numFmtId="0" fontId="13" fillId="7" borderId="1" xfId="0" applyNumberFormat="1" applyFont="1" applyFill="1" applyBorder="1"/>
    <xf numFmtId="0" fontId="11" fillId="0" borderId="1" xfId="0" applyFont="1" applyBorder="1" applyAlignment="1"/>
    <xf numFmtId="0" fontId="11" fillId="0" borderId="1" xfId="0" applyFont="1" applyFill="1" applyBorder="1" applyAlignment="1"/>
    <xf numFmtId="0" fontId="14" fillId="5" borderId="1" xfId="0" applyNumberFormat="1" applyFont="1" applyFill="1" applyBorder="1" applyAlignment="1"/>
    <xf numFmtId="14" fontId="2" fillId="5" borderId="1" xfId="0" applyNumberFormat="1" applyFont="1" applyFill="1" applyBorder="1" applyAlignment="1"/>
    <xf numFmtId="0" fontId="8" fillId="3" borderId="2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left" wrapText="1" readingOrder="1"/>
    </xf>
    <xf numFmtId="0" fontId="10" fillId="0" borderId="9" xfId="0" applyFont="1" applyBorder="1" applyAlignment="1">
      <alignment horizontal="right" wrapText="1" readingOrder="1"/>
    </xf>
    <xf numFmtId="0" fontId="10" fillId="0" borderId="25" xfId="0" applyFont="1" applyFill="1" applyBorder="1" applyAlignment="1">
      <alignment horizontal="center" wrapText="1" readingOrder="1"/>
    </xf>
    <xf numFmtId="0" fontId="9" fillId="6" borderId="10" xfId="0" applyFont="1" applyFill="1" applyBorder="1" applyAlignment="1">
      <alignment horizontal="left" vertical="center" wrapText="1" readingOrder="1"/>
    </xf>
    <xf numFmtId="0" fontId="9" fillId="6" borderId="11" xfId="0" applyFont="1" applyFill="1" applyBorder="1" applyAlignment="1">
      <alignment horizontal="center" vertical="center" wrapText="1" readingOrder="1"/>
    </xf>
    <xf numFmtId="0" fontId="9" fillId="6" borderId="11" xfId="0" applyFont="1" applyFill="1" applyBorder="1" applyAlignment="1">
      <alignment horizontal="center" wrapText="1" readingOrder="1"/>
    </xf>
    <xf numFmtId="0" fontId="9" fillId="6" borderId="12" xfId="0" applyFont="1" applyFill="1" applyBorder="1" applyAlignment="1">
      <alignment horizontal="center" wrapText="1" readingOrder="1"/>
    </xf>
    <xf numFmtId="0" fontId="9" fillId="6" borderId="13" xfId="0" applyFont="1" applyFill="1" applyBorder="1" applyAlignment="1">
      <alignment horizontal="left" wrapText="1" readingOrder="1"/>
    </xf>
    <xf numFmtId="0" fontId="9" fillId="6" borderId="14" xfId="0" applyFont="1" applyFill="1" applyBorder="1" applyAlignment="1">
      <alignment horizontal="center" wrapText="1" readingOrder="1"/>
    </xf>
    <xf numFmtId="0" fontId="9" fillId="6" borderId="15" xfId="0" applyFont="1" applyFill="1" applyBorder="1" applyAlignment="1">
      <alignment horizontal="center" wrapText="1" readingOrder="1"/>
    </xf>
    <xf numFmtId="0" fontId="9" fillId="6" borderId="16" xfId="0" applyFont="1" applyFill="1" applyBorder="1" applyAlignment="1">
      <alignment horizontal="left" vertical="center" wrapText="1" readingOrder="1"/>
    </xf>
    <xf numFmtId="0" fontId="9" fillId="6" borderId="17" xfId="0" applyFont="1" applyFill="1" applyBorder="1" applyAlignment="1">
      <alignment horizontal="center" wrapText="1" readingOrder="1"/>
    </xf>
    <xf numFmtId="0" fontId="9" fillId="6" borderId="18" xfId="0" applyFont="1" applyFill="1" applyBorder="1" applyAlignment="1">
      <alignment horizontal="center" wrapText="1" readingOrder="1"/>
    </xf>
    <xf numFmtId="0" fontId="12" fillId="6" borderId="21" xfId="0" applyFont="1" applyFill="1" applyBorder="1" applyAlignment="1"/>
    <xf numFmtId="0" fontId="9" fillId="6" borderId="19" xfId="0" applyFont="1" applyFill="1" applyBorder="1" applyAlignment="1">
      <alignment horizontal="center" wrapText="1" readingOrder="1"/>
    </xf>
    <xf numFmtId="0" fontId="9" fillId="6" borderId="20" xfId="0" applyFont="1" applyFill="1" applyBorder="1" applyAlignment="1">
      <alignment horizontal="center" wrapText="1" readingOrder="1"/>
    </xf>
    <xf numFmtId="0" fontId="12" fillId="6" borderId="21" xfId="0" applyNumberFormat="1" applyFont="1" applyFill="1" applyBorder="1" applyAlignment="1"/>
    <xf numFmtId="0" fontId="13" fillId="8" borderId="21" xfId="0" applyNumberFormat="1" applyFont="1" applyFill="1" applyBorder="1"/>
    <xf numFmtId="0" fontId="13" fillId="8" borderId="22" xfId="0" applyNumberFormat="1" applyFont="1" applyFill="1" applyBorder="1"/>
    <xf numFmtId="0" fontId="9" fillId="6" borderId="23" xfId="0" applyFont="1" applyFill="1" applyBorder="1" applyAlignment="1">
      <alignment horizontal="center" wrapText="1" readingOrder="1"/>
    </xf>
    <xf numFmtId="0" fontId="9" fillId="6" borderId="24" xfId="0" applyFont="1" applyFill="1" applyBorder="1" applyAlignment="1">
      <alignment horizontal="center" wrapText="1" readingOrder="1"/>
    </xf>
    <xf numFmtId="0" fontId="0" fillId="0" borderId="7" xfId="0" applyBorder="1"/>
    <xf numFmtId="0" fontId="0" fillId="0" borderId="26" xfId="0" applyBorder="1"/>
    <xf numFmtId="0" fontId="8" fillId="3" borderId="2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41" fontId="0" fillId="0" borderId="5" xfId="1" applyFont="1" applyBorder="1"/>
    <xf numFmtId="0" fontId="0" fillId="2" borderId="0" xfId="0" applyFill="1" applyBorder="1"/>
    <xf numFmtId="0" fontId="0" fillId="0" borderId="0" xfId="0" applyBorder="1" applyAlignment="1">
      <alignment vertical="top"/>
    </xf>
    <xf numFmtId="0" fontId="0" fillId="0" borderId="5" xfId="0" applyBorder="1" applyAlignment="1">
      <alignment wrapText="1"/>
    </xf>
    <xf numFmtId="41" fontId="0" fillId="0" borderId="5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1" xfId="0" applyFill="1" applyBorder="1" applyAlignment="1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2" borderId="28" xfId="0" applyFont="1" applyFill="1" applyBorder="1"/>
    <xf numFmtId="0" fontId="1" fillId="2" borderId="0" xfId="0" applyFont="1" applyFill="1" applyBorder="1"/>
    <xf numFmtId="0" fontId="0" fillId="0" borderId="28" xfId="0" applyBorder="1"/>
    <xf numFmtId="0" fontId="1" fillId="0" borderId="28" xfId="0" applyFont="1" applyFill="1" applyBorder="1"/>
    <xf numFmtId="0" fontId="1" fillId="0" borderId="0" xfId="0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-PAKMUKHTAR/OneDrive%20-%20infomedia.co.id/FAM%20AREA%20AREA%201/FACILITY/KAS%20FAM%20ON%20P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 Eks Cambridge"/>
      <sheetName val="K Gatsu"/>
      <sheetName val="K Retribusi"/>
      <sheetName val="K lain lain"/>
      <sheetName val="Total Kas "/>
      <sheetName val="Perbaikan by kas FAM"/>
      <sheetName val="Disposal Aset Eks Cambridge"/>
      <sheetName val="Remb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8">
          <cell r="D218">
            <v>3701000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>
      <selection activeCell="C65" sqref="C65"/>
    </sheetView>
  </sheetViews>
  <sheetFormatPr defaultRowHeight="15"/>
  <cols>
    <col min="1" max="1" width="3.140625" customWidth="1"/>
    <col min="2" max="2" width="38.140625" customWidth="1"/>
    <col min="3" max="3" width="26.7109375" bestFit="1" customWidth="1"/>
    <col min="4" max="4" width="21.42578125" bestFit="1" customWidth="1"/>
    <col min="5" max="5" width="42.85546875" bestFit="1" customWidth="1"/>
    <col min="6" max="6" width="17.85546875" bestFit="1" customWidth="1"/>
    <col min="7" max="7" width="17.85546875" customWidth="1"/>
    <col min="8" max="8" width="12.5703125" bestFit="1" customWidth="1"/>
  </cols>
  <sheetData>
    <row r="1" spans="1:7">
      <c r="A1" s="12" t="s">
        <v>37</v>
      </c>
      <c r="B1" s="12" t="s">
        <v>105</v>
      </c>
    </row>
    <row r="2" spans="1:7">
      <c r="A2" s="12"/>
      <c r="B2" s="12" t="s">
        <v>48</v>
      </c>
    </row>
    <row r="3" spans="1:7">
      <c r="B3" s="13" t="s">
        <v>4</v>
      </c>
      <c r="C3" s="13" t="s">
        <v>1</v>
      </c>
      <c r="D3" s="13" t="s">
        <v>17</v>
      </c>
      <c r="E3" s="13" t="s">
        <v>6</v>
      </c>
      <c r="F3" s="13" t="s">
        <v>2</v>
      </c>
      <c r="G3" s="99"/>
    </row>
    <row r="4" spans="1:7" ht="33.75" customHeight="1">
      <c r="B4" s="2" t="s">
        <v>5</v>
      </c>
      <c r="C4" s="1" t="s">
        <v>0</v>
      </c>
      <c r="D4" s="1" t="s">
        <v>18</v>
      </c>
      <c r="E4" s="3" t="s">
        <v>7</v>
      </c>
      <c r="F4" s="1" t="s">
        <v>3</v>
      </c>
      <c r="G4" s="29"/>
    </row>
    <row r="5" spans="1:7" ht="45">
      <c r="B5" s="6" t="s">
        <v>9</v>
      </c>
      <c r="C5" s="4" t="s">
        <v>8</v>
      </c>
      <c r="D5" s="5" t="s">
        <v>19</v>
      </c>
      <c r="E5" s="4" t="s">
        <v>10</v>
      </c>
      <c r="F5" s="5" t="s">
        <v>3</v>
      </c>
      <c r="G5" s="100"/>
    </row>
    <row r="6" spans="1:7" ht="45">
      <c r="B6" s="6" t="s">
        <v>12</v>
      </c>
      <c r="C6" s="4" t="s">
        <v>11</v>
      </c>
      <c r="D6" s="5" t="s">
        <v>20</v>
      </c>
      <c r="E6" s="4" t="s">
        <v>13</v>
      </c>
      <c r="F6" s="5" t="s">
        <v>3</v>
      </c>
      <c r="G6" s="100"/>
    </row>
    <row r="7" spans="1:7">
      <c r="B7" s="7" t="s">
        <v>14</v>
      </c>
      <c r="C7" s="1" t="s">
        <v>22</v>
      </c>
      <c r="D7" s="8" t="s">
        <v>21</v>
      </c>
      <c r="E7" s="7" t="s">
        <v>15</v>
      </c>
      <c r="F7" s="1" t="s">
        <v>16</v>
      </c>
      <c r="G7" s="29"/>
    </row>
    <row r="8" spans="1:7">
      <c r="B8" s="7" t="s">
        <v>23</v>
      </c>
      <c r="C8" s="1" t="s">
        <v>24</v>
      </c>
      <c r="D8" s="8" t="s">
        <v>25</v>
      </c>
      <c r="E8" s="1" t="s">
        <v>26</v>
      </c>
      <c r="F8" s="1" t="s">
        <v>16</v>
      </c>
      <c r="G8" s="29"/>
    </row>
    <row r="9" spans="1:7">
      <c r="B9" s="7" t="s">
        <v>27</v>
      </c>
      <c r="C9" s="1" t="s">
        <v>28</v>
      </c>
      <c r="D9" s="8" t="s">
        <v>29</v>
      </c>
      <c r="E9" s="7" t="s">
        <v>30</v>
      </c>
      <c r="F9" s="1" t="s">
        <v>16</v>
      </c>
      <c r="G9" s="29"/>
    </row>
    <row r="10" spans="1:7">
      <c r="B10" s="9" t="s">
        <v>32</v>
      </c>
      <c r="C10" s="1" t="s">
        <v>31</v>
      </c>
      <c r="D10" s="1" t="s">
        <v>35</v>
      </c>
      <c r="E10" s="1" t="s">
        <v>33</v>
      </c>
      <c r="F10" s="1" t="s">
        <v>3</v>
      </c>
      <c r="G10" s="29"/>
    </row>
    <row r="11" spans="1:7">
      <c r="B11" s="9" t="s">
        <v>32</v>
      </c>
      <c r="C11" s="10" t="s">
        <v>34</v>
      </c>
      <c r="D11" s="11" t="s">
        <v>35</v>
      </c>
      <c r="E11" s="10" t="s">
        <v>36</v>
      </c>
      <c r="F11" s="10" t="s">
        <v>3</v>
      </c>
      <c r="G11" s="58"/>
    </row>
    <row r="13" spans="1:7">
      <c r="A13" s="12"/>
      <c r="B13" s="12" t="s">
        <v>49</v>
      </c>
    </row>
    <row r="14" spans="1:7">
      <c r="B14" s="13" t="s">
        <v>38</v>
      </c>
      <c r="C14" s="13" t="s">
        <v>41</v>
      </c>
      <c r="D14" s="13" t="s">
        <v>44</v>
      </c>
      <c r="E14" s="13" t="s">
        <v>45</v>
      </c>
      <c r="F14" s="13" t="s">
        <v>62</v>
      </c>
      <c r="G14" s="99"/>
    </row>
    <row r="15" spans="1:7" s="14" customFormat="1">
      <c r="B15" s="15" t="s">
        <v>52</v>
      </c>
      <c r="C15" s="15" t="s">
        <v>47</v>
      </c>
      <c r="D15" s="15" t="s">
        <v>53</v>
      </c>
      <c r="E15" s="15" t="s">
        <v>54</v>
      </c>
      <c r="F15" s="18" t="s">
        <v>81</v>
      </c>
      <c r="G15" s="58"/>
    </row>
    <row r="16" spans="1:7" s="14" customFormat="1">
      <c r="B16" s="16"/>
      <c r="C16" s="16"/>
      <c r="D16" s="16" t="s">
        <v>55</v>
      </c>
      <c r="E16" s="16" t="s">
        <v>54</v>
      </c>
      <c r="F16" s="16" t="s">
        <v>82</v>
      </c>
      <c r="G16" s="58"/>
    </row>
    <row r="17" spans="1:7" s="14" customFormat="1">
      <c r="B17" s="16"/>
      <c r="C17" s="16"/>
      <c r="D17" s="16" t="s">
        <v>56</v>
      </c>
      <c r="E17" s="16" t="s">
        <v>58</v>
      </c>
      <c r="F17" s="16"/>
      <c r="G17" s="58"/>
    </row>
    <row r="18" spans="1:7" s="14" customFormat="1">
      <c r="B18" s="17"/>
      <c r="C18" s="17"/>
      <c r="D18" s="17" t="s">
        <v>57</v>
      </c>
      <c r="E18" s="17" t="s">
        <v>58</v>
      </c>
      <c r="F18" s="17"/>
      <c r="G18" s="58"/>
    </row>
    <row r="19" spans="1:7" ht="30">
      <c r="B19" s="25" t="s">
        <v>39</v>
      </c>
      <c r="C19" s="1" t="s">
        <v>47</v>
      </c>
      <c r="D19" s="1" t="s">
        <v>42</v>
      </c>
      <c r="E19" s="10" t="s">
        <v>46</v>
      </c>
      <c r="F19" s="1"/>
      <c r="G19" s="29"/>
    </row>
    <row r="20" spans="1:7">
      <c r="B20" s="26" t="s">
        <v>40</v>
      </c>
      <c r="C20" s="1" t="s">
        <v>47</v>
      </c>
      <c r="D20" s="1" t="s">
        <v>43</v>
      </c>
      <c r="E20" s="10" t="s">
        <v>46</v>
      </c>
      <c r="F20" s="1"/>
      <c r="G20" s="29"/>
    </row>
    <row r="21" spans="1:7">
      <c r="B21" s="24" t="s">
        <v>50</v>
      </c>
      <c r="C21" s="15"/>
      <c r="D21" s="19"/>
      <c r="E21" s="19"/>
      <c r="F21" s="19"/>
      <c r="G21" s="29"/>
    </row>
    <row r="22" spans="1:7">
      <c r="B22" s="20" t="s">
        <v>59</v>
      </c>
      <c r="C22" s="16" t="s">
        <v>29</v>
      </c>
      <c r="D22" s="21" t="s">
        <v>60</v>
      </c>
      <c r="E22" s="21" t="s">
        <v>61</v>
      </c>
      <c r="F22" s="21"/>
      <c r="G22" s="29"/>
    </row>
    <row r="23" spans="1:7">
      <c r="B23" s="22" t="s">
        <v>63</v>
      </c>
      <c r="C23" s="16" t="s">
        <v>29</v>
      </c>
      <c r="D23" s="23" t="s">
        <v>54</v>
      </c>
      <c r="E23" s="23" t="s">
        <v>54</v>
      </c>
      <c r="F23" s="23" t="s">
        <v>64</v>
      </c>
      <c r="G23" s="29"/>
    </row>
    <row r="24" spans="1:7" ht="30">
      <c r="B24" s="25" t="s">
        <v>51</v>
      </c>
      <c r="C24" s="10" t="s">
        <v>29</v>
      </c>
      <c r="D24" s="1" t="s">
        <v>79</v>
      </c>
      <c r="E24" s="3" t="s">
        <v>80</v>
      </c>
      <c r="F24" s="1"/>
      <c r="G24" s="29"/>
    </row>
    <row r="26" spans="1:7">
      <c r="A26" s="29"/>
      <c r="B26" s="12" t="s">
        <v>183</v>
      </c>
    </row>
    <row r="27" spans="1:7">
      <c r="A27" s="31"/>
      <c r="B27" s="36" t="s">
        <v>99</v>
      </c>
      <c r="C27" s="32" t="s">
        <v>65</v>
      </c>
      <c r="D27" s="32" t="s">
        <v>66</v>
      </c>
      <c r="E27" s="32" t="s">
        <v>67</v>
      </c>
      <c r="F27" s="32" t="s">
        <v>68</v>
      </c>
      <c r="G27" s="32" t="s">
        <v>172</v>
      </c>
    </row>
    <row r="28" spans="1:7" ht="15.75">
      <c r="A28" s="30"/>
      <c r="B28" s="35" t="s">
        <v>83</v>
      </c>
      <c r="C28" s="27" t="s">
        <v>69</v>
      </c>
      <c r="D28" s="27" t="s">
        <v>70</v>
      </c>
      <c r="E28" s="28" t="s">
        <v>71</v>
      </c>
      <c r="F28" s="104" t="s">
        <v>181</v>
      </c>
      <c r="G28" s="33" t="s">
        <v>179</v>
      </c>
    </row>
    <row r="29" spans="1:7">
      <c r="A29" s="30"/>
      <c r="B29" s="35" t="s">
        <v>84</v>
      </c>
      <c r="C29" s="27" t="s">
        <v>72</v>
      </c>
      <c r="D29" s="27" t="s">
        <v>73</v>
      </c>
      <c r="E29" s="34" t="s">
        <v>74</v>
      </c>
      <c r="F29" s="105" t="s">
        <v>182</v>
      </c>
      <c r="G29" s="28" t="s">
        <v>179</v>
      </c>
    </row>
    <row r="30" spans="1:7" ht="15.75">
      <c r="A30" s="30"/>
      <c r="B30" s="35" t="s">
        <v>85</v>
      </c>
      <c r="C30" s="27" t="s">
        <v>75</v>
      </c>
      <c r="D30" s="27" t="s">
        <v>76</v>
      </c>
      <c r="E30" s="28" t="s">
        <v>54</v>
      </c>
      <c r="F30" s="105" t="s">
        <v>173</v>
      </c>
      <c r="G30" s="106" t="s">
        <v>180</v>
      </c>
    </row>
    <row r="31" spans="1:7">
      <c r="A31" s="30"/>
      <c r="B31" s="35" t="s">
        <v>34</v>
      </c>
      <c r="C31" s="27" t="s">
        <v>77</v>
      </c>
      <c r="D31" s="27" t="s">
        <v>78</v>
      </c>
      <c r="E31" s="1" t="s">
        <v>179</v>
      </c>
      <c r="F31" s="1" t="s">
        <v>179</v>
      </c>
      <c r="G31" s="1" t="s">
        <v>179</v>
      </c>
    </row>
    <row r="34" spans="2:8" ht="15.75">
      <c r="B34" s="37" t="s">
        <v>206</v>
      </c>
    </row>
    <row r="35" spans="2:8">
      <c r="B35" s="38" t="s">
        <v>86</v>
      </c>
      <c r="C35" s="38" t="s">
        <v>207</v>
      </c>
      <c r="D35" s="110"/>
      <c r="E35" s="111"/>
      <c r="F35" s="111"/>
      <c r="G35" s="111"/>
      <c r="H35" s="111"/>
    </row>
    <row r="36" spans="2:8">
      <c r="B36" s="1" t="s">
        <v>184</v>
      </c>
      <c r="C36" s="1">
        <v>1</v>
      </c>
      <c r="D36" s="109"/>
      <c r="E36" s="29"/>
      <c r="F36" s="29"/>
      <c r="G36" s="29"/>
      <c r="H36" s="29"/>
    </row>
    <row r="37" spans="2:8">
      <c r="B37" s="1" t="s">
        <v>185</v>
      </c>
      <c r="C37" s="1">
        <v>1</v>
      </c>
      <c r="D37" s="109"/>
      <c r="E37" s="29"/>
      <c r="F37" s="29"/>
      <c r="G37" s="29"/>
      <c r="H37" s="29"/>
    </row>
    <row r="38" spans="2:8">
      <c r="B38" s="3" t="s">
        <v>186</v>
      </c>
      <c r="C38" s="1">
        <v>1</v>
      </c>
      <c r="D38" s="109"/>
      <c r="E38" s="29"/>
      <c r="F38" s="29"/>
      <c r="G38" s="29"/>
      <c r="H38" s="29"/>
    </row>
    <row r="39" spans="2:8">
      <c r="B39" s="1" t="s">
        <v>187</v>
      </c>
      <c r="C39" s="1">
        <v>2</v>
      </c>
      <c r="D39" s="109"/>
      <c r="E39" s="29"/>
      <c r="F39" s="29"/>
      <c r="G39" s="29"/>
      <c r="H39" s="29"/>
    </row>
    <row r="40" spans="2:8">
      <c r="B40" s="3" t="s">
        <v>188</v>
      </c>
      <c r="C40" s="1">
        <v>1</v>
      </c>
      <c r="D40" s="109"/>
      <c r="E40" s="29"/>
      <c r="F40" s="29"/>
      <c r="G40" s="29"/>
      <c r="H40" s="29"/>
    </row>
    <row r="41" spans="2:8">
      <c r="B41" s="1" t="s">
        <v>193</v>
      </c>
      <c r="C41" s="1">
        <v>1</v>
      </c>
      <c r="D41" s="109"/>
      <c r="E41" s="29"/>
      <c r="F41" s="29"/>
      <c r="G41" s="29"/>
      <c r="H41" s="29"/>
    </row>
    <row r="42" spans="2:8">
      <c r="B42" s="1" t="s">
        <v>189</v>
      </c>
      <c r="C42" s="1">
        <v>1</v>
      </c>
      <c r="D42" s="109"/>
      <c r="E42" s="29"/>
      <c r="F42" s="29"/>
      <c r="G42" s="29"/>
      <c r="H42" s="29"/>
    </row>
    <row r="43" spans="2:8">
      <c r="B43" s="1" t="s">
        <v>190</v>
      </c>
      <c r="C43" s="1">
        <v>2</v>
      </c>
      <c r="D43" s="109"/>
      <c r="E43" s="29"/>
      <c r="F43" s="29"/>
      <c r="G43" s="29"/>
      <c r="H43" s="29"/>
    </row>
    <row r="44" spans="2:8">
      <c r="B44" s="1" t="s">
        <v>191</v>
      </c>
      <c r="C44" s="1">
        <v>1</v>
      </c>
      <c r="D44" s="109"/>
      <c r="E44" s="29"/>
      <c r="F44" s="29"/>
      <c r="G44" s="29"/>
      <c r="H44" s="29"/>
    </row>
    <row r="45" spans="2:8">
      <c r="B45" s="39" t="s">
        <v>192</v>
      </c>
      <c r="C45" s="1">
        <v>1</v>
      </c>
      <c r="D45" s="109"/>
      <c r="E45" s="29"/>
      <c r="F45" s="29"/>
      <c r="G45" s="29"/>
      <c r="H45" s="29"/>
    </row>
    <row r="46" spans="2:8">
      <c r="B46" s="3" t="s">
        <v>194</v>
      </c>
      <c r="C46" s="1">
        <v>1</v>
      </c>
      <c r="D46" s="109"/>
      <c r="E46" s="29"/>
      <c r="F46" s="29"/>
      <c r="G46" s="29"/>
      <c r="H46" s="29"/>
    </row>
    <row r="47" spans="2:8" ht="30">
      <c r="B47" s="3" t="s">
        <v>195</v>
      </c>
      <c r="C47" s="1">
        <v>1</v>
      </c>
      <c r="D47" s="109"/>
      <c r="E47" s="29"/>
      <c r="F47" s="29"/>
      <c r="G47" s="29"/>
      <c r="H47" s="29"/>
    </row>
    <row r="48" spans="2:8" ht="30">
      <c r="B48" s="3" t="s">
        <v>196</v>
      </c>
      <c r="C48" s="1">
        <v>2</v>
      </c>
      <c r="D48" s="109"/>
      <c r="E48" s="29"/>
      <c r="F48" s="29"/>
      <c r="G48" s="29"/>
      <c r="H48" s="29"/>
    </row>
    <row r="49" spans="2:8" ht="30">
      <c r="B49" s="3" t="s">
        <v>197</v>
      </c>
      <c r="C49" s="1">
        <v>1</v>
      </c>
      <c r="D49" s="109"/>
      <c r="E49" s="29"/>
      <c r="F49" s="29"/>
      <c r="G49" s="29"/>
      <c r="H49" s="29"/>
    </row>
    <row r="50" spans="2:8" ht="30">
      <c r="B50" s="3" t="s">
        <v>198</v>
      </c>
      <c r="C50" s="1">
        <v>1</v>
      </c>
      <c r="D50" s="109"/>
      <c r="E50" s="29"/>
      <c r="F50" s="29"/>
      <c r="G50" s="29"/>
      <c r="H50" s="29"/>
    </row>
    <row r="51" spans="2:8" ht="30">
      <c r="B51" s="3" t="s">
        <v>199</v>
      </c>
      <c r="C51" s="1">
        <v>1</v>
      </c>
      <c r="D51" s="109"/>
      <c r="E51" s="29"/>
      <c r="F51" s="29"/>
      <c r="G51" s="29"/>
      <c r="H51" s="29"/>
    </row>
    <row r="52" spans="2:8" ht="30">
      <c r="B52" s="3" t="s">
        <v>200</v>
      </c>
      <c r="C52" s="1">
        <v>1</v>
      </c>
      <c r="D52" s="109"/>
      <c r="E52" s="29"/>
      <c r="F52" s="29"/>
      <c r="G52" s="29"/>
      <c r="H52" s="29"/>
    </row>
    <row r="53" spans="2:8" ht="45">
      <c r="B53" s="3" t="s">
        <v>201</v>
      </c>
      <c r="C53" s="1">
        <v>1</v>
      </c>
      <c r="D53" s="109"/>
      <c r="E53" s="29"/>
      <c r="F53" s="29"/>
      <c r="G53" s="29"/>
      <c r="H53" s="29"/>
    </row>
    <row r="54" spans="2:8" ht="30">
      <c r="B54" s="3" t="s">
        <v>202</v>
      </c>
      <c r="C54" s="1">
        <v>1</v>
      </c>
      <c r="D54" s="109"/>
      <c r="E54" s="29"/>
      <c r="F54" s="29"/>
      <c r="G54" s="29"/>
      <c r="H54" s="29"/>
    </row>
    <row r="55" spans="2:8" ht="30">
      <c r="B55" s="3" t="s">
        <v>203</v>
      </c>
      <c r="C55" s="1">
        <v>2</v>
      </c>
      <c r="D55" s="109"/>
      <c r="E55" s="29"/>
      <c r="F55" s="29"/>
      <c r="G55" s="29"/>
      <c r="H55" s="29"/>
    </row>
    <row r="56" spans="2:8">
      <c r="B56" s="3" t="s">
        <v>204</v>
      </c>
      <c r="C56" s="1">
        <v>1</v>
      </c>
      <c r="D56" s="109"/>
      <c r="E56" s="29"/>
      <c r="F56" s="29"/>
      <c r="G56" s="29"/>
      <c r="H56" s="29"/>
    </row>
    <row r="57" spans="2:8" ht="30">
      <c r="B57" s="40" t="s">
        <v>205</v>
      </c>
      <c r="C57" s="1">
        <v>1</v>
      </c>
      <c r="D57" s="109"/>
      <c r="E57" s="29"/>
      <c r="F57" s="29"/>
      <c r="G57" s="29"/>
      <c r="H57" s="29"/>
    </row>
    <row r="58" spans="2:8">
      <c r="B58" s="40"/>
      <c r="C58" s="1"/>
      <c r="D58" s="109"/>
      <c r="E58" s="29"/>
      <c r="F58" s="29"/>
      <c r="G58" s="29"/>
      <c r="H58" s="29"/>
    </row>
    <row r="59" spans="2:8">
      <c r="B59" s="40"/>
      <c r="C59" s="1"/>
      <c r="D59" s="109"/>
      <c r="E59" s="29"/>
      <c r="F59" s="29"/>
      <c r="G59" s="29"/>
      <c r="H59" s="29"/>
    </row>
    <row r="60" spans="2:8">
      <c r="B60" s="40"/>
      <c r="C60" s="1"/>
      <c r="D60" s="109"/>
      <c r="E60" s="29"/>
      <c r="F60" s="29"/>
      <c r="G60" s="29"/>
      <c r="H60" s="29"/>
    </row>
    <row r="61" spans="2:8">
      <c r="B61" s="40"/>
      <c r="C61" s="1"/>
      <c r="D61" s="109"/>
      <c r="E61" s="29"/>
      <c r="F61" s="29"/>
      <c r="G61" s="29"/>
      <c r="H61" s="29"/>
    </row>
    <row r="62" spans="2:8">
      <c r="B62" s="40"/>
      <c r="C62" s="1"/>
      <c r="D62" s="109"/>
      <c r="E62" s="29"/>
      <c r="F62" s="29"/>
      <c r="G62" s="29"/>
      <c r="H62" s="29"/>
    </row>
    <row r="63" spans="2:8">
      <c r="B63" s="4"/>
      <c r="C63" s="1"/>
      <c r="D63" s="109"/>
      <c r="E63" s="29"/>
      <c r="F63" s="29"/>
      <c r="G63" s="29"/>
      <c r="H63" s="29"/>
    </row>
    <row r="64" spans="2:8">
      <c r="B64" s="4"/>
      <c r="C64" s="1"/>
      <c r="D64" s="109"/>
      <c r="E64" s="29"/>
      <c r="F64" s="29"/>
      <c r="G64" s="29"/>
      <c r="H64" s="29"/>
    </row>
    <row r="65" spans="2:8">
      <c r="B65" s="41" t="s">
        <v>98</v>
      </c>
      <c r="C65" s="38">
        <f t="shared" ref="C65" si="0">SUM(C36:C63)</f>
        <v>26</v>
      </c>
      <c r="D65" s="107"/>
      <c r="E65" s="108"/>
      <c r="F65" s="108"/>
      <c r="G65" s="108"/>
      <c r="H65" s="108"/>
    </row>
    <row r="87" spans="2:4">
      <c r="B87" s="12" t="s">
        <v>100</v>
      </c>
    </row>
    <row r="88" spans="2:4">
      <c r="B88" s="38" t="s">
        <v>103</v>
      </c>
      <c r="C88" s="38" t="s">
        <v>102</v>
      </c>
      <c r="D88" s="38" t="s">
        <v>101</v>
      </c>
    </row>
    <row r="89" spans="2:4">
      <c r="B89" s="1" t="s">
        <v>104</v>
      </c>
      <c r="C89" s="1" t="s">
        <v>104</v>
      </c>
      <c r="D8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N15"/>
  <sheetViews>
    <sheetView topLeftCell="A4" workbookViewId="0">
      <selection activeCell="H15" sqref="H15"/>
    </sheetView>
  </sheetViews>
  <sheetFormatPr defaultRowHeight="15"/>
  <cols>
    <col min="2" max="2" width="25.140625" customWidth="1"/>
    <col min="3" max="3" width="11.7109375" bestFit="1" customWidth="1"/>
    <col min="4" max="4" width="11.5703125" bestFit="1" customWidth="1"/>
    <col min="5" max="8" width="11.7109375" bestFit="1" customWidth="1"/>
    <col min="9" max="9" width="11.5703125" bestFit="1" customWidth="1"/>
    <col min="10" max="10" width="12.85546875" customWidth="1"/>
  </cols>
  <sheetData>
    <row r="2" spans="2:14">
      <c r="B2" s="12" t="s">
        <v>114</v>
      </c>
    </row>
    <row r="3" spans="2:14">
      <c r="C3" s="44" t="s">
        <v>87</v>
      </c>
      <c r="D3" s="44" t="s">
        <v>88</v>
      </c>
      <c r="E3" s="44" t="s">
        <v>89</v>
      </c>
      <c r="F3" s="44" t="s">
        <v>71</v>
      </c>
      <c r="G3" s="44" t="s">
        <v>90</v>
      </c>
      <c r="H3" s="44" t="s">
        <v>91</v>
      </c>
      <c r="I3" s="44" t="s">
        <v>92</v>
      </c>
      <c r="J3" s="44" t="s">
        <v>93</v>
      </c>
      <c r="K3" s="44" t="s">
        <v>94</v>
      </c>
      <c r="L3" s="44" t="s">
        <v>95</v>
      </c>
      <c r="M3" s="44" t="s">
        <v>96</v>
      </c>
      <c r="N3" s="38" t="s">
        <v>97</v>
      </c>
    </row>
    <row r="4" spans="2:14">
      <c r="B4" s="24" t="s">
        <v>107</v>
      </c>
      <c r="C4" s="45">
        <v>33773328</v>
      </c>
      <c r="D4" s="45">
        <v>31213175</v>
      </c>
      <c r="E4" s="45">
        <v>34626425</v>
      </c>
      <c r="F4" s="45">
        <v>36964380</v>
      </c>
      <c r="G4" s="45">
        <v>36133245</v>
      </c>
      <c r="H4" s="45">
        <v>36201579</v>
      </c>
      <c r="I4" s="45">
        <v>38371262</v>
      </c>
      <c r="J4" s="19" t="s">
        <v>174</v>
      </c>
      <c r="K4" s="19"/>
      <c r="L4" s="19"/>
      <c r="M4" s="19"/>
      <c r="N4" s="19"/>
    </row>
    <row r="5" spans="2:14">
      <c r="B5" s="52" t="s">
        <v>108</v>
      </c>
      <c r="C5" s="46">
        <v>21244</v>
      </c>
      <c r="D5" s="46">
        <v>19633</v>
      </c>
      <c r="E5" s="46">
        <v>21789</v>
      </c>
      <c r="F5" s="46">
        <v>23252</v>
      </c>
      <c r="G5" s="46">
        <v>22729</v>
      </c>
      <c r="H5" s="46">
        <v>22772</v>
      </c>
      <c r="I5" s="46">
        <v>24131</v>
      </c>
      <c r="J5" s="23"/>
      <c r="K5" s="23"/>
      <c r="L5" s="23"/>
      <c r="M5" s="23"/>
      <c r="N5" s="23"/>
    </row>
    <row r="6" spans="2:14">
      <c r="B6" s="24" t="s">
        <v>106</v>
      </c>
      <c r="C6" s="50">
        <v>3637158</v>
      </c>
      <c r="D6" s="50">
        <v>3544848</v>
      </c>
      <c r="E6" s="50">
        <v>3002394</v>
      </c>
      <c r="F6" s="50">
        <v>3211861</v>
      </c>
      <c r="G6" s="48">
        <v>3531964</v>
      </c>
      <c r="H6" s="48">
        <v>3765238</v>
      </c>
      <c r="I6" s="48">
        <v>3825453</v>
      </c>
      <c r="J6" s="45">
        <v>3757979</v>
      </c>
      <c r="K6" s="19"/>
      <c r="L6" s="19"/>
      <c r="M6" s="19"/>
      <c r="N6" s="19"/>
    </row>
    <row r="7" spans="2:14">
      <c r="B7" s="53" t="s">
        <v>111</v>
      </c>
      <c r="C7" s="49">
        <v>335300</v>
      </c>
      <c r="D7" s="49">
        <v>326800</v>
      </c>
      <c r="E7" s="49">
        <v>276620</v>
      </c>
      <c r="F7" s="49">
        <v>295908</v>
      </c>
      <c r="G7" s="49">
        <v>323772</v>
      </c>
      <c r="H7" s="49">
        <v>317020</v>
      </c>
      <c r="I7" s="49">
        <v>347768</v>
      </c>
      <c r="J7" s="98">
        <v>316410</v>
      </c>
      <c r="K7" s="23"/>
      <c r="L7" s="23"/>
      <c r="M7" s="23"/>
      <c r="N7" s="23"/>
    </row>
    <row r="8" spans="2:14">
      <c r="B8" s="24" t="s">
        <v>109</v>
      </c>
      <c r="C8" s="48">
        <v>20</v>
      </c>
      <c r="D8" s="48">
        <v>20</v>
      </c>
      <c r="E8" s="48">
        <v>50</v>
      </c>
      <c r="F8" s="48">
        <v>20</v>
      </c>
      <c r="G8" s="48">
        <v>440</v>
      </c>
      <c r="H8" s="48">
        <v>20</v>
      </c>
      <c r="I8" s="48">
        <v>20</v>
      </c>
      <c r="J8" s="19">
        <v>20</v>
      </c>
      <c r="K8" s="19"/>
      <c r="L8" s="19"/>
      <c r="M8" s="19"/>
      <c r="N8" s="19"/>
    </row>
    <row r="9" spans="2:14">
      <c r="B9" s="52" t="s">
        <v>110</v>
      </c>
      <c r="C9" s="49">
        <v>500</v>
      </c>
      <c r="D9" s="49">
        <v>480</v>
      </c>
      <c r="E9" s="49">
        <v>430</v>
      </c>
      <c r="F9" s="49">
        <v>410</v>
      </c>
      <c r="G9" s="49">
        <v>140</v>
      </c>
      <c r="H9" s="49">
        <v>120</v>
      </c>
      <c r="I9" s="49">
        <v>100</v>
      </c>
      <c r="J9" s="23">
        <v>80</v>
      </c>
      <c r="K9" s="23"/>
      <c r="L9" s="23"/>
      <c r="M9" s="23"/>
      <c r="N9" s="23"/>
    </row>
    <row r="10" spans="2:14">
      <c r="C10" s="42"/>
      <c r="D10" s="42"/>
      <c r="F10" s="42">
        <v>170</v>
      </c>
      <c r="G10" s="42" t="s">
        <v>112</v>
      </c>
    </row>
    <row r="11" spans="2:14">
      <c r="F11" s="43">
        <f>SUM(F9:F10)</f>
        <v>580</v>
      </c>
      <c r="G11" s="51" t="s">
        <v>113</v>
      </c>
      <c r="I11" s="47"/>
    </row>
    <row r="12" spans="2:14">
      <c r="I12" s="47"/>
    </row>
    <row r="13" spans="2:14">
      <c r="I13" s="43"/>
    </row>
    <row r="14" spans="2:14">
      <c r="I14" s="47"/>
    </row>
    <row r="15" spans="2:14">
      <c r="I15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K50"/>
  <sheetViews>
    <sheetView workbookViewId="0">
      <selection activeCell="D48" sqref="D48:E48"/>
    </sheetView>
  </sheetViews>
  <sheetFormatPr defaultRowHeight="15"/>
  <cols>
    <col min="2" max="2" width="25.7109375" customWidth="1"/>
    <col min="3" max="3" width="27.85546875" bestFit="1" customWidth="1"/>
    <col min="4" max="4" width="13.42578125" customWidth="1"/>
    <col min="5" max="5" width="29" bestFit="1" customWidth="1"/>
    <col min="6" max="6" width="12.42578125" bestFit="1" customWidth="1"/>
    <col min="7" max="7" width="15.28515625" bestFit="1" customWidth="1"/>
    <col min="8" max="8" width="11" customWidth="1"/>
    <col min="9" max="9" width="13" customWidth="1"/>
  </cols>
  <sheetData>
    <row r="3" spans="2:11">
      <c r="B3" s="12" t="s">
        <v>144</v>
      </c>
    </row>
    <row r="4" spans="2:11" ht="30">
      <c r="B4" s="54" t="s">
        <v>128</v>
      </c>
      <c r="C4" s="54" t="s">
        <v>158</v>
      </c>
      <c r="D4" s="54" t="s">
        <v>129</v>
      </c>
      <c r="E4" s="54" t="s">
        <v>133</v>
      </c>
      <c r="F4" s="54" t="s">
        <v>134</v>
      </c>
      <c r="G4" s="54" t="s">
        <v>135</v>
      </c>
      <c r="H4" s="54" t="s">
        <v>130</v>
      </c>
      <c r="I4" s="54" t="s">
        <v>131</v>
      </c>
      <c r="K4" s="97"/>
    </row>
    <row r="5" spans="2:11">
      <c r="B5" s="55" t="s">
        <v>132</v>
      </c>
      <c r="C5" s="56" t="s">
        <v>159</v>
      </c>
      <c r="D5" s="56">
        <v>5</v>
      </c>
      <c r="E5" s="56">
        <v>661</v>
      </c>
      <c r="F5" s="56">
        <v>257</v>
      </c>
      <c r="G5" s="56">
        <v>229</v>
      </c>
      <c r="H5" s="56">
        <v>28</v>
      </c>
      <c r="I5" s="57">
        <f>G5/F5</f>
        <v>0.8910505836575876</v>
      </c>
    </row>
    <row r="6" spans="2:11">
      <c r="B6" s="59"/>
      <c r="C6" s="60"/>
      <c r="D6" s="60"/>
      <c r="E6" s="60"/>
      <c r="F6" s="60"/>
      <c r="G6" s="60"/>
      <c r="H6" s="61"/>
    </row>
    <row r="7" spans="2:11">
      <c r="B7" s="71" t="s">
        <v>160</v>
      </c>
      <c r="C7" s="1" t="s">
        <v>104</v>
      </c>
    </row>
    <row r="8" spans="2:11">
      <c r="B8" s="71" t="s">
        <v>127</v>
      </c>
      <c r="C8" s="1" t="s">
        <v>104</v>
      </c>
    </row>
    <row r="10" spans="2:11">
      <c r="B10" s="12" t="s">
        <v>145</v>
      </c>
    </row>
    <row r="11" spans="2:11">
      <c r="B11" s="54" t="s">
        <v>139</v>
      </c>
      <c r="C11" s="54" t="s">
        <v>140</v>
      </c>
      <c r="D11" s="54" t="s">
        <v>136</v>
      </c>
      <c r="E11" s="54" t="s">
        <v>137</v>
      </c>
    </row>
    <row r="12" spans="2:11">
      <c r="B12" s="1" t="s">
        <v>142</v>
      </c>
      <c r="C12" s="1">
        <v>1</v>
      </c>
      <c r="D12" s="1">
        <v>3</v>
      </c>
      <c r="E12" s="1" t="s">
        <v>138</v>
      </c>
    </row>
    <row r="13" spans="2:11">
      <c r="B13" s="1" t="s">
        <v>141</v>
      </c>
      <c r="C13" s="1">
        <v>1</v>
      </c>
      <c r="D13" s="1">
        <v>4</v>
      </c>
      <c r="E13" s="1" t="s">
        <v>138</v>
      </c>
    </row>
    <row r="14" spans="2:11">
      <c r="B14" s="10" t="s">
        <v>143</v>
      </c>
      <c r="C14" s="1"/>
      <c r="D14" s="1">
        <v>1</v>
      </c>
      <c r="E14" s="1" t="s">
        <v>138</v>
      </c>
    </row>
    <row r="15" spans="2:11">
      <c r="B15" s="58"/>
      <c r="C15" s="29"/>
      <c r="D15" s="29"/>
      <c r="E15" s="29"/>
    </row>
    <row r="16" spans="2:11">
      <c r="B16" s="12" t="s">
        <v>175</v>
      </c>
      <c r="G16" s="14"/>
    </row>
    <row r="17" spans="2:7" ht="15.75" thickBot="1">
      <c r="B17" s="54" t="s">
        <v>115</v>
      </c>
      <c r="C17" s="54" t="s">
        <v>116</v>
      </c>
      <c r="D17" s="54" t="s">
        <v>117</v>
      </c>
      <c r="E17" s="54" t="s">
        <v>118</v>
      </c>
      <c r="F17" s="54" t="s">
        <v>119</v>
      </c>
      <c r="G17" s="54" t="s">
        <v>120</v>
      </c>
    </row>
    <row r="18" spans="2:7">
      <c r="B18" s="75" t="s">
        <v>121</v>
      </c>
      <c r="C18" s="76">
        <v>9</v>
      </c>
      <c r="D18" s="77">
        <v>4</v>
      </c>
      <c r="E18" s="77">
        <v>4</v>
      </c>
      <c r="F18" s="77">
        <v>0</v>
      </c>
      <c r="G18" s="78">
        <v>11</v>
      </c>
    </row>
    <row r="19" spans="2:7">
      <c r="B19" s="79" t="s">
        <v>122</v>
      </c>
      <c r="C19" s="80">
        <v>7.2</v>
      </c>
      <c r="D19" s="80">
        <v>3</v>
      </c>
      <c r="E19" s="80">
        <v>3</v>
      </c>
      <c r="F19" s="80">
        <v>0</v>
      </c>
      <c r="G19" s="81">
        <v>1</v>
      </c>
    </row>
    <row r="20" spans="2:7">
      <c r="B20" s="79" t="s">
        <v>123</v>
      </c>
      <c r="C20" s="80">
        <v>6.8</v>
      </c>
      <c r="D20" s="80">
        <v>3</v>
      </c>
      <c r="E20" s="80">
        <v>3</v>
      </c>
      <c r="F20" s="80">
        <v>0</v>
      </c>
      <c r="G20" s="81">
        <v>6</v>
      </c>
    </row>
    <row r="21" spans="2:7" ht="39">
      <c r="B21" s="79" t="s">
        <v>124</v>
      </c>
      <c r="C21" s="80">
        <v>438</v>
      </c>
      <c r="D21" s="80">
        <v>171</v>
      </c>
      <c r="E21" s="80">
        <v>171</v>
      </c>
      <c r="F21" s="80">
        <v>0</v>
      </c>
      <c r="G21" s="81">
        <v>157</v>
      </c>
    </row>
    <row r="22" spans="2:7" ht="26.25">
      <c r="B22" s="79" t="s">
        <v>125</v>
      </c>
      <c r="C22" s="80">
        <v>122</v>
      </c>
      <c r="D22" s="80">
        <v>48</v>
      </c>
      <c r="E22" s="80">
        <v>48</v>
      </c>
      <c r="F22" s="80">
        <v>0</v>
      </c>
      <c r="G22" s="81">
        <v>52</v>
      </c>
    </row>
    <row r="23" spans="2:7">
      <c r="B23" s="82" t="s">
        <v>126</v>
      </c>
      <c r="C23" s="83">
        <v>77</v>
      </c>
      <c r="D23" s="83">
        <v>28</v>
      </c>
      <c r="E23" s="83">
        <v>0</v>
      </c>
      <c r="F23" s="83">
        <v>28</v>
      </c>
      <c r="G23" s="84"/>
    </row>
    <row r="24" spans="2:7">
      <c r="B24" s="85" t="s">
        <v>152</v>
      </c>
      <c r="C24" s="86"/>
      <c r="D24" s="86"/>
      <c r="E24" s="86"/>
      <c r="F24" s="86"/>
      <c r="G24" s="87">
        <v>1</v>
      </c>
    </row>
    <row r="25" spans="2:7">
      <c r="B25" s="88" t="s">
        <v>153</v>
      </c>
      <c r="C25" s="86"/>
      <c r="D25" s="86"/>
      <c r="E25" s="86"/>
      <c r="F25" s="86"/>
      <c r="G25" s="87">
        <v>5</v>
      </c>
    </row>
    <row r="26" spans="2:7">
      <c r="B26" s="89" t="s">
        <v>154</v>
      </c>
      <c r="C26" s="86"/>
      <c r="D26" s="86"/>
      <c r="E26" s="86"/>
      <c r="F26" s="86"/>
      <c r="G26" s="87">
        <v>4</v>
      </c>
    </row>
    <row r="27" spans="2:7" ht="15.75" thickBot="1">
      <c r="B27" s="90" t="s">
        <v>155</v>
      </c>
      <c r="C27" s="91"/>
      <c r="D27" s="91"/>
      <c r="E27" s="91"/>
      <c r="F27" s="91"/>
      <c r="G27" s="92">
        <v>1</v>
      </c>
    </row>
    <row r="28" spans="2:7" ht="15.75" thickBot="1">
      <c r="B28" s="72" t="s">
        <v>98</v>
      </c>
      <c r="C28" s="73">
        <v>660</v>
      </c>
      <c r="D28" s="73">
        <v>257</v>
      </c>
      <c r="E28" s="73">
        <v>229</v>
      </c>
      <c r="F28" s="73">
        <v>28</v>
      </c>
      <c r="G28" s="74">
        <f>SUM(G18:G27)</f>
        <v>238</v>
      </c>
    </row>
    <row r="30" spans="2:7">
      <c r="B30" s="12" t="s">
        <v>176</v>
      </c>
    </row>
    <row r="31" spans="2:7">
      <c r="B31" s="69" t="s">
        <v>146</v>
      </c>
      <c r="C31" s="70" t="s">
        <v>156</v>
      </c>
      <c r="D31" s="70" t="s">
        <v>157</v>
      </c>
    </row>
    <row r="32" spans="2:7">
      <c r="B32" s="62" t="s">
        <v>147</v>
      </c>
      <c r="C32" s="63">
        <v>11</v>
      </c>
      <c r="D32" s="63">
        <v>11</v>
      </c>
    </row>
    <row r="33" spans="1:5">
      <c r="B33" s="62" t="s">
        <v>148</v>
      </c>
      <c r="C33" s="63">
        <v>6</v>
      </c>
      <c r="D33" s="63">
        <v>6</v>
      </c>
    </row>
    <row r="34" spans="1:5" ht="26.25">
      <c r="B34" s="64" t="s">
        <v>149</v>
      </c>
      <c r="C34" s="63">
        <v>140</v>
      </c>
      <c r="D34" s="63">
        <v>157</v>
      </c>
    </row>
    <row r="35" spans="1:5" ht="45">
      <c r="B35" s="3" t="s">
        <v>150</v>
      </c>
      <c r="C35" s="63">
        <v>52</v>
      </c>
      <c r="D35" s="63">
        <v>52</v>
      </c>
    </row>
    <row r="36" spans="1:5">
      <c r="B36" s="62" t="s">
        <v>151</v>
      </c>
      <c r="C36" s="63">
        <v>1</v>
      </c>
      <c r="D36" s="63">
        <v>1</v>
      </c>
    </row>
    <row r="37" spans="1:5">
      <c r="B37" s="62" t="s">
        <v>152</v>
      </c>
      <c r="C37" s="63">
        <v>1</v>
      </c>
      <c r="D37" s="63">
        <v>1</v>
      </c>
    </row>
    <row r="38" spans="1:5">
      <c r="B38" s="65" t="s">
        <v>153</v>
      </c>
      <c r="C38" s="63">
        <v>5</v>
      </c>
      <c r="D38" s="63">
        <v>5</v>
      </c>
    </row>
    <row r="39" spans="1:5">
      <c r="B39" s="66" t="s">
        <v>154</v>
      </c>
      <c r="C39" s="63">
        <v>4</v>
      </c>
      <c r="D39" s="63">
        <v>4</v>
      </c>
    </row>
    <row r="40" spans="1:5">
      <c r="B40" s="66" t="s">
        <v>155</v>
      </c>
      <c r="C40" s="63">
        <v>1</v>
      </c>
      <c r="D40" s="63">
        <v>1</v>
      </c>
    </row>
    <row r="41" spans="1:5">
      <c r="B41" s="67" t="s">
        <v>98</v>
      </c>
      <c r="C41" s="68">
        <f>SUM(C32:C40)</f>
        <v>221</v>
      </c>
      <c r="D41" s="68">
        <f>SUM(D32:D40)</f>
        <v>238</v>
      </c>
    </row>
    <row r="43" spans="1:5">
      <c r="A43" s="12" t="s">
        <v>166</v>
      </c>
    </row>
    <row r="44" spans="1:5" ht="30">
      <c r="A44" s="96" t="s">
        <v>167</v>
      </c>
      <c r="B44" s="96" t="s">
        <v>168</v>
      </c>
      <c r="C44" s="96" t="s">
        <v>170</v>
      </c>
      <c r="D44" s="96" t="s">
        <v>171</v>
      </c>
      <c r="E44" s="95" t="s">
        <v>169</v>
      </c>
    </row>
    <row r="45" spans="1:5">
      <c r="A45" s="1">
        <v>1</v>
      </c>
      <c r="B45" s="1" t="s">
        <v>161</v>
      </c>
      <c r="C45" s="1" t="s">
        <v>104</v>
      </c>
      <c r="D45" s="1"/>
      <c r="E45" s="1"/>
    </row>
    <row r="46" spans="1:5">
      <c r="A46" s="1">
        <v>2</v>
      </c>
      <c r="B46" s="1" t="s">
        <v>162</v>
      </c>
      <c r="C46" s="1" t="s">
        <v>104</v>
      </c>
      <c r="D46" s="1"/>
      <c r="E46" s="1"/>
    </row>
    <row r="47" spans="1:5">
      <c r="A47" s="1">
        <v>3</v>
      </c>
      <c r="B47" s="1" t="s">
        <v>163</v>
      </c>
      <c r="C47" s="1" t="s">
        <v>104</v>
      </c>
      <c r="D47" s="1"/>
      <c r="E47" s="1"/>
    </row>
    <row r="48" spans="1:5" ht="45">
      <c r="A48" s="93">
        <v>4</v>
      </c>
      <c r="B48" s="93" t="s">
        <v>164</v>
      </c>
      <c r="C48" s="101" t="s">
        <v>178</v>
      </c>
      <c r="D48" s="102">
        <f>[1]Rembes!$D$218</f>
        <v>3701000</v>
      </c>
      <c r="E48" s="103" t="s">
        <v>177</v>
      </c>
    </row>
    <row r="49" spans="1:5">
      <c r="A49" s="94"/>
      <c r="B49" s="94"/>
      <c r="C49" s="94"/>
      <c r="D49" s="94"/>
      <c r="E49" s="94"/>
    </row>
    <row r="50" spans="1:5">
      <c r="A50" s="1">
        <v>5</v>
      </c>
      <c r="B50" s="1" t="s">
        <v>165</v>
      </c>
      <c r="C50" s="1" t="s">
        <v>104</v>
      </c>
      <c r="D50" s="1"/>
      <c r="E50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ALERT</vt:lpstr>
      <vt:lpstr>Consume &amp; Cost</vt:lpstr>
      <vt:lpstr>Status &amp; Utilisasi gedung</vt:lpstr>
      <vt:lpstr>Asset management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PC-PAKMUKHTAR</dc:creator>
  <cp:lastModifiedBy>PC-PAKMUKHTAR</cp:lastModifiedBy>
  <dcterms:created xsi:type="dcterms:W3CDTF">2026-08-06T09:30:05Z</dcterms:created>
  <dcterms:modified xsi:type="dcterms:W3CDTF">2026-09-04T07:58:31Z</dcterms:modified>
</cp:coreProperties>
</file>