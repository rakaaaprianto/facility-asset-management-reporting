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_MASTER" sheetId="1" r:id="rId5"/>
    <sheet state="visible" name="01_PKS" sheetId="2" r:id="rId6"/>
    <sheet state="visible" name="02_RKAP_PROJECT" sheetId="3" r:id="rId7"/>
    <sheet state="visible" name="03_MAINTENANCE" sheetId="4" r:id="rId8"/>
    <sheet state="visible" name="04_NEAR MISS_INCIDENT" sheetId="5" r:id="rId9"/>
    <sheet state="visible" name="05_LISTRIK" sheetId="6" r:id="rId10"/>
    <sheet state="visible" name="06_SOLAR_GENSET" sheetId="7" r:id="rId11"/>
    <sheet state="visible" name="07_BBM_KENDARAAN" sheetId="8" r:id="rId12"/>
    <sheet state="visible" name="08_PDAM" sheetId="9" r:id="rId13"/>
    <sheet state="visible" name="09_MATERIAL_REPLACEMENT" sheetId="10" r:id="rId14"/>
    <sheet state="visible" name="10_UTILISASI_GEDUNG" sheetId="11" r:id="rId15"/>
    <sheet state="visible" name="11_BOOKING" sheetId="12" r:id="rId16"/>
    <sheet state="visible" name="12_CHURN" sheetId="13" r:id="rId17"/>
    <sheet state="visible" name="13_KEAMANAN_KEBERSIHAN" sheetId="14" r:id="rId18"/>
    <sheet state="visible" name="14_LAYANAN_AKTIF" sheetId="15" r:id="rId19"/>
    <sheet state="visible" name="15_JUMLAH KARYAWAN" sheetId="16" r:id="rId20"/>
    <sheet state="visible" name="16_OPEN_INVOICE" sheetId="17" r:id="rId21"/>
    <sheet state="visible" name="17_INVOICE_PROSES" sheetId="18" r:id="rId22"/>
    <sheet state="visible" name="18_INVOICE_PAID" sheetId="19" r:id="rId23"/>
    <sheet state="visible" name="19_INCIDENT_PETTY_CASH" sheetId="20" r:id="rId24"/>
    <sheet state="visible" name="20_PENYERAPAN_RKAP_CAPEX_OPEX" sheetId="21" r:id="rId25"/>
    <sheet state="visible" name="21_AB" sheetId="22" r:id="rId26"/>
    <sheet state="visible" name="22_NEW_CAPEX" sheetId="23" r:id="rId27"/>
    <sheet state="visible" name="24_INVENTORY" sheetId="24" r:id="rId28"/>
    <sheet state="visible" name="23_MUTASI_CAPEX" sheetId="25" r:id="rId29"/>
  </sheets>
  <definedNames>
    <definedName hidden="1" localSheetId="1" name="_xlnm._FilterDatabase">'01_PKS'!$A$1:$Z$34</definedName>
    <definedName hidden="1" localSheetId="3" name="_xlnm._FilterDatabase">'03_MAINTENANCE'!$A$1:$Z$20</definedName>
    <definedName hidden="1" localSheetId="9" name="_xlnm._FilterDatabase">'09_MATERIAL_REPLACEMENT'!$A$1:$Z$118</definedName>
  </definedNames>
  <calcPr/>
  <pivotCaches>
    <pivotCache cacheId="0" r:id="rId30"/>
  </pivotCaches>
</workbook>
</file>

<file path=xl/sharedStrings.xml><?xml version="1.0" encoding="utf-8"?>
<sst xmlns="http://schemas.openxmlformats.org/spreadsheetml/2006/main" count="2250" uniqueCount="620">
  <si>
    <t>Master</t>
  </si>
  <si>
    <t>No</t>
  </si>
  <si>
    <t>Value</t>
  </si>
  <si>
    <t>Status</t>
  </si>
  <si>
    <t>Site/Project</t>
  </si>
  <si>
    <t>Nama Project/Target</t>
  </si>
  <si>
    <t>Periode</t>
  </si>
  <si>
    <t>Active</t>
  </si>
  <si>
    <t>Jenis</t>
  </si>
  <si>
    <t>Target RKAP</t>
  </si>
  <si>
    <t>Near Expired</t>
  </si>
  <si>
    <t>Progress</t>
  </si>
  <si>
    <t>Due Date</t>
  </si>
  <si>
    <t>Expired</t>
  </si>
  <si>
    <t>Sisa Hari</t>
  </si>
  <si>
    <t>PIC</t>
  </si>
  <si>
    <t>Renewal Process</t>
  </si>
  <si>
    <t>Keterangan</t>
  </si>
  <si>
    <t>Not Started</t>
  </si>
  <si>
    <t>Site/Gedung</t>
  </si>
  <si>
    <t>Area</t>
  </si>
  <si>
    <t>Done</t>
  </si>
  <si>
    <t>Jenis Pekerjaan</t>
  </si>
  <si>
    <t>Overdue</t>
  </si>
  <si>
    <t>Tanggal Berakhir</t>
  </si>
  <si>
    <t>Detail Pekerjaan</t>
  </si>
  <si>
    <t>Open</t>
  </si>
  <si>
    <t>Target Pelaksanaan</t>
  </si>
  <si>
    <t>Closed</t>
  </si>
  <si>
    <t>Cancelled</t>
  </si>
  <si>
    <t>Vendor</t>
  </si>
  <si>
    <t>Approved</t>
  </si>
  <si>
    <t>Estimasi Biaya</t>
  </si>
  <si>
    <t>Rejected</t>
  </si>
  <si>
    <t>Completed</t>
  </si>
  <si>
    <t>Tanggal Selesai</t>
  </si>
  <si>
    <t>Project</t>
  </si>
  <si>
    <t>RKAP</t>
  </si>
  <si>
    <t>CAPEX</t>
  </si>
  <si>
    <t>OPEX</t>
  </si>
  <si>
    <t>Severity</t>
  </si>
  <si>
    <t>Low</t>
  </si>
  <si>
    <t>KHAERUN N</t>
  </si>
  <si>
    <t>Medium</t>
  </si>
  <si>
    <t>Gatsu</t>
  </si>
  <si>
    <t>High</t>
  </si>
  <si>
    <t>Medan</t>
  </si>
  <si>
    <t>TBB</t>
  </si>
  <si>
    <t>Critical</t>
  </si>
  <si>
    <t>AC</t>
  </si>
  <si>
    <t>Probability</t>
  </si>
  <si>
    <t>Kerusakan Bearing AC Casset Lanayan lt. 2 dan dilakukan perbaikan oleh mitra</t>
  </si>
  <si>
    <t>Priority</t>
  </si>
  <si>
    <t>HUDA</t>
  </si>
  <si>
    <t>Satuan</t>
  </si>
  <si>
    <t>Unit</t>
  </si>
  <si>
    <t>Buah</t>
  </si>
  <si>
    <t>Liter</t>
  </si>
  <si>
    <t>m³</t>
  </si>
  <si>
    <t>kWh</t>
  </si>
  <si>
    <t>Set</t>
  </si>
  <si>
    <t>Orang</t>
  </si>
  <si>
    <t>Aspek</t>
  </si>
  <si>
    <t>Security</t>
  </si>
  <si>
    <t>Cleaning</t>
  </si>
  <si>
    <t>Jenis PKS</t>
  </si>
  <si>
    <t>Sewa Gedung</t>
  </si>
  <si>
    <t>Maintenance</t>
  </si>
  <si>
    <t>Lainnya</t>
  </si>
  <si>
    <t>SRI RATU</t>
  </si>
  <si>
    <t>GIF</t>
  </si>
  <si>
    <t>Jakarta</t>
  </si>
  <si>
    <t>Maintenance Rutin</t>
  </si>
  <si>
    <t>Bassura</t>
  </si>
  <si>
    <t>1 Bulan 2 kali</t>
  </si>
  <si>
    <t>ITC Depok Sewa No 6</t>
  </si>
  <si>
    <t>graha intan</t>
  </si>
  <si>
    <t>Yogyakarta</t>
  </si>
  <si>
    <t>Karpet</t>
  </si>
  <si>
    <t>ITC Depok Sewa No 7</t>
  </si>
  <si>
    <t>Perbaikan toilet Lt 1 Graha Intan</t>
  </si>
  <si>
    <t>ITC Depok Sewa No 8</t>
  </si>
  <si>
    <t>Perbaikan toilet Lt 2 Graha Intan</t>
  </si>
  <si>
    <t>ITC Depok Service No 6</t>
  </si>
  <si>
    <t>ITC Depok Service No 7</t>
  </si>
  <si>
    <t>Atap</t>
  </si>
  <si>
    <t xml:space="preserve">Perbaikan atap bocor asbes gelombang </t>
  </si>
  <si>
    <t>ITC Depok Service No 8</t>
  </si>
  <si>
    <t>MAJAPAHIT</t>
  </si>
  <si>
    <t>Tangga</t>
  </si>
  <si>
    <t>Perbaikan tangga darurat pintu selatan</t>
  </si>
  <si>
    <t>RUKO SRI RATU</t>
  </si>
  <si>
    <t>Kalbe</t>
  </si>
  <si>
    <t>GraPARI Bintaro X Change</t>
  </si>
  <si>
    <t>Perbaikan atap bocor</t>
  </si>
  <si>
    <t>GRAHA INTAN JOGJAKARTA</t>
  </si>
  <si>
    <t>Pagar</t>
  </si>
  <si>
    <t>Perbaikan pagar utama</t>
  </si>
  <si>
    <t>TENDEAN</t>
  </si>
  <si>
    <t>Mampang</t>
  </si>
  <si>
    <t>Genset</t>
  </si>
  <si>
    <t>GRAHA PENA SURABAYA</t>
  </si>
  <si>
    <t>GRHA TELKOM BSD 4</t>
  </si>
  <si>
    <t>Lift</t>
  </si>
  <si>
    <t>GRHA TELKOM BSD 8</t>
  </si>
  <si>
    <t>1 Bulan Sekali</t>
  </si>
  <si>
    <t>PAHLAWAN 6</t>
  </si>
  <si>
    <t>Pest Kontrol</t>
  </si>
  <si>
    <t>PAHLAWAN 7</t>
  </si>
  <si>
    <t>PLASA TELKOM MALANG</t>
  </si>
  <si>
    <t>Fire Alarm System</t>
  </si>
  <si>
    <t>GraPARI Cikupa</t>
  </si>
  <si>
    <t>3 Bulan sekali</t>
  </si>
  <si>
    <t>GraPARI TSM</t>
  </si>
  <si>
    <t>Fire Suppression</t>
  </si>
  <si>
    <t>OPMC BOGOR NAS</t>
  </si>
  <si>
    <t>Sri Ratu</t>
  </si>
  <si>
    <t>Semarang</t>
  </si>
  <si>
    <t>Service Lift penggantian tombol di lantai 2</t>
  </si>
  <si>
    <t>GraPARI Emporium Pluit</t>
  </si>
  <si>
    <t>Toilet</t>
  </si>
  <si>
    <t>GraPARI Karawaci Supermall</t>
  </si>
  <si>
    <t>Perbaikan saluran pembuangan urinoir Lt4, penambahan avur</t>
  </si>
  <si>
    <t>Pengantian karpet layanan lantai 2 , Lt4</t>
  </si>
  <si>
    <t>GRAHA INTI FAUZI BSI</t>
  </si>
  <si>
    <t>KALBE JOGJA</t>
  </si>
  <si>
    <t>Lady Bin</t>
  </si>
  <si>
    <t>Penggantian lady bin all lantai sri ratu</t>
  </si>
  <si>
    <t>CSB</t>
  </si>
  <si>
    <t>ITC Depok Sewa</t>
  </si>
  <si>
    <t>ITC Depok Service</t>
  </si>
  <si>
    <t>ITC Depok Sewa LG.THL.01 (SITTING AREA)</t>
  </si>
  <si>
    <t>GraPARI BEC (Bandung)</t>
  </si>
  <si>
    <t>GraPARI MTC</t>
  </si>
  <si>
    <t>Tanggal</t>
  </si>
  <si>
    <t>Lokasi</t>
  </si>
  <si>
    <t>Deskripsi Kejadian</t>
  </si>
  <si>
    <t>Kategori</t>
  </si>
  <si>
    <t>Tindakan Awal</t>
  </si>
  <si>
    <t>Root Cause</t>
  </si>
  <si>
    <t>Corrective Action</t>
  </si>
  <si>
    <t>Target Penyelesaian</t>
  </si>
  <si>
    <t>Tanggal Closed</t>
  </si>
  <si>
    <t>Gedung Majapahit Semarang</t>
  </si>
  <si>
    <t>Vinyl lantai area musholla dan tempat wudhu sebagian mengelupas</t>
  </si>
  <si>
    <t>Kejadian/Kerusakan</t>
  </si>
  <si>
    <t>All Site Manager</t>
  </si>
  <si>
    <t>1 unit AC cassette layanan Halo BCA error</t>
  </si>
  <si>
    <t>Papan tulis kaca ruang meeting lt.2 lepas/pecah</t>
  </si>
  <si>
    <t>1 lampu padam area ruang Labkom 2</t>
  </si>
  <si>
    <t>Dudukan pengunci pintu Labkom 1 &amp; Labkom 2 rusak</t>
  </si>
  <si>
    <t>Dilaporkan 23 afo expired tanggal 09 Juli 2026</t>
  </si>
  <si>
    <t>Lain-lain</t>
  </si>
  <si>
    <t>IDC Ciawi</t>
  </si>
  <si>
    <t>Ciawi</t>
  </si>
  <si>
    <t>Anunsiator alarm ruang server &amp; posko sementara di off kan karena CPU anunsiator trouble/error, notifikasi alarm selalu muncul setiap menit (harus diganti) - sudah diketahui Bpk. Khaerun &amp; Bpk. Huda</t>
  </si>
  <si>
    <t>1 unit exhaust fan gedung Provue masih kondisi gulungan terbakar (proses JIP budget), diperbaiki untuk digulung ulang atau ganti unit baru</t>
  </si>
  <si>
    <t>Area dalam gedung Office Ex BDP: plafon &amp; keramik kondisi rusak</t>
  </si>
  <si>
    <t>APAR expired tgl 18 Juli 2025, jumlah 48 tabung</t>
  </si>
  <si>
    <t>Gedung OPMC Bogor</t>
  </si>
  <si>
    <t>Bogor</t>
  </si>
  <si>
    <t>Jumlah APAR: 6 tabung masal, berlaku s/d 20 Mei 2027</t>
  </si>
  <si>
    <t>UPS Lt.3 sementara OFF menunggu perbaikan selanjutnya dari vendor PT. Mandiri IDMICA Bersaudara</t>
  </si>
  <si>
    <t>Informasi Kerusakan Gedung</t>
  </si>
  <si>
    <t>CCTV lantai 2 &amp; 3 terkendala sering error (menunggu pergantian perangkat)</t>
  </si>
  <si>
    <t>(Area Lantai 3) Ada kebocoran (rembes) dari jendela kaca jika hujan deras</t>
  </si>
  <si>
    <t>(Area Lift) Exhaust fan di dalam lift rusak (sedang tahap pengajuan dari GSD)</t>
  </si>
  <si>
    <t>(Area di B1) Ada titik kebocoran rembesan di area atap jika terjadi hujan di area gudang (sudah dilaporkan, belum ada progres pengerjaan dari GSD)</t>
  </si>
  <si>
    <t>(Area Ground) 1 unit AC di ruang Infratel rusak, compressor AC rusak/jebol (sudah dilaporkan, menunggu biaya dari layanan atau dikerjakan dulu prosesnya oleh FAM)</t>
  </si>
  <si>
    <t>Gedung Grha Telkom BSD</t>
  </si>
  <si>
    <t>Tangerang</t>
  </si>
  <si>
    <t>1 unit AC layanan Retensi kurang dingin (belum ada bahan freon, masih menunggu dari admin/layanan)</t>
  </si>
  <si>
    <t>1 unit AC ruang server rusak (sudah koordinasi pihak gedung/GSD, belum ada barang pengganti)</t>
  </si>
  <si>
    <t>4 unit AC cassette gedung di ruang ERM kurang dingin/rusak/1 bocor (ada rencana pakai AC standing milik Infomedia)</t>
  </si>
  <si>
    <t>Kunci ruang meeting rusak, silinder kunci rusak (menunggu dari admin)</t>
  </si>
  <si>
    <t>2 unit AC layanan VAME mati (menunggu dana buat penambahan AC milik Infomedia)</t>
  </si>
  <si>
    <t>1 unit AC split ruang Admin tidak dingin (rencana pasang AC milik Infomedia)</t>
  </si>
  <si>
    <t>Pintu akses layanan CRM rusak/tidak aktif (perbaikan plat pengait)</t>
  </si>
  <si>
    <t>Ruang Layanan CRM, VAME, Sosmed, Ex Siloam, R. Admin, R. Meeting, Musholla bocor di area jendela dan layanan saat hujan; sudah dilaporkan ke pihak gedung dan sudah dilakukan investigasi</t>
  </si>
  <si>
    <t>Masih terjadi bocor area kerja Agent, R. VIP, R. Training lt.8 saat hujan deras</t>
  </si>
  <si>
    <t>AC di layanan INDIBIZ lt.4 freon bocor sehingga AC tidak dingin</t>
  </si>
  <si>
    <t>Akustik di layanan CC ERM Lt.4 jebol (sudah koordinasi ME gedung)</t>
  </si>
  <si>
    <t>AC split R. Meeting Harmoni Lt.4 mati, ada kebocoran di area pipa (sudah koordinasi ME gedung)</t>
  </si>
  <si>
    <t>Gedung Infomedia Fatmawati</t>
  </si>
  <si>
    <t>Kebocoran saat hujan di kanopi lobby (by vendor)</t>
  </si>
  <si>
    <t>Kerusakan Gedung</t>
  </si>
  <si>
    <t>Keretakan kaca di bagian bawah sudut kanan layanan Suzuki (by vendor)</t>
  </si>
  <si>
    <t>CCTV No. D55 (area parkir motor belakang) error (signal internet)</t>
  </si>
  <si>
    <t>Keretakan glass block pada dinding tangga darurat timur lt.5 (by vendor)</t>
  </si>
  <si>
    <t>Kerusakan lantai di beberapa bagian di area kerja lt.3 (by vendor)</t>
  </si>
  <si>
    <t>Access door ruang BFI Operation (Bp. Yogi) tidak berfungsi (sudah diinformasikan ke operator untuk penggantian)</t>
  </si>
  <si>
    <t>Kebocoran saat hujan di bagian sudut kanan atas ruang mesin pompa lt.B (by vendor)</t>
  </si>
  <si>
    <t>Keretakan dinding kaca lt.2 di depan gedung tepat pada besi penopang kanopi lobby luar (by vendor)</t>
  </si>
  <si>
    <t>Blackscreen display room booking R. Meeting 3.2 (by vendor, proses pengajuan penawaran)</t>
  </si>
  <si>
    <t>Kerusakan/robek wallpaper dinding di toilet lt.3 (by vendor)</t>
  </si>
  <si>
    <t>UPS lt.3 fan berbunyi kasar (sudah diketahui vendor PT. IMB)</t>
  </si>
  <si>
    <t>Kebocoran saat hujan di ruang Sekretariat Masjid (dugaan sementara terjadi setelah perbaikan paving blok, sebelumnya tidak ada)</t>
  </si>
  <si>
    <t>Kebocoran saat hujan di glass block tangga darurat timur lt.4 (by vendor)</t>
  </si>
  <si>
    <t>UPS lt.D status bypass (sudah ada backup UPS 10 KVA)</t>
  </si>
  <si>
    <t>Rembesan air saat hujan pada tiang dinding di R. CCTV (by vendor)</t>
  </si>
  <si>
    <t>1 titik sprinkler bekas uji reksa oleh Tuvnord belum diganti, valve sprinkler area basement kondisi masih tertutup (by vendor, dalam proses penawaran perbaikan kebocoran di masjid)</t>
  </si>
  <si>
    <t>Kebocoran saat hujan di area depan teras masjid (by vendor)</t>
  </si>
  <si>
    <t>Retak kaca di dalam lift pada bagian ujung kanan atas (by vendor)</t>
  </si>
  <si>
    <t>Kebocoran di area ruang tunggu BOD lt.4 sudah tidak terlihat lagi (vendor Inmedko belum selesai penanganan di area rooftop/perapihan tribune dan lantainya)</t>
  </si>
  <si>
    <t>Rembesan saat hujan deras di tiang-tiang area basement</t>
  </si>
  <si>
    <t>Wallpaper dinding lt.D ruang fax terkelupas (sudah dilakukan pengeleman oleh ME)</t>
  </si>
  <si>
    <t>Layar room booking R. Meeting Akhlak lt.4 terlepas, frame LCD patah (sudah diserahkan ke security, by Data Scrip)</t>
  </si>
  <si>
    <t>Impeller pompa transfer harus diganti karena as sudah aus (saat ini 1 pompa yang bekerja)</t>
  </si>
  <si>
    <t>Pintu toilet pria lt.D tidak bisa menutup rapat otomatis dikarenakan seret</t>
  </si>
  <si>
    <t>Kebocoran saat hujan di ruang Dir. FRM (sudah dalam pengerjaan)</t>
  </si>
  <si>
    <t>Kebocoran saat hujan di R. CCTV di bagian bawah AC</t>
  </si>
  <si>
    <t>Display room booking 5.1 mati/blackscreen</t>
  </si>
  <si>
    <t>Access door layanan Sompo rusak (sudah dilakukan pengecekan oleh ME)</t>
  </si>
  <si>
    <t>CCTV No. D21 area rooftop studio musik lt.5 error (sudah dicek ME Bp. Haerul, diketahui jalur kabel rusak)</t>
  </si>
  <si>
    <t>Meter ID</t>
  </si>
  <si>
    <t>Pemakaian kWh</t>
  </si>
  <si>
    <t>Nilai Tagihan</t>
  </si>
  <si>
    <t>Gedung Infomedia Contact Center Mampang</t>
  </si>
  <si>
    <t>Meter Awal</t>
  </si>
  <si>
    <t>Terjadi kebocoran/rembes air saat hujan dari lt.2 s/d lt.4 (harus dilakukan pengecekan pada sisi sambungan kaca dan pengeleman ulang kaca sisi luar oleh mitra tenaga ahli dalam perbaikan)</t>
  </si>
  <si>
    <t>Meter Akhir</t>
  </si>
  <si>
    <t>Tanggal Update</t>
  </si>
  <si>
    <t>Juli</t>
  </si>
  <si>
    <t>Plafon koridor lt.5 ada kebocoran (untuk perbaikan harus dilakukan oleh mitra/vendor)</t>
  </si>
  <si>
    <t>Infomedia Sri Ratu Semarang</t>
  </si>
  <si>
    <t>On proses perbaikan hardisk UN error DVR CCTV lt.3</t>
  </si>
  <si>
    <t>FAM 1</t>
  </si>
  <si>
    <t>Terjadi kerusakan pada konektor CCTV lt.5 di PC pos security</t>
  </si>
  <si>
    <t>FAM 3</t>
  </si>
  <si>
    <t>Yogyakarta graha intan</t>
  </si>
  <si>
    <t>FAM 5</t>
  </si>
  <si>
    <t>Kerusakan akibat kebakaran dari gedung sebelah (cafe Winer) di area ex layanan Allianz In</t>
  </si>
  <si>
    <t>Yogyakarta kalbe</t>
  </si>
  <si>
    <t>Graha Pena</t>
  </si>
  <si>
    <t>Genset ID</t>
  </si>
  <si>
    <t>Pemakaian Solar (L)</t>
  </si>
  <si>
    <t>Jam Operasi Genset</t>
  </si>
  <si>
    <t>Jumlah Pengisian</t>
  </si>
  <si>
    <t>Harga/Liter</t>
  </si>
  <si>
    <t>Total Biaya</t>
  </si>
  <si>
    <t>Sisa stock 100 Liter</t>
  </si>
  <si>
    <t>06-January-26</t>
  </si>
  <si>
    <t>3.15</t>
  </si>
  <si>
    <t>Site</t>
  </si>
  <si>
    <t>13-January-26</t>
  </si>
  <si>
    <t>No. Kendaraan</t>
  </si>
  <si>
    <t>Jenis Kendaraan</t>
  </si>
  <si>
    <t>Jenis BBM</t>
  </si>
  <si>
    <t>Pemakaian (L)</t>
  </si>
  <si>
    <t>Odometer Awal</t>
  </si>
  <si>
    <t>Odometer Akhir</t>
  </si>
  <si>
    <t>20-January-26</t>
  </si>
  <si>
    <t>Total Jarak Tempuh</t>
  </si>
  <si>
    <t>27-January-26</t>
  </si>
  <si>
    <t>B 2279 PIO</t>
  </si>
  <si>
    <t>28-January-26</t>
  </si>
  <si>
    <t>All Site Manager / KHAERUN N</t>
  </si>
  <si>
    <t>D 1447 ALT</t>
  </si>
  <si>
    <t>jan</t>
  </si>
  <si>
    <t>Surabaya Grapari</t>
  </si>
  <si>
    <t>Innova Reborn G Diesel</t>
  </si>
  <si>
    <t>fam 5</t>
  </si>
  <si>
    <t>feb</t>
  </si>
  <si>
    <t>mar</t>
  </si>
  <si>
    <t>apr</t>
  </si>
  <si>
    <t>mei</t>
  </si>
  <si>
    <t>jun</t>
  </si>
  <si>
    <t>No. Meter</t>
  </si>
  <si>
    <t>Pemakaian (m³)</t>
  </si>
  <si>
    <t>Yogyakarta Graha Intan</t>
  </si>
  <si>
    <t>menggunakan pompa sumur</t>
  </si>
  <si>
    <t>graha pena surabaya</t>
  </si>
  <si>
    <t>Material</t>
  </si>
  <si>
    <t>Spesifikasi</t>
  </si>
  <si>
    <t>Qty</t>
  </si>
  <si>
    <t>Kondisi Material Lama</t>
  </si>
  <si>
    <t>Alasan Penggantian</t>
  </si>
  <si>
    <t>BSD</t>
  </si>
  <si>
    <t>Lampu</t>
  </si>
  <si>
    <t>Fatmawati</t>
  </si>
  <si>
    <t>Lampu Downlight 12 W bulat</t>
  </si>
  <si>
    <t>Mati</t>
  </si>
  <si>
    <t>Lampu TL 18 Watt</t>
  </si>
  <si>
    <t>Lampu Spotlight</t>
  </si>
  <si>
    <t>Pintu</t>
  </si>
  <si>
    <t>Flexible house</t>
  </si>
  <si>
    <t>pipa flexible</t>
  </si>
  <si>
    <t>rusak</t>
  </si>
  <si>
    <t>Jet Shower</t>
  </si>
  <si>
    <t>jet shower</t>
  </si>
  <si>
    <t>Kran</t>
  </si>
  <si>
    <t>kran</t>
  </si>
  <si>
    <t>Penggantian kran</t>
  </si>
  <si>
    <t>downlight Hannoch 7w</t>
  </si>
  <si>
    <t>downlight Philips 17w</t>
  </si>
  <si>
    <t>TL In-Light 18 w</t>
  </si>
  <si>
    <t>Bohlamp Philips 11 w</t>
  </si>
  <si>
    <t>Filament 7w</t>
  </si>
  <si>
    <t>Filament 4w</t>
  </si>
  <si>
    <t>Led Strip</t>
  </si>
  <si>
    <t>KALBE</t>
  </si>
  <si>
    <t>Penggantian Kran shower</t>
  </si>
  <si>
    <t>Mati/rusak</t>
  </si>
  <si>
    <t>Penggantian kran wastafel</t>
  </si>
  <si>
    <t>Penggantian kran urinoir</t>
  </si>
  <si>
    <t>Penggantian swith level &amp; kran</t>
  </si>
  <si>
    <t>Penggantian lampu</t>
  </si>
  <si>
    <t>Total Luas (m²)</t>
  </si>
  <si>
    <t>Luas Terpakai (m²)</t>
  </si>
  <si>
    <t>Luas Idle (m²)</t>
  </si>
  <si>
    <t>Total Seat</t>
  </si>
  <si>
    <t>Seat Terpakai</t>
  </si>
  <si>
    <t>Seat Idle</t>
  </si>
  <si>
    <t>Utilisasi (%)</t>
  </si>
  <si>
    <t>Penggantian Lampu</t>
  </si>
  <si>
    <t>Tendean</t>
  </si>
  <si>
    <t>LED Downlight 9 Watt</t>
  </si>
  <si>
    <t>OPM Bogor</t>
  </si>
  <si>
    <t>Penggantian 2 set jet shower toilet Lt5</t>
  </si>
  <si>
    <t>OPMC Bogor</t>
  </si>
  <si>
    <t>Penggantian 1 set jet shower toilet Lt2</t>
  </si>
  <si>
    <t>P2P Plaza Telkom</t>
  </si>
  <si>
    <t>Ganti 3 set jet shower toilet Lt1, 2</t>
  </si>
  <si>
    <t>Penggantian 1 set jet shower Lt1,</t>
  </si>
  <si>
    <t>Kabel</t>
  </si>
  <si>
    <t>wiring ulang lampu plc ke led bulp area pos security Lt1</t>
  </si>
  <si>
    <t>Wiring ulang ganti fitting, lampu ke led bulp area pos security Lt1</t>
  </si>
  <si>
    <t>Penggantian 1 Kran T closet lt4</t>
  </si>
  <si>
    <t>BNI MultiSite</t>
  </si>
  <si>
    <t>Penggantian 1 kran T inlet</t>
  </si>
  <si>
    <t>penggantian 4 bh lampu bulb ke led panel cc prodia</t>
  </si>
  <si>
    <t>Citilink</t>
  </si>
  <si>
    <t>penggantian 3 bh lampu LED area Ops cc garuda</t>
  </si>
  <si>
    <t>Penggantian lampu toilet Lt 3, perbaikan otomatis closet</t>
  </si>
  <si>
    <t>Bank Jatim</t>
  </si>
  <si>
    <t>Werring ulang ganti 5 lampu plc di ganti dg lampu bulb</t>
  </si>
  <si>
    <t>Citilink Graha Intan</t>
  </si>
  <si>
    <t>Penggantian 2 led downlite koridor sll - caselab</t>
  </si>
  <si>
    <t>Penggantian 2 lampu downlite area lounge</t>
  </si>
  <si>
    <t>Parquet</t>
  </si>
  <si>
    <t>Perbaikan lantai parquet area koridor ke toilet/mushola</t>
  </si>
  <si>
    <t>Siloam</t>
  </si>
  <si>
    <t>Lampu penerangan</t>
  </si>
  <si>
    <t>Taspen</t>
  </si>
  <si>
    <t>Bank of India</t>
  </si>
  <si>
    <t>Pegadaian</t>
  </si>
  <si>
    <t>Alloresh</t>
  </si>
  <si>
    <t>Kemenkes Satu Sehat</t>
  </si>
  <si>
    <t>Pegadaian (space ex Aladin)</t>
  </si>
  <si>
    <t>Damri</t>
  </si>
  <si>
    <t>CRM Kalbe</t>
  </si>
  <si>
    <t>Mobile Drawer</t>
  </si>
  <si>
    <t>Baut, tang &amp; obeng</t>
  </si>
  <si>
    <t>Tanggal Booking</t>
  </si>
  <si>
    <t>Ruangan</t>
  </si>
  <si>
    <t>Luas (m2)</t>
  </si>
  <si>
    <t>Seat</t>
  </si>
  <si>
    <t>Nama Pemesan</t>
  </si>
  <si>
    <t>Status Booking</t>
  </si>
  <si>
    <t>ex. Meeting Room SRC</t>
  </si>
  <si>
    <t>Danamon</t>
  </si>
  <si>
    <t>Deal</t>
  </si>
  <si>
    <t>DILLA</t>
  </si>
  <si>
    <t>ex. SRC</t>
  </si>
  <si>
    <t>Allo Bank</t>
  </si>
  <si>
    <t>Booking</t>
  </si>
  <si>
    <t>OPMC Tendean</t>
  </si>
  <si>
    <t>ex. FASSO</t>
  </si>
  <si>
    <t>DMO HQ</t>
  </si>
  <si>
    <t>ex. Damri</t>
  </si>
  <si>
    <t>CC Bapenda</t>
  </si>
  <si>
    <t>Used</t>
  </si>
  <si>
    <t>TBB Bandung</t>
  </si>
  <si>
    <t>BO Enterprise ex. richeese</t>
  </si>
  <si>
    <t>Moving Bio Farma</t>
  </si>
  <si>
    <t>Sri Ratu Semarang</t>
  </si>
  <si>
    <t>ex. pertamina</t>
  </si>
  <si>
    <t>BRI</t>
  </si>
  <si>
    <t>ex. BRI</t>
  </si>
  <si>
    <t>ex. Satu sehat</t>
  </si>
  <si>
    <t>Bank Maspion</t>
  </si>
  <si>
    <t>On Progress</t>
  </si>
  <si>
    <t>Menunggu Feedback</t>
  </si>
  <si>
    <t>Graha Intan Yogyakarta</t>
  </si>
  <si>
    <t>B</t>
  </si>
  <si>
    <t>Ex. BPJS</t>
  </si>
  <si>
    <t>Damri (only 5 seat sharing space)</t>
  </si>
  <si>
    <t>ex. Aladin</t>
  </si>
  <si>
    <t>Pegadaian (32 Seat)</t>
  </si>
  <si>
    <t>ex. satu sehat</t>
  </si>
  <si>
    <t>MSIG</t>
  </si>
  <si>
    <t>RENCANA DAMRI PINDAH KE LT 1</t>
  </si>
  <si>
    <t>Customer/Unit</t>
  </si>
  <si>
    <t>Layanan</t>
  </si>
  <si>
    <t>Potensi Churn</t>
  </si>
  <si>
    <t>Indikasi/Alasan</t>
  </si>
  <si>
    <t>Dampak</t>
  </si>
  <si>
    <t>Action Plan</t>
  </si>
  <si>
    <t>Target Follow Up</t>
  </si>
  <si>
    <t xml:space="preserve">Ring Road </t>
  </si>
  <si>
    <t>positif</t>
  </si>
  <si>
    <t>dari 150 seat menjadi 20 seat</t>
  </si>
  <si>
    <t>revenue berkurang</t>
  </si>
  <si>
    <t>mencari prospek client lain</t>
  </si>
  <si>
    <t>All SIte Manager</t>
  </si>
  <si>
    <t>Jumlah Danru</t>
  </si>
  <si>
    <t>Jumlah Anggota</t>
  </si>
  <si>
    <t>Jumlah</t>
  </si>
  <si>
    <t>All Site Manager/Huda</t>
  </si>
  <si>
    <t>ME</t>
  </si>
  <si>
    <t>Graha Pangeran Surabaya</t>
  </si>
  <si>
    <t>Plaza Telkom Malang</t>
  </si>
  <si>
    <t>Graha Pena Surabaya</t>
  </si>
  <si>
    <t>Gedung Kalbe</t>
  </si>
  <si>
    <t>Nama Layanan</t>
  </si>
  <si>
    <t>Luas     (M2)</t>
  </si>
  <si>
    <t>Used Seat</t>
  </si>
  <si>
    <t>Idle Seat</t>
  </si>
  <si>
    <t>Jumlah SDM</t>
  </si>
  <si>
    <t>CC BANK SUMUT lt. 1</t>
  </si>
  <si>
    <t>HR SSO lt. 1</t>
  </si>
  <si>
    <t>CC BANK MESTIKA lt. 1</t>
  </si>
  <si>
    <t>OBC FMC PRODUCT STAGE-2 (TAFF) lt. 1 &amp; 2 (lt. 1 =219 m2 &amp; lt. 2 = 219 m2)</t>
  </si>
  <si>
    <t>COLLECTION CONVERGENCY T. SEL AREA-1 lt. 3</t>
  </si>
  <si>
    <t>R. IDLE  lt. 2</t>
  </si>
  <si>
    <t>PERHUTANI</t>
  </si>
  <si>
    <t>TOKIO MARINE</t>
  </si>
  <si>
    <t>MCD</t>
  </si>
  <si>
    <t>Grapari Telkomsel</t>
  </si>
  <si>
    <t>3A (AUTOMATION, AI &amp; ANALYTICS)</t>
  </si>
  <si>
    <t>RUANG SERVER/UPS</t>
  </si>
  <si>
    <t>PEGADAIAN</t>
  </si>
  <si>
    <t>SUZUKI</t>
  </si>
  <si>
    <t>HM SAMPOERNA</t>
  </si>
  <si>
    <t>GARUDA MILES</t>
  </si>
  <si>
    <t>GARUDA E-COMMERCE</t>
  </si>
  <si>
    <t>GARUDA SUPPORT</t>
  </si>
  <si>
    <t>Eks BPJS (Admin)</t>
  </si>
  <si>
    <t>SOMPO</t>
  </si>
  <si>
    <t>JASINDO</t>
  </si>
  <si>
    <t>BNI SEKURITAS</t>
  </si>
  <si>
    <t>FINNET</t>
  </si>
  <si>
    <t>ASURANSI RAMAYANA</t>
  </si>
  <si>
    <t>Garuda</t>
  </si>
  <si>
    <t>KSP</t>
  </si>
  <si>
    <t>NUON / Melon</t>
  </si>
  <si>
    <t>Federal Oil</t>
  </si>
  <si>
    <t>DMO HQ Cooltura</t>
  </si>
  <si>
    <t>Jamkrindo</t>
  </si>
  <si>
    <t>DPR</t>
  </si>
  <si>
    <t>Acer</t>
  </si>
  <si>
    <t>Dominos</t>
  </si>
  <si>
    <t>Kemenham</t>
  </si>
  <si>
    <t>Mitratel</t>
  </si>
  <si>
    <t>OPS TGNT Segment 3</t>
  </si>
  <si>
    <t>BSS</t>
  </si>
  <si>
    <t>KB Bank</t>
  </si>
  <si>
    <t>MNC</t>
  </si>
  <si>
    <t>IT HM Sampoerna</t>
  </si>
  <si>
    <t>OPS TGNT Segment 2</t>
  </si>
  <si>
    <t>IT ICD</t>
  </si>
  <si>
    <t>DOM ROC</t>
  </si>
  <si>
    <t>R. MGR DOM / 3A</t>
  </si>
  <si>
    <t>DOM Support</t>
  </si>
  <si>
    <t>BES</t>
  </si>
  <si>
    <t>IT BES</t>
  </si>
  <si>
    <t>OPS E 1</t>
  </si>
  <si>
    <t>Telkom DMO</t>
  </si>
  <si>
    <t>ASDP</t>
  </si>
  <si>
    <t>IT</t>
  </si>
  <si>
    <t>IT OPERTION/IOC</t>
  </si>
  <si>
    <t>IT OPERTION</t>
  </si>
  <si>
    <t>Infomedia</t>
  </si>
  <si>
    <t>Metra Holding</t>
  </si>
  <si>
    <t>MD Media</t>
  </si>
  <si>
    <t>Telkom Regional</t>
  </si>
  <si>
    <t>TSSC - EBIS DGS</t>
  </si>
  <si>
    <t>TSSC - EBIS ERM</t>
  </si>
  <si>
    <t>TSSC - EBIS DPS DSS</t>
  </si>
  <si>
    <t>TSSC - EBIS BRAS</t>
  </si>
  <si>
    <t>Telkomedika</t>
  </si>
  <si>
    <t>Telkom Infra</t>
  </si>
  <si>
    <t>PT Metra Net</t>
  </si>
  <si>
    <t>TIF / Infraco</t>
  </si>
  <si>
    <t>SSI</t>
  </si>
  <si>
    <t>GSD</t>
  </si>
  <si>
    <t>R2R FCBP 01 TAX</t>
  </si>
  <si>
    <t>Dept. Recruitment &amp; Training Operation</t>
  </si>
  <si>
    <t>Dept. Industrial Relation SSO</t>
  </si>
  <si>
    <t>Dept. Operationa Payroll SSO</t>
  </si>
  <si>
    <t>GM</t>
  </si>
  <si>
    <t>TSSC - FCBP</t>
  </si>
  <si>
    <t>TSSC - Quality Control</t>
  </si>
  <si>
    <t>TSSC - HELPDESK</t>
  </si>
  <si>
    <t>ISH</t>
  </si>
  <si>
    <t>Digiserve</t>
  </si>
  <si>
    <t>TSSC - Data Ware House</t>
  </si>
  <si>
    <t>SDA - QC AI</t>
  </si>
  <si>
    <t>Senior officer</t>
  </si>
  <si>
    <t>Manager</t>
  </si>
  <si>
    <t>INNOVATION &amp; RESEARCH</t>
  </si>
  <si>
    <t>INCUBATION &amp; PRICING</t>
  </si>
  <si>
    <t>Ideal</t>
  </si>
  <si>
    <t>Team Implementasi Alisa 2.0</t>
  </si>
  <si>
    <t>Bank Syariah Indonesia</t>
  </si>
  <si>
    <t>OPMC-BSD</t>
  </si>
  <si>
    <t>CRM</t>
  </si>
  <si>
    <t>vame</t>
  </si>
  <si>
    <t>RETENSI ERM</t>
  </si>
  <si>
    <t>ERM SOSMED</t>
  </si>
  <si>
    <t>BANK DANAMON</t>
  </si>
  <si>
    <t>PLAZA INDIBIZ</t>
  </si>
  <si>
    <t>Admin</t>
  </si>
  <si>
    <t>BNI Multisite</t>
  </si>
  <si>
    <t>Jumlah Karyawan</t>
  </si>
  <si>
    <t>Karyawan Aktif</t>
  </si>
  <si>
    <t>Total</t>
  </si>
  <si>
    <t>CC Bank Sumut</t>
  </si>
  <si>
    <t>CC bank Mestika</t>
  </si>
  <si>
    <t>P2P</t>
  </si>
  <si>
    <t>OBC FMC PRODUCT STAGE-2 (TAFF)</t>
  </si>
  <si>
    <t>BOII</t>
  </si>
  <si>
    <t>BILLCO (COLLECTION CONVERGENCY T. SEL AREA-1)</t>
  </si>
  <si>
    <t>allofresh</t>
  </si>
  <si>
    <t>HR SSO</t>
  </si>
  <si>
    <t>SatuSehat</t>
  </si>
  <si>
    <t>Site Manager</t>
  </si>
  <si>
    <t>Pegadaian di ex Aladin</t>
  </si>
  <si>
    <t>CS/OB</t>
  </si>
  <si>
    <t>Posindo</t>
  </si>
  <si>
    <t>Teknisi</t>
  </si>
  <si>
    <t>IT &amp; Support</t>
  </si>
  <si>
    <t>FAM &amp; Finance</t>
  </si>
  <si>
    <t>IT &amp; Support (crm kalbe)</t>
  </si>
  <si>
    <t>IT, ME, HR</t>
  </si>
  <si>
    <t>No Invoice</t>
  </si>
  <si>
    <t>Jenis Layanan</t>
  </si>
  <si>
    <t>Periode Invoice</t>
  </si>
  <si>
    <t>Tanggal Invoice</t>
  </si>
  <si>
    <t>Nilai Invoice</t>
  </si>
  <si>
    <t>Aging (Hari)</t>
  </si>
  <si>
    <t>Kendala</t>
  </si>
  <si>
    <t>JAMAL-RANIA</t>
  </si>
  <si>
    <t>Tanggal Diterima</t>
  </si>
  <si>
    <t>Tanggal Diproses</t>
  </si>
  <si>
    <t>Lama Proses (Hari)</t>
  </si>
  <si>
    <t>Tanggal Paid</t>
  </si>
  <si>
    <t>Lama Pembayaran</t>
  </si>
  <si>
    <t>No. Transaksi</t>
  </si>
  <si>
    <t>Jenis Pengeluaran</t>
  </si>
  <si>
    <t>Deskripsi</t>
  </si>
  <si>
    <t>Nilai</t>
  </si>
  <si>
    <t>Budget</t>
  </si>
  <si>
    <t>Selisih</t>
  </si>
  <si>
    <t>Cash Advance</t>
  </si>
  <si>
    <t>Pembayaran Denda Pembayaran Pajak Reklame Gedung Mampang</t>
  </si>
  <si>
    <t>SANDRA</t>
  </si>
  <si>
    <t>sso</t>
  </si>
  <si>
    <t>Reimburse</t>
  </si>
  <si>
    <t>Pembelian Kebutuhan Perawatan Gedung</t>
  </si>
  <si>
    <t>Budget RKAP</t>
  </si>
  <si>
    <t>Realisasi</t>
  </si>
  <si>
    <t>Sisa Budget</t>
  </si>
  <si>
    <t>Penyerapan (%)</t>
  </si>
  <si>
    <t>Target Penyerapan (%)</t>
  </si>
  <si>
    <t>Variance (%)</t>
  </si>
  <si>
    <t>KHAERUN N-JAMAL</t>
  </si>
  <si>
    <t>Asset Tag</t>
  </si>
  <si>
    <t>Nama Asset</t>
  </si>
  <si>
    <t>Merk</t>
  </si>
  <si>
    <t>Model</t>
  </si>
  <si>
    <t>Serial Number</t>
  </si>
  <si>
    <t>Nilai Asset</t>
  </si>
  <si>
    <t>Sumber</t>
  </si>
  <si>
    <t>ASSET MANAGEMENT</t>
  </si>
  <si>
    <t>Tahun</t>
  </si>
  <si>
    <t>Nama Capex</t>
  </si>
  <si>
    <t>Justifikasi</t>
  </si>
  <si>
    <t>Estimasi Nilai</t>
  </si>
  <si>
    <t>Target Pengadaan</t>
  </si>
  <si>
    <t>Total Asset</t>
  </si>
  <si>
    <t>Asset Sudah Dicek</t>
  </si>
  <si>
    <t>Asset Belum Dicek</t>
  </si>
  <si>
    <t>Asset Sesuai</t>
  </si>
  <si>
    <t>Asset Tidak Sesuai</t>
  </si>
  <si>
    <t>Progress (%)</t>
  </si>
  <si>
    <t>Temuan</t>
  </si>
  <si>
    <t>Q1 - Q3</t>
  </si>
  <si>
    <t>HO Fatmawati</t>
  </si>
  <si>
    <t>CC Sompo</t>
  </si>
  <si>
    <t>-</t>
  </si>
  <si>
    <t>FAM</t>
  </si>
  <si>
    <t>Verifikasi</t>
  </si>
  <si>
    <t>CC Garuda</t>
  </si>
  <si>
    <t>CC BNI Securitas</t>
  </si>
  <si>
    <t>CC BSI</t>
  </si>
  <si>
    <t>FASUM</t>
  </si>
  <si>
    <t>GICC Mampang</t>
  </si>
  <si>
    <t>HumanVue Ops</t>
  </si>
  <si>
    <t>Fapro Ops</t>
  </si>
  <si>
    <t>FinVue Ops</t>
  </si>
  <si>
    <t>IT Ops</t>
  </si>
  <si>
    <t>IOC OPs</t>
  </si>
  <si>
    <t>Gatsu Medan</t>
  </si>
  <si>
    <t>BA Inventarisasi Done</t>
  </si>
  <si>
    <t>16 Verifikasi</t>
  </si>
  <si>
    <t>CC Bank Mestika</t>
  </si>
  <si>
    <t>2 BA Done</t>
  </si>
  <si>
    <t>GICC Tendean</t>
  </si>
  <si>
    <t>CC Telkom DMO</t>
  </si>
  <si>
    <t>CC ASDP</t>
  </si>
  <si>
    <t>CC DOM</t>
  </si>
  <si>
    <t>CC BES</t>
  </si>
  <si>
    <t>Graha Intan</t>
  </si>
  <si>
    <t>Site Asal</t>
  </si>
  <si>
    <t>Lokasi Asal</t>
  </si>
  <si>
    <t>Site Tujuan</t>
  </si>
  <si>
    <t>Lokasi Tujuan</t>
  </si>
  <si>
    <t>Alasan Mutasi</t>
  </si>
  <si>
    <t>Tanggal Efektif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</si>
</sst>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yy"/>
    <numFmt numFmtId="165" formatCode="d mmmm yyyy"/>
    <numFmt numFmtId="166" formatCode="0.000"/>
    <numFmt numFmtId="167" formatCode="d mmm yyyy"/>
    <numFmt numFmtId="168" formatCode="&quot;Rp&quot;#,##0"/>
    <numFmt numFmtId="169" formatCode="dd mmmm yyyy"/>
    <numFmt numFmtId="170" formatCode="d.m"/>
  </numFmts>
  <fonts count="17">
    <font>
      <sz val="11.0"/>
      <color rgb="FF000000"/>
      <name val="Carlito"/>
      <scheme val="minor"/>
    </font>
    <font>
      <b/>
      <sz val="10.0"/>
      <color rgb="FFFFFFFF"/>
      <name val="Carlito"/>
    </font>
    <font>
      <sz val="11.0"/>
      <color theme="1"/>
      <name val="Carlito"/>
    </font>
    <font>
      <sz val="11.0"/>
      <color rgb="FF000000"/>
      <name val="Calibri"/>
    </font>
    <font>
      <color theme="1"/>
      <name val="Carlito"/>
      <scheme val="minor"/>
    </font>
    <font>
      <sz val="11.0"/>
      <color theme="1"/>
      <name val="Calibri"/>
    </font>
    <font>
      <sz val="10.0"/>
      <color theme="1"/>
      <name val="Arial"/>
    </font>
    <font>
      <color theme="1"/>
      <name val="Arial"/>
    </font>
    <font>
      <color rgb="FF000000"/>
      <name val="Arial"/>
    </font>
    <font>
      <sz val="11.0"/>
      <color rgb="FF000000"/>
      <name val="Arial"/>
    </font>
    <font>
      <color rgb="FF000000"/>
      <name val="Calibri"/>
    </font>
    <font>
      <sz val="11.0"/>
      <color rgb="FF000000"/>
      <name val="&quot;Aptos Narrow&quot;"/>
    </font>
    <font>
      <b/>
      <sz val="11.0"/>
      <color rgb="FF000000"/>
      <name val="&quot;Aptos Narrow&quot;"/>
    </font>
    <font>
      <b/>
      <sz val="11.0"/>
      <color theme="1"/>
      <name val="&quot;Aptos Narrow&quot;"/>
    </font>
    <font>
      <sz val="11.0"/>
      <color theme="1"/>
      <name val="&quot;Aptos Narrow&quot;"/>
    </font>
    <font>
      <b/>
      <sz val="11.0"/>
      <color rgb="FF000000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theme="0"/>
        <bgColor theme="0"/>
      </patternFill>
    </fill>
    <fill>
      <patternFill patternType="solid">
        <fgColor rgb="FFD6DCE4"/>
        <bgColor rgb="FFD6DCE4"/>
      </patternFill>
    </fill>
  </fills>
  <borders count="7">
    <border/>
    <border>
      <left/>
      <right/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  <xf borderId="2" fillId="2" fontId="1" numFmtId="0" xfId="0" applyAlignment="1" applyBorder="1" applyFill="1" applyFont="1">
      <alignment horizontal="center" shrinkToFit="0" vertical="top" wrapText="1"/>
    </xf>
    <xf borderId="0" fillId="0" fontId="2" numFmtId="0" xfId="0" applyAlignment="1" applyFont="1">
      <alignment readingOrder="0" shrinkToFit="0" vertical="top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horizontal="center" shrinkToFit="0" vertical="top" wrapText="1"/>
    </xf>
    <xf borderId="0" fillId="0" fontId="4" numFmtId="0" xfId="0" applyAlignment="1" applyFont="1">
      <alignment horizontal="center" readingOrder="0"/>
    </xf>
    <xf borderId="0" fillId="0" fontId="2" numFmtId="15" xfId="0" applyAlignment="1" applyFont="1" applyNumberFormat="1">
      <alignment shrinkToFit="0" vertical="top" wrapText="1"/>
    </xf>
    <xf borderId="0" fillId="0" fontId="3" numFmtId="0" xfId="0" applyAlignment="1" applyFont="1">
      <alignment readingOrder="0" vertical="bottom"/>
    </xf>
    <xf borderId="3" fillId="0" fontId="3" numFmtId="166" xfId="0" applyAlignment="1" applyBorder="1" applyFont="1" applyNumberFormat="1">
      <alignment readingOrder="0" shrinkToFit="0" vertical="bottom" wrapText="0"/>
    </xf>
    <xf borderId="0" fillId="0" fontId="2" numFmtId="165" xfId="0" applyAlignment="1" applyFont="1" applyNumberForma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167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5" numFmtId="0" xfId="0" applyAlignment="1" applyFont="1">
      <alignment horizontal="left" readingOrder="0" vertical="top"/>
    </xf>
    <xf borderId="0" fillId="0" fontId="4" numFmtId="0" xfId="0" applyAlignment="1" applyFont="1">
      <alignment readingOrder="0"/>
    </xf>
    <xf borderId="0" fillId="0" fontId="4" numFmtId="165" xfId="0" applyAlignment="1" applyFont="1" applyNumberFormat="1">
      <alignment readingOrder="0"/>
    </xf>
    <xf borderId="4" fillId="0" fontId="6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4" fillId="0" fontId="7" numFmtId="0" xfId="0" applyAlignment="1" applyBorder="1" applyFont="1">
      <alignment shrinkToFit="0" vertical="top" wrapText="1"/>
    </xf>
    <xf borderId="0" fillId="0" fontId="2" numFmtId="0" xfId="0" applyAlignment="1" applyFont="1">
      <alignment horizontal="center"/>
    </xf>
    <xf borderId="0" fillId="0" fontId="3" numFmtId="3" xfId="0" applyAlignment="1" applyFont="1" applyNumberFormat="1">
      <alignment horizontal="center" readingOrder="0" shrinkToFit="0" vertical="bottom" wrapText="0"/>
    </xf>
    <xf borderId="0" fillId="0" fontId="3" numFmtId="168" xfId="0" applyAlignment="1" applyFont="1" applyNumberFormat="1">
      <alignment horizontal="right" readingOrder="0" shrinkToFit="0" wrapText="0"/>
    </xf>
    <xf borderId="0" fillId="0" fontId="3" numFmtId="3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bottom" wrapText="0"/>
    </xf>
    <xf borderId="0" fillId="0" fontId="2" numFmtId="3" xfId="0" applyAlignment="1" applyFont="1" applyNumberFormat="1">
      <alignment horizontal="center" shrinkToFit="0" vertical="top" wrapText="1"/>
    </xf>
    <xf borderId="0" fillId="0" fontId="2" numFmtId="168" xfId="0" applyAlignment="1" applyFont="1" applyNumberFormat="1">
      <alignment shrinkToFit="0" vertical="top" wrapText="1"/>
    </xf>
    <xf borderId="0" fillId="0" fontId="3" numFmtId="168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borderId="0" fillId="0" fontId="2" numFmtId="3" xfId="0" applyAlignment="1" applyFont="1" applyNumberFormat="1">
      <alignment readingOrder="0" shrinkToFit="0" vertical="top" wrapText="1"/>
    </xf>
    <xf borderId="0" fillId="0" fontId="3" numFmtId="3" xfId="0" applyAlignment="1" applyFont="1" applyNumberFormat="1">
      <alignment readingOrder="0" shrinkToFit="0" vertical="bottom" wrapText="0"/>
    </xf>
    <xf borderId="0" fillId="0" fontId="3" numFmtId="3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shrinkToFit="0" vertical="bottom" wrapText="0"/>
    </xf>
    <xf borderId="0" fillId="0" fontId="3" numFmtId="3" xfId="0" applyAlignment="1" applyFont="1" applyNumberFormat="1">
      <alignment horizontal="left" readingOrder="0" shrinkToFit="0" vertical="bottom" wrapText="0"/>
    </xf>
    <xf borderId="0" fillId="0" fontId="2" numFmtId="3" xfId="0" applyAlignment="1" applyFont="1" applyNumberFormat="1">
      <alignment shrinkToFit="0" vertical="top" wrapText="1"/>
    </xf>
    <xf borderId="0" fillId="0" fontId="2" numFmtId="169" xfId="0" applyAlignment="1" applyFont="1" applyNumberFormat="1">
      <alignment readingOrder="0" shrinkToFit="0" vertical="top" wrapText="1"/>
    </xf>
    <xf borderId="0" fillId="0" fontId="8" numFmtId="164" xfId="0" applyAlignment="1" applyFont="1" applyNumberFormat="1">
      <alignment horizontal="center" readingOrder="0" shrinkToFit="0" wrapText="0"/>
    </xf>
    <xf borderId="0" fillId="0" fontId="8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center" readingOrder="0" shrinkToFit="0" wrapText="0"/>
    </xf>
    <xf borderId="0" fillId="0" fontId="9" numFmtId="165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9" numFmtId="0" xfId="0" applyAlignment="1" applyFont="1">
      <alignment horizontal="center" readingOrder="0" shrinkToFit="0" vertical="bottom" wrapText="0"/>
    </xf>
    <xf borderId="0" fillId="0" fontId="9" numFmtId="164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horizontal="center" readingOrder="0" shrinkToFit="0" vertical="top" wrapText="1"/>
    </xf>
    <xf borderId="0" fillId="0" fontId="2" numFmtId="9" xfId="0" applyAlignment="1" applyFont="1" applyNumberFormat="1">
      <alignment horizontal="center" readingOrder="0" shrinkToFit="0" vertical="top" wrapText="1"/>
    </xf>
    <xf borderId="0" fillId="0" fontId="2" numFmtId="1" xfId="0" applyAlignment="1" applyFont="1" applyNumberFormat="1">
      <alignment horizontal="center" shrinkToFit="0" vertical="top" wrapText="1"/>
    </xf>
    <xf borderId="0" fillId="3" fontId="10" numFmtId="0" xfId="0" applyAlignment="1" applyFill="1" applyFont="1">
      <alignment readingOrder="0" shrinkToFit="0" wrapText="0"/>
    </xf>
    <xf borderId="0" fillId="3" fontId="10" numFmtId="0" xfId="0" applyAlignment="1" applyFill="1" applyFont="1">
      <alignment horizontal="center" readingOrder="0" shrinkToFit="0" wrapText="0"/>
    </xf>
    <xf borderId="0" fillId="4" fontId="10" numFmtId="0" xfId="0" applyAlignment="1" applyFill="1" applyFont="1">
      <alignment horizontal="center" readingOrder="0" shrinkToFit="0" wrapText="0"/>
    </xf>
    <xf borderId="0" fillId="0" fontId="4" numFmtId="0" xfId="0" applyFont="1"/>
    <xf borderId="0" fillId="0" fontId="11" numFmtId="0" xfId="0" applyAlignment="1" applyFont="1">
      <alignment horizontal="left" readingOrder="0" shrinkToFit="0" vertical="bottom" wrapText="0"/>
    </xf>
    <xf borderId="0" fillId="0" fontId="11" numFmtId="0" xfId="0" applyAlignment="1" applyFont="1">
      <alignment horizontal="left" readingOrder="0" shrinkToFit="0" wrapText="0"/>
    </xf>
    <xf borderId="0" fillId="0" fontId="9" numFmtId="0" xfId="0" applyAlignment="1" applyFont="1">
      <alignment horizontal="left" readingOrder="0" shrinkToFit="0" wrapText="0"/>
    </xf>
    <xf borderId="0" fillId="0" fontId="2" numFmtId="170" xfId="0" applyAlignment="1" applyFont="1" applyNumberFormat="1">
      <alignment readingOrder="0" shrinkToFit="0" vertical="top" wrapText="1"/>
    </xf>
    <xf borderId="0" fillId="0" fontId="12" numFmtId="0" xfId="0" applyAlignment="1" applyFont="1">
      <alignment horizontal="left" readingOrder="0" shrinkToFit="0" vertical="bottom" wrapText="0"/>
    </xf>
    <xf borderId="0" fillId="0" fontId="13" numFmtId="0" xfId="0" applyAlignment="1" applyFont="1">
      <alignment horizontal="left" readingOrder="0" shrinkToFit="0" wrapText="0"/>
    </xf>
    <xf borderId="0" fillId="0" fontId="14" numFmtId="3" xfId="0" applyAlignment="1" applyFont="1" applyNumberFormat="1">
      <alignment readingOrder="0" vertical="bottom"/>
    </xf>
    <xf borderId="0" fillId="0" fontId="14" numFmtId="0" xfId="0" applyAlignment="1" applyFont="1">
      <alignment readingOrder="0" vertical="bottom"/>
    </xf>
    <xf borderId="0" fillId="0" fontId="12" numFmtId="0" xfId="0" applyAlignment="1" applyFont="1">
      <alignment horizontal="left" readingOrder="0" shrinkToFit="0" wrapText="0"/>
    </xf>
    <xf borderId="0" fillId="0" fontId="13" numFmtId="0" xfId="0" applyAlignment="1" applyFont="1">
      <alignment readingOrder="0" vertical="bottom"/>
    </xf>
    <xf borderId="3" fillId="0" fontId="13" numFmtId="0" xfId="0" applyAlignment="1" applyBorder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0" fontId="12" numFmtId="0" xfId="0" applyAlignment="1" applyFont="1">
      <alignment readingOrder="0" shrinkToFit="0" vertical="bottom" wrapText="0"/>
    </xf>
    <xf borderId="3" fillId="0" fontId="12" numFmtId="0" xfId="0" applyAlignment="1" applyBorder="1" applyFont="1">
      <alignment readingOrder="0" shrinkToFit="0" vertical="bottom" wrapText="0"/>
    </xf>
    <xf borderId="0" fillId="0" fontId="13" numFmtId="0" xfId="0" applyAlignment="1" applyFont="1">
      <alignment horizontal="left" readingOrder="0" shrinkToFit="0" vertical="bottom" wrapText="0"/>
    </xf>
    <xf borderId="3" fillId="0" fontId="12" numFmtId="0" xfId="0" applyAlignment="1" applyBorder="1" applyFont="1">
      <alignment horizontal="left" readingOrder="0" shrinkToFit="0" vertical="bottom" wrapText="0"/>
    </xf>
    <xf borderId="5" fillId="0" fontId="13" numFmtId="0" xfId="0" applyAlignment="1" applyBorder="1" applyFont="1">
      <alignment horizontal="left" readingOrder="0" shrinkToFit="0" wrapText="0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horizontal="center" readingOrder="0" shrinkToFit="0" vertical="top" wrapText="1"/>
    </xf>
    <xf borderId="3" fillId="0" fontId="13" numFmtId="0" xfId="0" applyAlignment="1" applyBorder="1" applyFont="1">
      <alignment horizontal="left" readingOrder="0" shrinkToFit="0" wrapText="0"/>
    </xf>
    <xf borderId="3" fillId="0" fontId="12" numFmtId="0" xfId="0" applyAlignment="1" applyBorder="1" applyFont="1">
      <alignment horizontal="left" readingOrder="0" shrinkToFit="0" wrapText="0"/>
    </xf>
    <xf borderId="6" fillId="0" fontId="12" numFmtId="0" xfId="0" applyAlignment="1" applyBorder="1" applyFont="1">
      <alignment horizontal="left" readingOrder="0" shrinkToFit="0" vertical="bottom" wrapText="0"/>
    </xf>
    <xf borderId="6" fillId="0" fontId="15" numFmtId="0" xfId="0" applyAlignment="1" applyBorder="1" applyFont="1">
      <alignment horizontal="left" readingOrder="0" shrinkToFit="0" vertical="bottom" wrapText="0"/>
    </xf>
    <xf borderId="3" fillId="0" fontId="15" numFmtId="0" xfId="0" applyAlignment="1" applyBorder="1" applyFont="1">
      <alignment readingOrder="0" shrinkToFit="0" vertical="bottom" wrapText="0"/>
    </xf>
    <xf borderId="3" fillId="0" fontId="15" numFmtId="0" xfId="0" applyAlignment="1" applyBorder="1" applyFont="1">
      <alignment horizontal="left" readingOrder="0" shrinkToFit="0" wrapText="0"/>
    </xf>
    <xf borderId="3" fillId="0" fontId="15" numFmtId="0" xfId="0" applyAlignment="1" applyBorder="1" applyFont="1">
      <alignment horizontal="left" readingOrder="0" shrinkToFit="0" vertical="bottom" wrapText="0"/>
    </xf>
    <xf borderId="3" fillId="0" fontId="16" numFmtId="0" xfId="0" applyAlignment="1" applyBorder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3" xfId="0" applyAlignment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vertical="bottom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pivotCacheDefinition" Target="pivotCache/pivotCacheDefinition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64" sheet="04_NEAR MISS_INCIDENT"/>
  </cacheSource>
  <cacheFields>
    <cacheField name="#REF!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</sharedItems>
    </cacheField>
    <cacheField name="Tanggal" numFmtId="0">
      <sharedItems containsString="0" containsBlank="1">
        <m/>
      </sharedItems>
    </cacheField>
    <cacheField name="Site/Gedung" numFmtId="0">
      <sharedItems>
        <s v="Gedung Majapahit Semarang"/>
        <s v="IDC Ciawi"/>
        <s v="Gedung OPMC Bogor"/>
        <s v="Gedung Grha Telkom BSD"/>
        <s v="Gedung Infomedia Fatmawati"/>
        <s v="Gedung Infomedia Contact Center Mampang"/>
        <s v="Infomedia Sri Ratu Semarang"/>
      </sharedItems>
    </cacheField>
    <cacheField name="Lokasi" numFmtId="0">
      <sharedItems>
        <s v="Semarang"/>
        <s v="Ciawi"/>
        <s v="Bogor"/>
        <s v="Tangerang"/>
        <s v="Jakarta"/>
      </sharedItems>
    </cacheField>
    <cacheField name="Deskripsi Kejadian" numFmtId="0">
      <sharedItems>
        <s v="Vinyl lantai area musholla dan tempat wudhu sebagian mengelupas"/>
        <s v="1 unit AC cassette layanan Halo BCA error"/>
        <s v="Papan tulis kaca ruang meeting lt.2 lepas/pecah"/>
        <s v="1 lampu padam area ruang Labkom 2"/>
        <s v="Dudukan pengunci pintu Labkom 1 &amp; Labkom 2 rusak"/>
        <s v="Dilaporkan 23 afo expired tanggal 09 Juli 2026"/>
        <s v="Anunsiator alarm ruang server &amp; posko sementara di off kan karena CPU anunsiator trouble/error, notifikasi alarm selalu muncul setiap menit (harus diganti) - sudah diketahui Bpk. Khaerun &amp; Bpk. Huda"/>
        <s v="1 unit exhaust fan gedung Provue masih kondisi gulungan terbakar (proses JIP budget), diperbaiki untuk digulung ulang atau ganti unit baru"/>
        <s v="Area dalam gedung Office Ex BDP: plafon &amp; keramik kondisi rusak"/>
        <s v="APAR expired tgl 18 Juli 2025, jumlah 48 tabung"/>
        <s v="Jumlah APAR: 6 tabung masal, berlaku s/d 20 Mei 2027"/>
        <s v="UPS Lt.3 sementara OFF menunggu perbaikan selanjutnya dari vendor PT. Mandiri IDMICA Bersaudara"/>
        <s v="CCTV lantai 2 &amp; 3 terkendala sering error (menunggu pergantian perangkat)"/>
        <s v="(Area Lantai 3) Ada kebocoran (rembes) dari jendela kaca jika hujan deras"/>
        <s v="(Area Lift) Exhaust fan di dalam lift rusak (sedang tahap pengajuan dari GSD)"/>
        <s v="(Area di B1) Ada titik kebocoran rembesan di area atap jika terjadi hujan di area gudang (sudah dilaporkan, belum ada progres pengerjaan dari GSD)"/>
        <s v="(Area Ground) 1 unit AC di ruang Infratel rusak, compressor AC rusak/jebol (sudah dilaporkan, menunggu biaya dari layanan atau dikerjakan dulu prosesnya oleh FAM)"/>
        <s v="1 unit AC layanan Retensi kurang dingin (belum ada bahan freon, masih menunggu dari admin/layanan)"/>
        <s v="1 unit AC ruang server rusak (sudah koordinasi pihak gedung/GSD, belum ada barang pengganti)"/>
        <s v="4 unit AC cassette gedung di ruang ERM kurang dingin/rusak/1 bocor (ada rencana pakai AC standing milik Infomedia)"/>
        <s v="Kunci ruang meeting rusak, silinder kunci rusak (menunggu dari admin)"/>
        <s v="2 unit AC layanan VAME mati (menunggu dana buat penambahan AC milik Infomedia)"/>
        <s v="1 unit AC split ruang Admin tidak dingin (rencana pasang AC milik Infomedia)"/>
        <s v="Pintu akses layanan CRM rusak/tidak aktif (perbaikan plat pengait)"/>
        <s v="Ruang Layanan CRM, VAME, Sosmed, Ex Siloam, R. Admin, R. Meeting, Musholla bocor di area jendela dan layanan saat hujan; sudah dilaporkan ke pihak gedung dan sudah dilakukan investigasi"/>
        <s v="Masih terjadi bocor area kerja Agent, R. VIP, R. Training lt.8 saat hujan deras"/>
        <s v="AC di layanan INDIBIZ lt.4 freon bocor sehingga AC tidak dingin"/>
        <s v="Akustik di layanan CC ERM Lt.4 jebol (sudah koordinasi ME gedung)"/>
        <s v="AC split R. Meeting Harmoni Lt.4 mati, ada kebocoran di area pipa (sudah koordinasi ME gedung)"/>
        <s v="Kebocoran saat hujan di kanopi lobby (by vendor)"/>
        <s v="Keretakan kaca di bagian bawah sudut kanan layanan Suzuki (by vendor)"/>
        <s v="CCTV No. D55 (area parkir motor belakang) error (signal internet)"/>
        <s v="Keretakan glass block pada dinding tangga darurat timur lt.5 (by vendor)"/>
        <s v="Kerusakan lantai di beberapa bagian di area kerja lt.3 (by vendor)"/>
        <s v="Access door ruang BFI Operation (Bp. Yogi) tidak berfungsi (sudah diinformasikan ke operator untuk penggantian)"/>
        <s v="Kebocoran saat hujan di bagian sudut kanan atas ruang mesin pompa lt.B (by vendor)"/>
        <s v="Keretakan dinding kaca lt.2 di depan gedung tepat pada besi penopang kanopi lobby luar (by vendor)"/>
        <s v="Blackscreen display room booking R. Meeting 3.2 (by vendor, proses pengajuan penawaran)"/>
        <s v="Kerusakan/robek wallpaper dinding di toilet lt.3 (by vendor)"/>
        <s v="UPS lt.3 fan berbunyi kasar (sudah diketahui vendor PT. IMB)"/>
        <s v="Kebocoran saat hujan di ruang Sekretariat Masjid (dugaan sementara terjadi setelah perbaikan paving blok, sebelumnya tidak ada)"/>
        <s v="Kebocoran saat hujan di glass block tangga darurat timur lt.4 (by vendor)"/>
        <s v="UPS lt.D status bypass (sudah ada backup UPS 10 KVA)"/>
        <s v="Rembesan air saat hujan pada tiang dinding di R. CCTV (by vendor)"/>
        <s v="1 titik sprinkler bekas uji reksa oleh Tuvnord belum diganti, valve sprinkler area basement kondisi masih tertutup (by vendor, dalam proses penawaran perbaikan kebocoran di masjid)"/>
        <s v="Kebocoran saat hujan di area depan teras masjid (by vendor)"/>
        <s v="Retak kaca di dalam lift pada bagian ujung kanan atas (by vendor)"/>
        <s v="Kebocoran di area ruang tunggu BOD lt.4 sudah tidak terlihat lagi (vendor Inmedko belum selesai penanganan di area rooftop/perapihan tribune dan lantainya)"/>
        <s v="Rembesan saat hujan deras di tiang-tiang area basement"/>
        <s v="Wallpaper dinding lt.D ruang fax terkelupas (sudah dilakukan pengeleman oleh ME)"/>
        <s v="Layar room booking R. Meeting Akhlak lt.4 terlepas, frame LCD patah (sudah diserahkan ke security, by Data Scrip)"/>
        <s v="Impeller pompa transfer harus diganti karena as sudah aus (saat ini 1 pompa yang bekerja)"/>
        <s v="Pintu toilet pria lt.D tidak bisa menutup rapat otomatis dikarenakan seret"/>
        <s v="Kebocoran saat hujan di ruang Dir. FRM (sudah dalam pengerjaan)"/>
        <s v="Kebocoran saat hujan di R. CCTV di bagian bawah AC"/>
        <s v="Display room booking 5.1 mati/blackscreen"/>
        <s v="Access door layanan Sompo rusak (sudah dilakukan pengecekan oleh ME)"/>
        <s v="CCTV No. D21 area rooftop studio musik lt.5 error (sudah dicek ME Bp. Haerul, diketahui jalur kabel rusak)"/>
        <s v="Terjadi kebocoran/rembes air saat hujan dari lt.2 s/d lt.4 (harus dilakukan pengecekan pada sisi sambungan kaca dan pengeleman ulang kaca sisi luar oleh mitra tenaga ahli dalam perbaikan)"/>
        <s v="Plafon koridor lt.5 ada kebocoran (untuk perbaikan harus dilakukan oleh mitra/vendor)"/>
        <s v="On proses perbaikan hardisk UN error DVR CCTV lt.3"/>
        <s v="Terjadi kerusakan pada konektor CCTV lt.5 di PC pos security"/>
        <s v="Kerusakan akibat kebakaran dari gedung sebelah (cafe Winer) di area ex layanan Allianz In"/>
      </sharedItems>
    </cacheField>
    <cacheField name="Kategori" numFmtId="0">
      <sharedItems>
        <s v="Kejadian/Kerusakan"/>
        <s v="Lain-lain"/>
        <s v="Informasi Kerusakan Gedung"/>
        <s v="Kerusakan Gedung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04_NEAR MISS_INCIDENT" cacheId="0" dataCaption="" compact="0" compactData="0">
  <location ref="A1:A1" firstHeaderRow="0" firstDataRow="0" firstDataCol="0"/>
  <pivotFields>
    <pivotField name="#REF!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Tanggal" compact="0" outline="0" multipleItemSelectionAllowed="1" showAll="0">
      <items>
        <item x="0"/>
        <item t="default"/>
      </items>
    </pivotField>
    <pivotField name="Site/Gedung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Lokasi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eskripsi Kejadia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t="default"/>
      </items>
    </pivotField>
    <pivotField name="Kategori" compact="0" outline="0" multipleItemSelectionAllowed="1" showAll="0">
      <items>
        <item x="0"/>
        <item x="1"/>
        <item x="2"/>
        <item x="3"/>
        <item t="default"/>
      </items>
    </pivotField>
  </pivot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0"/>
    <col customWidth="1" min="2" max="2" width="28.0"/>
    <col customWidth="1" min="3" max="26" width="8.63"/>
  </cols>
  <sheetData>
    <row r="1" ht="18.0" customHeight="1">
      <c r="A1" s="1" t="s">
        <v>0</v>
      </c>
      <c r="B1" s="1" t="s">
        <v>2</v>
      </c>
    </row>
    <row r="2" ht="13.5" customHeight="1">
      <c r="A2" s="3" t="s">
        <v>3</v>
      </c>
      <c r="B2" s="3" t="s">
        <v>7</v>
      </c>
    </row>
    <row r="3" ht="13.5" customHeight="1">
      <c r="A3" s="3" t="s">
        <v>3</v>
      </c>
      <c r="B3" s="3" t="s">
        <v>10</v>
      </c>
    </row>
    <row r="4" ht="13.5" customHeight="1">
      <c r="A4" s="3" t="s">
        <v>3</v>
      </c>
      <c r="B4" s="3" t="s">
        <v>13</v>
      </c>
    </row>
    <row r="5" ht="13.5" customHeight="1">
      <c r="A5" s="3" t="s">
        <v>3</v>
      </c>
      <c r="B5" s="3" t="s">
        <v>16</v>
      </c>
    </row>
    <row r="6" ht="13.5" customHeight="1">
      <c r="A6" s="3" t="s">
        <v>3</v>
      </c>
      <c r="B6" s="3" t="s">
        <v>18</v>
      </c>
    </row>
    <row r="7" ht="13.5" customHeight="1">
      <c r="A7" s="3" t="s">
        <v>3</v>
      </c>
      <c r="B7" s="3" t="s">
        <v>11</v>
      </c>
    </row>
    <row r="8" ht="13.5" customHeight="1">
      <c r="A8" s="3" t="s">
        <v>3</v>
      </c>
      <c r="B8" s="3" t="s">
        <v>21</v>
      </c>
    </row>
    <row r="9" ht="13.5" customHeight="1">
      <c r="A9" s="3" t="s">
        <v>3</v>
      </c>
      <c r="B9" s="3" t="s">
        <v>23</v>
      </c>
    </row>
    <row r="10" ht="13.5" customHeight="1">
      <c r="A10" s="3" t="s">
        <v>3</v>
      </c>
      <c r="B10" s="3" t="s">
        <v>26</v>
      </c>
    </row>
    <row r="11" ht="13.5" customHeight="1">
      <c r="A11" s="3" t="s">
        <v>3</v>
      </c>
      <c r="B11" s="3" t="s">
        <v>28</v>
      </c>
    </row>
    <row r="12" ht="13.5" customHeight="1">
      <c r="A12" s="3" t="s">
        <v>3</v>
      </c>
      <c r="B12" s="3" t="s">
        <v>29</v>
      </c>
    </row>
    <row r="13" ht="13.5" customHeight="1">
      <c r="A13" s="3" t="s">
        <v>3</v>
      </c>
      <c r="B13" s="3" t="s">
        <v>31</v>
      </c>
    </row>
    <row r="14" ht="13.5" customHeight="1">
      <c r="A14" s="3" t="s">
        <v>3</v>
      </c>
      <c r="B14" s="3" t="s">
        <v>33</v>
      </c>
    </row>
    <row r="15" ht="13.5" customHeight="1">
      <c r="A15" s="3" t="s">
        <v>3</v>
      </c>
      <c r="B15" s="3" t="s">
        <v>34</v>
      </c>
    </row>
    <row r="16" ht="13.5" customHeight="1">
      <c r="A16" s="3" t="s">
        <v>8</v>
      </c>
      <c r="B16" s="3" t="s">
        <v>36</v>
      </c>
    </row>
    <row r="17" ht="13.5" customHeight="1">
      <c r="A17" s="3" t="s">
        <v>8</v>
      </c>
      <c r="B17" s="3" t="s">
        <v>37</v>
      </c>
    </row>
    <row r="18" ht="13.5" customHeight="1">
      <c r="A18" s="3" t="s">
        <v>8</v>
      </c>
      <c r="B18" s="3" t="s">
        <v>38</v>
      </c>
    </row>
    <row r="19" ht="13.5" customHeight="1">
      <c r="A19" s="3" t="s">
        <v>8</v>
      </c>
      <c r="B19" s="3" t="s">
        <v>39</v>
      </c>
    </row>
    <row r="20" ht="13.5" customHeight="1">
      <c r="A20" s="3" t="s">
        <v>40</v>
      </c>
      <c r="B20" s="3" t="s">
        <v>41</v>
      </c>
    </row>
    <row r="21" ht="13.5" customHeight="1">
      <c r="A21" s="3" t="s">
        <v>40</v>
      </c>
      <c r="B21" s="3" t="s">
        <v>43</v>
      </c>
    </row>
    <row r="22" ht="13.5" customHeight="1">
      <c r="A22" s="3" t="s">
        <v>40</v>
      </c>
      <c r="B22" s="3" t="s">
        <v>45</v>
      </c>
    </row>
    <row r="23" ht="13.5" customHeight="1">
      <c r="A23" s="3" t="s">
        <v>40</v>
      </c>
      <c r="B23" s="3" t="s">
        <v>48</v>
      </c>
    </row>
    <row r="24" ht="13.5" customHeight="1">
      <c r="A24" s="3" t="s">
        <v>50</v>
      </c>
      <c r="B24" s="3" t="s">
        <v>41</v>
      </c>
    </row>
    <row r="25" ht="13.5" customHeight="1">
      <c r="A25" s="3" t="s">
        <v>50</v>
      </c>
      <c r="B25" s="3" t="s">
        <v>43</v>
      </c>
    </row>
    <row r="26" ht="13.5" customHeight="1">
      <c r="A26" s="3" t="s">
        <v>50</v>
      </c>
      <c r="B26" s="3" t="s">
        <v>45</v>
      </c>
    </row>
    <row r="27" ht="13.5" customHeight="1">
      <c r="A27" s="3" t="s">
        <v>52</v>
      </c>
      <c r="B27" s="3" t="s">
        <v>41</v>
      </c>
    </row>
    <row r="28" ht="13.5" customHeight="1">
      <c r="A28" s="3" t="s">
        <v>52</v>
      </c>
      <c r="B28" s="3" t="s">
        <v>43</v>
      </c>
    </row>
    <row r="29" ht="13.5" customHeight="1">
      <c r="A29" s="3" t="s">
        <v>52</v>
      </c>
      <c r="B29" s="3" t="s">
        <v>45</v>
      </c>
    </row>
    <row r="30" ht="13.5" customHeight="1">
      <c r="A30" s="3" t="s">
        <v>52</v>
      </c>
      <c r="B30" s="3" t="s">
        <v>48</v>
      </c>
    </row>
    <row r="31" ht="13.5" customHeight="1">
      <c r="A31" s="3" t="s">
        <v>54</v>
      </c>
      <c r="B31" s="3" t="s">
        <v>55</v>
      </c>
    </row>
    <row r="32" ht="13.5" customHeight="1">
      <c r="A32" s="3" t="s">
        <v>54</v>
      </c>
      <c r="B32" s="3" t="s">
        <v>56</v>
      </c>
    </row>
    <row r="33" ht="13.5" customHeight="1">
      <c r="A33" s="3" t="s">
        <v>54</v>
      </c>
      <c r="B33" s="3" t="s">
        <v>57</v>
      </c>
    </row>
    <row r="34" ht="13.5" customHeight="1">
      <c r="A34" s="3" t="s">
        <v>54</v>
      </c>
      <c r="B34" s="3" t="s">
        <v>58</v>
      </c>
    </row>
    <row r="35" ht="13.5" customHeight="1">
      <c r="A35" s="3" t="s">
        <v>54</v>
      </c>
      <c r="B35" s="3" t="s">
        <v>59</v>
      </c>
    </row>
    <row r="36" ht="13.5" customHeight="1">
      <c r="A36" s="3" t="s">
        <v>54</v>
      </c>
      <c r="B36" s="3" t="s">
        <v>60</v>
      </c>
    </row>
    <row r="37" ht="13.5" customHeight="1">
      <c r="A37" s="3" t="s">
        <v>54</v>
      </c>
      <c r="B37" s="3" t="s">
        <v>61</v>
      </c>
    </row>
    <row r="38" ht="13.5" customHeight="1">
      <c r="A38" s="3" t="s">
        <v>62</v>
      </c>
      <c r="B38" s="3" t="s">
        <v>63</v>
      </c>
    </row>
    <row r="39" ht="13.5" customHeight="1">
      <c r="A39" s="3" t="s">
        <v>62</v>
      </c>
      <c r="B39" s="3" t="s">
        <v>64</v>
      </c>
    </row>
    <row r="40" ht="13.5" customHeight="1">
      <c r="A40" s="3" t="s">
        <v>65</v>
      </c>
      <c r="B40" s="3" t="s">
        <v>66</v>
      </c>
    </row>
    <row r="41" ht="13.5" customHeight="1">
      <c r="A41" s="3" t="s">
        <v>65</v>
      </c>
      <c r="B41" s="3" t="s">
        <v>64</v>
      </c>
    </row>
    <row r="42" ht="13.5" customHeight="1">
      <c r="A42" s="3" t="s">
        <v>65</v>
      </c>
      <c r="B42" s="3" t="s">
        <v>63</v>
      </c>
    </row>
    <row r="43" ht="13.5" customHeight="1">
      <c r="A43" s="3" t="s">
        <v>65</v>
      </c>
      <c r="B43" s="3" t="s">
        <v>67</v>
      </c>
    </row>
    <row r="44" ht="13.5" customHeight="1">
      <c r="A44" s="3" t="s">
        <v>65</v>
      </c>
      <c r="B44" s="3" t="s">
        <v>68</v>
      </c>
    </row>
    <row r="45" ht="13.5" customHeight="1">
      <c r="A45" s="3"/>
      <c r="B45" s="3"/>
    </row>
    <row r="46" ht="13.5" customHeight="1">
      <c r="A46" s="3"/>
      <c r="B46" s="3"/>
    </row>
    <row r="47" ht="13.5" customHeight="1">
      <c r="A47" s="3"/>
      <c r="B47" s="3"/>
    </row>
    <row r="48" ht="13.5" customHeight="1">
      <c r="A48" s="3"/>
      <c r="B48" s="3"/>
    </row>
    <row r="49" ht="13.5" customHeight="1">
      <c r="A49" s="3"/>
      <c r="B49" s="3"/>
    </row>
    <row r="50" ht="13.5" customHeight="1">
      <c r="A50" s="3"/>
      <c r="B50" s="3"/>
    </row>
    <row r="51" ht="13.5" customHeight="1">
      <c r="A51" s="3"/>
      <c r="B51" s="3"/>
    </row>
    <row r="52" ht="13.5" customHeight="1">
      <c r="A52" s="3"/>
      <c r="B52" s="3"/>
    </row>
    <row r="53" ht="13.5" customHeight="1">
      <c r="A53" s="3"/>
      <c r="B53" s="3"/>
    </row>
    <row r="54" ht="13.5" customHeight="1">
      <c r="A54" s="3"/>
      <c r="B54" s="3"/>
    </row>
    <row r="55" ht="13.5" customHeight="1">
      <c r="A55" s="3"/>
      <c r="B55" s="3"/>
    </row>
    <row r="56" ht="13.5" customHeight="1">
      <c r="A56" s="3"/>
      <c r="B56" s="3"/>
    </row>
    <row r="57" ht="13.5" customHeight="1">
      <c r="A57" s="3"/>
      <c r="B57" s="3"/>
    </row>
    <row r="58" ht="13.5" customHeight="1">
      <c r="A58" s="3"/>
      <c r="B58" s="3"/>
    </row>
    <row r="59" ht="13.5" customHeight="1">
      <c r="A59" s="3"/>
      <c r="B59" s="3"/>
    </row>
    <row r="60" ht="13.5" customHeight="1">
      <c r="A60" s="3"/>
      <c r="B60" s="3"/>
    </row>
    <row r="61" ht="13.5" customHeight="1">
      <c r="A61" s="3"/>
      <c r="B61" s="3"/>
    </row>
    <row r="62" ht="13.5" customHeight="1">
      <c r="A62" s="3"/>
      <c r="B62" s="3"/>
    </row>
    <row r="63" ht="13.5" customHeight="1">
      <c r="A63" s="3"/>
      <c r="B63" s="3"/>
    </row>
    <row r="64" ht="13.5" customHeight="1">
      <c r="A64" s="3"/>
      <c r="B64" s="3"/>
    </row>
    <row r="65" ht="13.5" customHeight="1">
      <c r="A65" s="3"/>
      <c r="B65" s="3"/>
    </row>
    <row r="66" ht="13.5" customHeight="1">
      <c r="A66" s="3"/>
      <c r="B66" s="3"/>
    </row>
    <row r="67" ht="13.5" customHeight="1">
      <c r="A67" s="3"/>
      <c r="B67" s="3"/>
    </row>
    <row r="68" ht="13.5" customHeight="1">
      <c r="A68" s="3"/>
      <c r="B68" s="3"/>
    </row>
    <row r="69" ht="13.5" customHeight="1">
      <c r="A69" s="3"/>
      <c r="B69" s="3"/>
    </row>
    <row r="70" ht="13.5" customHeight="1">
      <c r="A70" s="3"/>
      <c r="B70" s="3"/>
    </row>
    <row r="71" ht="13.5" customHeight="1">
      <c r="A71" s="3"/>
      <c r="B71" s="3"/>
    </row>
    <row r="72" ht="13.5" customHeight="1">
      <c r="A72" s="3"/>
      <c r="B72" s="3"/>
    </row>
    <row r="73" ht="13.5" customHeight="1">
      <c r="A73" s="3"/>
      <c r="B73" s="3"/>
    </row>
    <row r="74" ht="13.5" customHeight="1">
      <c r="A74" s="3"/>
      <c r="B74" s="3"/>
    </row>
    <row r="75" ht="13.5" customHeight="1">
      <c r="A75" s="3"/>
      <c r="B75" s="3"/>
    </row>
    <row r="76" ht="13.5" customHeight="1">
      <c r="A76" s="3"/>
      <c r="B76" s="3"/>
    </row>
    <row r="77" ht="13.5" customHeight="1">
      <c r="A77" s="3"/>
      <c r="B77" s="3"/>
    </row>
    <row r="78" ht="13.5" customHeight="1">
      <c r="A78" s="3"/>
      <c r="B78" s="3"/>
    </row>
    <row r="79" ht="13.5" customHeight="1">
      <c r="A79" s="3"/>
      <c r="B79" s="3"/>
    </row>
    <row r="80" ht="13.5" customHeight="1">
      <c r="A80" s="3"/>
      <c r="B80" s="3"/>
    </row>
    <row r="81" ht="13.5" customHeight="1">
      <c r="A81" s="3"/>
      <c r="B81" s="3"/>
    </row>
    <row r="82" ht="13.5" customHeight="1">
      <c r="A82" s="3"/>
      <c r="B82" s="3"/>
    </row>
    <row r="83" ht="13.5" customHeight="1">
      <c r="A83" s="3"/>
      <c r="B83" s="3"/>
    </row>
    <row r="84" ht="13.5" customHeight="1">
      <c r="A84" s="3"/>
      <c r="B84" s="3"/>
    </row>
    <row r="85" ht="13.5" customHeight="1">
      <c r="A85" s="3"/>
      <c r="B85" s="3"/>
    </row>
    <row r="86" ht="13.5" customHeight="1">
      <c r="A86" s="3"/>
      <c r="B86" s="3"/>
    </row>
    <row r="87" ht="13.5" customHeight="1">
      <c r="A87" s="3"/>
      <c r="B87" s="3"/>
    </row>
    <row r="88" ht="13.5" customHeight="1">
      <c r="A88" s="3"/>
      <c r="B88" s="3"/>
    </row>
    <row r="89" ht="13.5" customHeight="1">
      <c r="A89" s="3"/>
      <c r="B89" s="3"/>
    </row>
    <row r="90" ht="13.5" customHeight="1">
      <c r="A90" s="3"/>
      <c r="B90" s="3"/>
    </row>
    <row r="91" ht="13.5" customHeight="1">
      <c r="A91" s="3"/>
      <c r="B91" s="3"/>
    </row>
    <row r="92" ht="13.5" customHeight="1">
      <c r="A92" s="3"/>
      <c r="B92" s="3"/>
    </row>
    <row r="93" ht="13.5" customHeight="1">
      <c r="A93" s="3"/>
      <c r="B93" s="3"/>
    </row>
    <row r="94" ht="13.5" customHeight="1">
      <c r="A94" s="3"/>
      <c r="B94" s="3"/>
    </row>
    <row r="95" ht="13.5" customHeight="1">
      <c r="A95" s="3"/>
      <c r="B95" s="3"/>
    </row>
    <row r="96" ht="13.5" customHeight="1">
      <c r="A96" s="3"/>
      <c r="B96" s="3"/>
    </row>
    <row r="97" ht="13.5" customHeight="1">
      <c r="A97" s="3"/>
      <c r="B97" s="3"/>
    </row>
    <row r="98" ht="13.5" customHeight="1">
      <c r="A98" s="3"/>
      <c r="B98" s="3"/>
    </row>
    <row r="99" ht="13.5" customHeight="1">
      <c r="A99" s="3"/>
      <c r="B99" s="3"/>
    </row>
    <row r="100" ht="13.5" customHeight="1">
      <c r="A100" s="3"/>
      <c r="B100" s="3"/>
    </row>
    <row r="101" ht="13.5" customHeight="1">
      <c r="A101" s="3"/>
      <c r="B101" s="3"/>
    </row>
    <row r="102" ht="13.5" customHeight="1">
      <c r="A102" s="3"/>
      <c r="B102" s="3"/>
    </row>
    <row r="103" ht="13.5" customHeight="1">
      <c r="A103" s="3"/>
      <c r="B103" s="3"/>
    </row>
    <row r="104" ht="13.5" customHeight="1">
      <c r="A104" s="3"/>
      <c r="B104" s="3"/>
    </row>
    <row r="105" ht="13.5" customHeight="1">
      <c r="A105" s="3"/>
      <c r="B105" s="3"/>
    </row>
    <row r="106" ht="13.5" customHeight="1">
      <c r="A106" s="3"/>
      <c r="B106" s="3"/>
    </row>
    <row r="107" ht="13.5" customHeight="1">
      <c r="A107" s="3"/>
      <c r="B107" s="3"/>
    </row>
    <row r="108" ht="13.5" customHeight="1">
      <c r="A108" s="3"/>
      <c r="B108" s="3"/>
    </row>
    <row r="109" ht="13.5" customHeight="1">
      <c r="A109" s="3"/>
      <c r="B109" s="3"/>
    </row>
    <row r="110" ht="13.5" customHeight="1">
      <c r="A110" s="3"/>
      <c r="B110" s="3"/>
    </row>
    <row r="111" ht="13.5" customHeight="1">
      <c r="A111" s="3"/>
      <c r="B111" s="3"/>
    </row>
    <row r="112" ht="13.5" customHeight="1">
      <c r="A112" s="3"/>
      <c r="B112" s="3"/>
    </row>
    <row r="113" ht="13.5" customHeight="1">
      <c r="A113" s="3"/>
      <c r="B113" s="3"/>
    </row>
    <row r="114" ht="13.5" customHeight="1">
      <c r="A114" s="3"/>
      <c r="B114" s="3"/>
    </row>
    <row r="115" ht="13.5" customHeight="1">
      <c r="A115" s="3"/>
      <c r="B115" s="3"/>
    </row>
    <row r="116" ht="13.5" customHeight="1">
      <c r="A116" s="3"/>
      <c r="B116" s="3"/>
    </row>
    <row r="117" ht="13.5" customHeight="1">
      <c r="A117" s="3"/>
      <c r="B117" s="3"/>
    </row>
    <row r="118" ht="13.5" customHeight="1">
      <c r="A118" s="3"/>
      <c r="B118" s="3"/>
    </row>
    <row r="119" ht="13.5" customHeight="1">
      <c r="A119" s="3"/>
      <c r="B119" s="3"/>
    </row>
    <row r="120" ht="13.5" customHeight="1">
      <c r="A120" s="3"/>
      <c r="B120" s="3"/>
    </row>
    <row r="121" ht="13.5" customHeight="1">
      <c r="A121" s="3"/>
      <c r="B121" s="3"/>
    </row>
    <row r="122" ht="13.5" customHeight="1">
      <c r="A122" s="3"/>
      <c r="B122" s="3"/>
    </row>
    <row r="123" ht="13.5" customHeight="1">
      <c r="A123" s="3"/>
      <c r="B123" s="3"/>
    </row>
    <row r="124" ht="13.5" customHeight="1">
      <c r="A124" s="3"/>
      <c r="B124" s="3"/>
    </row>
    <row r="125" ht="13.5" customHeight="1">
      <c r="A125" s="3"/>
      <c r="B125" s="3"/>
    </row>
    <row r="126" ht="13.5" customHeight="1">
      <c r="A126" s="3"/>
      <c r="B126" s="3"/>
    </row>
    <row r="127" ht="13.5" customHeight="1">
      <c r="A127" s="3"/>
      <c r="B127" s="3"/>
    </row>
    <row r="128" ht="13.5" customHeight="1">
      <c r="A128" s="3"/>
      <c r="B128" s="3"/>
    </row>
    <row r="129" ht="13.5" customHeight="1">
      <c r="A129" s="3"/>
      <c r="B129" s="3"/>
    </row>
    <row r="130" ht="13.5" customHeight="1">
      <c r="A130" s="3"/>
      <c r="B130" s="3"/>
    </row>
    <row r="131" ht="13.5" customHeight="1">
      <c r="A131" s="3"/>
      <c r="B131" s="3"/>
    </row>
    <row r="132" ht="13.5" customHeight="1">
      <c r="A132" s="3"/>
      <c r="B132" s="3"/>
    </row>
    <row r="133" ht="13.5" customHeight="1">
      <c r="A133" s="3"/>
      <c r="B133" s="3"/>
    </row>
    <row r="134" ht="13.5" customHeight="1">
      <c r="A134" s="3"/>
      <c r="B134" s="3"/>
    </row>
    <row r="135" ht="13.5" customHeight="1">
      <c r="A135" s="3"/>
      <c r="B135" s="3"/>
    </row>
    <row r="136" ht="13.5" customHeight="1">
      <c r="A136" s="3"/>
      <c r="B136" s="3"/>
    </row>
    <row r="137" ht="13.5" customHeight="1">
      <c r="A137" s="3"/>
      <c r="B137" s="3"/>
    </row>
    <row r="138" ht="13.5" customHeight="1">
      <c r="A138" s="3"/>
      <c r="B138" s="3"/>
    </row>
    <row r="139" ht="13.5" customHeight="1">
      <c r="A139" s="3"/>
      <c r="B139" s="3"/>
    </row>
    <row r="140" ht="13.5" customHeight="1">
      <c r="A140" s="3"/>
      <c r="B140" s="3"/>
    </row>
    <row r="141" ht="13.5" customHeight="1">
      <c r="A141" s="3"/>
      <c r="B141" s="3"/>
    </row>
    <row r="142" ht="13.5" customHeight="1">
      <c r="A142" s="3"/>
      <c r="B142" s="3"/>
    </row>
    <row r="143" ht="13.5" customHeight="1">
      <c r="A143" s="3"/>
      <c r="B143" s="3"/>
    </row>
    <row r="144" ht="13.5" customHeight="1">
      <c r="A144" s="3"/>
      <c r="B144" s="3"/>
    </row>
    <row r="145" ht="13.5" customHeight="1">
      <c r="A145" s="3"/>
      <c r="B145" s="3"/>
    </row>
    <row r="146" ht="13.5" customHeight="1">
      <c r="A146" s="3"/>
      <c r="B146" s="3"/>
    </row>
    <row r="147" ht="13.5" customHeight="1">
      <c r="A147" s="3"/>
      <c r="B147" s="3"/>
    </row>
    <row r="148" ht="13.5" customHeight="1">
      <c r="A148" s="3"/>
      <c r="B148" s="3"/>
    </row>
    <row r="149" ht="13.5" customHeight="1">
      <c r="A149" s="3"/>
      <c r="B149" s="3"/>
    </row>
    <row r="150" ht="13.5" customHeight="1">
      <c r="A150" s="3"/>
      <c r="B150" s="3"/>
    </row>
    <row r="151" ht="13.5" customHeight="1">
      <c r="A151" s="3"/>
      <c r="B151" s="3"/>
    </row>
    <row r="152" ht="13.5" customHeight="1">
      <c r="A152" s="3"/>
      <c r="B152" s="3"/>
    </row>
    <row r="153" ht="13.5" customHeight="1">
      <c r="A153" s="3"/>
      <c r="B153" s="3"/>
    </row>
    <row r="154" ht="13.5" customHeight="1">
      <c r="A154" s="3"/>
      <c r="B154" s="3"/>
    </row>
    <row r="155" ht="13.5" customHeight="1">
      <c r="A155" s="3"/>
      <c r="B155" s="3"/>
    </row>
    <row r="156" ht="13.5" customHeight="1">
      <c r="A156" s="3"/>
      <c r="B156" s="3"/>
    </row>
    <row r="157" ht="13.5" customHeight="1">
      <c r="A157" s="3"/>
      <c r="B157" s="3"/>
    </row>
    <row r="158" ht="13.5" customHeight="1">
      <c r="A158" s="3"/>
      <c r="B158" s="3"/>
    </row>
    <row r="159" ht="13.5" customHeight="1">
      <c r="A159" s="3"/>
      <c r="B159" s="3"/>
    </row>
    <row r="160" ht="13.5" customHeight="1">
      <c r="A160" s="3"/>
      <c r="B160" s="3"/>
    </row>
    <row r="161" ht="13.5" customHeight="1">
      <c r="A161" s="3"/>
      <c r="B161" s="3"/>
    </row>
    <row r="162" ht="13.5" customHeight="1">
      <c r="A162" s="3"/>
      <c r="B162" s="3"/>
    </row>
    <row r="163" ht="13.5" customHeight="1">
      <c r="A163" s="3"/>
      <c r="B163" s="3"/>
    </row>
    <row r="164" ht="13.5" customHeight="1">
      <c r="A164" s="3"/>
      <c r="B164" s="3"/>
    </row>
    <row r="165" ht="13.5" customHeight="1">
      <c r="A165" s="3"/>
      <c r="B165" s="3"/>
    </row>
    <row r="166" ht="13.5" customHeight="1">
      <c r="A166" s="3"/>
      <c r="B166" s="3"/>
    </row>
    <row r="167" ht="13.5" customHeight="1">
      <c r="A167" s="3"/>
      <c r="B167" s="3"/>
    </row>
    <row r="168" ht="13.5" customHeight="1">
      <c r="A168" s="3"/>
      <c r="B168" s="3"/>
    </row>
    <row r="169" ht="13.5" customHeight="1">
      <c r="A169" s="3"/>
      <c r="B169" s="3"/>
    </row>
    <row r="170" ht="13.5" customHeight="1">
      <c r="A170" s="3"/>
      <c r="B170" s="3"/>
    </row>
    <row r="171" ht="13.5" customHeight="1">
      <c r="A171" s="3"/>
      <c r="B171" s="3"/>
    </row>
    <row r="172" ht="13.5" customHeight="1">
      <c r="A172" s="3"/>
      <c r="B172" s="3"/>
    </row>
    <row r="173" ht="13.5" customHeight="1">
      <c r="A173" s="3"/>
      <c r="B173" s="3"/>
    </row>
    <row r="174" ht="13.5" customHeight="1">
      <c r="A174" s="3"/>
      <c r="B174" s="3"/>
    </row>
    <row r="175" ht="13.5" customHeight="1">
      <c r="A175" s="3"/>
      <c r="B175" s="3"/>
    </row>
    <row r="176" ht="13.5" customHeight="1">
      <c r="A176" s="3"/>
      <c r="B176" s="3"/>
    </row>
    <row r="177" ht="13.5" customHeight="1">
      <c r="A177" s="3"/>
      <c r="B177" s="3"/>
    </row>
    <row r="178" ht="13.5" customHeight="1">
      <c r="A178" s="3"/>
      <c r="B178" s="3"/>
    </row>
    <row r="179" ht="13.5" customHeight="1">
      <c r="A179" s="3"/>
      <c r="B179" s="3"/>
    </row>
    <row r="180" ht="13.5" customHeight="1">
      <c r="A180" s="3"/>
      <c r="B180" s="3"/>
    </row>
    <row r="181" ht="13.5" customHeight="1">
      <c r="A181" s="3"/>
      <c r="B181" s="3"/>
    </row>
    <row r="182" ht="13.5" customHeight="1">
      <c r="A182" s="3"/>
      <c r="B182" s="3"/>
    </row>
    <row r="183" ht="13.5" customHeight="1">
      <c r="A183" s="3"/>
      <c r="B183" s="3"/>
    </row>
    <row r="184" ht="13.5" customHeight="1">
      <c r="A184" s="3"/>
      <c r="B184" s="3"/>
    </row>
    <row r="185" ht="13.5" customHeight="1">
      <c r="A185" s="3"/>
      <c r="B185" s="3"/>
    </row>
    <row r="186" ht="13.5" customHeight="1">
      <c r="A186" s="3"/>
      <c r="B186" s="3"/>
    </row>
    <row r="187" ht="13.5" customHeight="1">
      <c r="A187" s="3"/>
      <c r="B187" s="3"/>
    </row>
    <row r="188" ht="13.5" customHeight="1">
      <c r="A188" s="3"/>
      <c r="B188" s="3"/>
    </row>
    <row r="189" ht="13.5" customHeight="1">
      <c r="A189" s="3"/>
      <c r="B189" s="3"/>
    </row>
    <row r="190" ht="13.5" customHeight="1">
      <c r="A190" s="3"/>
      <c r="B190" s="3"/>
    </row>
    <row r="191" ht="13.5" customHeight="1">
      <c r="A191" s="3"/>
      <c r="B191" s="3"/>
    </row>
    <row r="192" ht="13.5" customHeight="1">
      <c r="A192" s="3"/>
      <c r="B192" s="3"/>
    </row>
    <row r="193" ht="13.5" customHeight="1">
      <c r="A193" s="3"/>
      <c r="B193" s="3"/>
    </row>
    <row r="194" ht="13.5" customHeight="1">
      <c r="A194" s="3"/>
      <c r="B194" s="3"/>
    </row>
    <row r="195" ht="13.5" customHeight="1">
      <c r="A195" s="3"/>
      <c r="B195" s="3"/>
    </row>
    <row r="196" ht="13.5" customHeight="1">
      <c r="A196" s="3"/>
      <c r="B196" s="3"/>
    </row>
    <row r="197" ht="13.5" customHeight="1">
      <c r="A197" s="3"/>
      <c r="B197" s="3"/>
    </row>
    <row r="198" ht="13.5" customHeight="1">
      <c r="A198" s="3"/>
      <c r="B198" s="3"/>
    </row>
    <row r="199" ht="13.5" customHeight="1">
      <c r="A199" s="3"/>
      <c r="B199" s="3"/>
    </row>
    <row r="200" ht="13.5" customHeight="1">
      <c r="A200" s="3"/>
      <c r="B200" s="3"/>
    </row>
    <row r="201" ht="13.5" customHeight="1">
      <c r="A201" s="3"/>
      <c r="B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39.5"/>
    <col customWidth="1" min="3" max="3" width="14.38"/>
    <col customWidth="1" min="4" max="4" width="12.0"/>
    <col customWidth="1" min="5" max="5" width="15.0"/>
    <col customWidth="1" min="6" max="6" width="30.0"/>
    <col customWidth="1" min="7" max="7" width="12.38"/>
    <col customWidth="1" min="8" max="26" width="8.63"/>
  </cols>
  <sheetData>
    <row r="1" ht="18.0" customHeight="1">
      <c r="A1" s="2" t="s">
        <v>1</v>
      </c>
      <c r="B1" s="2" t="s">
        <v>19</v>
      </c>
      <c r="C1" s="2" t="s">
        <v>24</v>
      </c>
      <c r="D1" s="2" t="s">
        <v>14</v>
      </c>
      <c r="E1" s="2" t="s">
        <v>3</v>
      </c>
      <c r="F1" s="2" t="s">
        <v>17</v>
      </c>
      <c r="G1" s="6" t="s">
        <v>15</v>
      </c>
    </row>
    <row r="2" ht="13.5" customHeight="1">
      <c r="A2" s="10">
        <v>15.0</v>
      </c>
      <c r="B2" s="3" t="s">
        <v>47</v>
      </c>
      <c r="C2" s="12">
        <v>48213.0</v>
      </c>
      <c r="D2" s="3">
        <f t="shared" ref="D2:D34" si="1">IF(C2="","",MAX(C2-TODAY(),0))</f>
        <v>1955</v>
      </c>
      <c r="E2" s="3" t="str">
        <f t="shared" ref="E2:E34" si="2">IF(D2&lt;=0,"Expired",IF(D2&lt;=30,"Expiring Soon","Active"))</f>
        <v>Active</v>
      </c>
      <c r="F2" s="3"/>
      <c r="G2" s="11" t="s">
        <v>42</v>
      </c>
    </row>
    <row r="3" ht="13.5" customHeight="1">
      <c r="A3" s="10">
        <v>7.0</v>
      </c>
      <c r="B3" s="3" t="s">
        <v>69</v>
      </c>
      <c r="C3" s="12">
        <v>47848.0</v>
      </c>
      <c r="D3" s="3">
        <f t="shared" si="1"/>
        <v>1590</v>
      </c>
      <c r="E3" s="3" t="str">
        <f t="shared" si="2"/>
        <v>Active</v>
      </c>
      <c r="F3" s="3"/>
      <c r="G3" s="11" t="s">
        <v>42</v>
      </c>
    </row>
    <row r="4" ht="13.5" customHeight="1">
      <c r="A4" s="10">
        <v>16.0</v>
      </c>
      <c r="B4" s="3" t="s">
        <v>73</v>
      </c>
      <c r="C4" s="12">
        <v>47118.0</v>
      </c>
      <c r="D4" s="3">
        <f t="shared" si="1"/>
        <v>860</v>
      </c>
      <c r="E4" s="3" t="str">
        <f t="shared" si="2"/>
        <v>Active</v>
      </c>
      <c r="F4" s="3"/>
      <c r="G4" s="11" t="s">
        <v>42</v>
      </c>
    </row>
    <row r="5" ht="13.5" customHeight="1">
      <c r="A5" s="10">
        <v>21.0</v>
      </c>
      <c r="B5" s="3" t="s">
        <v>75</v>
      </c>
      <c r="C5" s="12">
        <v>47118.0</v>
      </c>
      <c r="D5" s="3">
        <f t="shared" si="1"/>
        <v>860</v>
      </c>
      <c r="E5" s="3" t="str">
        <f t="shared" si="2"/>
        <v>Active</v>
      </c>
      <c r="F5" s="3"/>
      <c r="G5" s="11" t="s">
        <v>42</v>
      </c>
    </row>
    <row r="6" ht="13.5" customHeight="1">
      <c r="A6" s="10">
        <v>22.0</v>
      </c>
      <c r="B6" s="3" t="s">
        <v>79</v>
      </c>
      <c r="C6" s="12">
        <v>47118.0</v>
      </c>
      <c r="D6" s="3">
        <f t="shared" si="1"/>
        <v>860</v>
      </c>
      <c r="E6" s="3" t="str">
        <f t="shared" si="2"/>
        <v>Active</v>
      </c>
      <c r="F6" s="3"/>
      <c r="G6" s="11" t="s">
        <v>42</v>
      </c>
    </row>
    <row r="7" ht="13.5" customHeight="1">
      <c r="A7" s="10">
        <v>23.0</v>
      </c>
      <c r="B7" s="3" t="s">
        <v>81</v>
      </c>
      <c r="C7" s="12">
        <v>47118.0</v>
      </c>
      <c r="D7" s="3">
        <f t="shared" si="1"/>
        <v>860</v>
      </c>
      <c r="E7" s="3" t="str">
        <f t="shared" si="2"/>
        <v>Active</v>
      </c>
      <c r="F7" s="3"/>
      <c r="G7" s="11" t="s">
        <v>42</v>
      </c>
    </row>
    <row r="8" ht="13.5" customHeight="1">
      <c r="A8" s="10">
        <v>24.0</v>
      </c>
      <c r="B8" s="3" t="s">
        <v>83</v>
      </c>
      <c r="C8" s="12">
        <v>47118.0</v>
      </c>
      <c r="D8" s="3">
        <f t="shared" si="1"/>
        <v>860</v>
      </c>
      <c r="E8" s="3" t="str">
        <f t="shared" si="2"/>
        <v>Active</v>
      </c>
      <c r="F8" s="3"/>
      <c r="G8" s="11" t="s">
        <v>42</v>
      </c>
    </row>
    <row r="9" ht="13.5" customHeight="1">
      <c r="A9" s="10">
        <v>25.0</v>
      </c>
      <c r="B9" s="3" t="s">
        <v>84</v>
      </c>
      <c r="C9" s="12">
        <v>47118.0</v>
      </c>
      <c r="D9" s="3">
        <f t="shared" si="1"/>
        <v>860</v>
      </c>
      <c r="E9" s="3" t="str">
        <f t="shared" si="2"/>
        <v>Active</v>
      </c>
      <c r="F9" s="3"/>
      <c r="G9" s="11" t="s">
        <v>42</v>
      </c>
    </row>
    <row r="10" ht="13.5" customHeight="1">
      <c r="A10" s="10">
        <v>26.0</v>
      </c>
      <c r="B10" s="3" t="s">
        <v>87</v>
      </c>
      <c r="C10" s="12">
        <v>47118.0</v>
      </c>
      <c r="D10" s="3">
        <f t="shared" si="1"/>
        <v>860</v>
      </c>
      <c r="E10" s="3" t="str">
        <f t="shared" si="2"/>
        <v>Active</v>
      </c>
      <c r="F10" s="3"/>
      <c r="G10" s="11" t="s">
        <v>42</v>
      </c>
    </row>
    <row r="11" ht="13.5" customHeight="1">
      <c r="A11" s="10">
        <v>5.0</v>
      </c>
      <c r="B11" s="3" t="s">
        <v>88</v>
      </c>
      <c r="C11" s="12">
        <v>46752.0</v>
      </c>
      <c r="D11" s="3">
        <f t="shared" si="1"/>
        <v>494</v>
      </c>
      <c r="E11" s="3" t="str">
        <f t="shared" si="2"/>
        <v>Active</v>
      </c>
      <c r="F11" s="3"/>
      <c r="G11" s="11" t="s">
        <v>42</v>
      </c>
    </row>
    <row r="12" ht="13.5" customHeight="1">
      <c r="A12" s="10">
        <v>6.0</v>
      </c>
      <c r="B12" s="3" t="s">
        <v>91</v>
      </c>
      <c r="C12" s="12">
        <v>46752.0</v>
      </c>
      <c r="D12" s="3">
        <f t="shared" si="1"/>
        <v>494</v>
      </c>
      <c r="E12" s="3" t="str">
        <f t="shared" si="2"/>
        <v>Active</v>
      </c>
      <c r="F12" s="3"/>
      <c r="G12" s="11" t="s">
        <v>42</v>
      </c>
    </row>
    <row r="13" ht="13.5" customHeight="1">
      <c r="A13" s="10">
        <v>31.0</v>
      </c>
      <c r="B13" s="3" t="s">
        <v>93</v>
      </c>
      <c r="C13" s="12">
        <v>46652.0</v>
      </c>
      <c r="D13" s="3">
        <f t="shared" si="1"/>
        <v>394</v>
      </c>
      <c r="E13" s="3" t="str">
        <f t="shared" si="2"/>
        <v>Active</v>
      </c>
      <c r="F13" s="3"/>
      <c r="G13" s="11" t="s">
        <v>42</v>
      </c>
    </row>
    <row r="14" ht="13.5" customHeight="1">
      <c r="A14" s="10">
        <v>1.0</v>
      </c>
      <c r="B14" s="3" t="s">
        <v>95</v>
      </c>
      <c r="C14" s="12">
        <v>46568.0</v>
      </c>
      <c r="D14" s="3">
        <f t="shared" si="1"/>
        <v>310</v>
      </c>
      <c r="E14" s="3" t="str">
        <f t="shared" si="2"/>
        <v>Active</v>
      </c>
      <c r="F14" s="3"/>
      <c r="G14" s="11" t="s">
        <v>42</v>
      </c>
    </row>
    <row r="15" ht="13.5" customHeight="1">
      <c r="A15" s="10">
        <v>8.0</v>
      </c>
      <c r="B15" s="3" t="s">
        <v>98</v>
      </c>
      <c r="C15" s="12">
        <v>46491.0</v>
      </c>
      <c r="D15" s="3">
        <f t="shared" si="1"/>
        <v>233</v>
      </c>
      <c r="E15" s="3" t="str">
        <f t="shared" si="2"/>
        <v>Active</v>
      </c>
      <c r="F15" s="3"/>
      <c r="G15" s="11" t="s">
        <v>42</v>
      </c>
    </row>
    <row r="16" ht="13.5" customHeight="1">
      <c r="A16" s="10">
        <v>3.0</v>
      </c>
      <c r="B16" s="3" t="s">
        <v>101</v>
      </c>
      <c r="C16" s="12">
        <v>46387.0</v>
      </c>
      <c r="D16" s="3">
        <f t="shared" si="1"/>
        <v>129</v>
      </c>
      <c r="E16" s="3" t="str">
        <f t="shared" si="2"/>
        <v>Active</v>
      </c>
      <c r="F16" s="3"/>
      <c r="G16" s="11" t="s">
        <v>42</v>
      </c>
    </row>
    <row r="17" ht="13.5" customHeight="1">
      <c r="A17" s="10">
        <v>9.0</v>
      </c>
      <c r="B17" s="3" t="s">
        <v>102</v>
      </c>
      <c r="C17" s="12">
        <v>46387.0</v>
      </c>
      <c r="D17" s="3">
        <f t="shared" si="1"/>
        <v>129</v>
      </c>
      <c r="E17" s="3" t="str">
        <f t="shared" si="2"/>
        <v>Active</v>
      </c>
      <c r="F17" s="3"/>
      <c r="G17" s="11" t="s">
        <v>42</v>
      </c>
    </row>
    <row r="18" ht="13.5" customHeight="1">
      <c r="A18" s="10">
        <v>10.0</v>
      </c>
      <c r="B18" s="3" t="s">
        <v>104</v>
      </c>
      <c r="C18" s="12">
        <v>46387.0</v>
      </c>
      <c r="D18" s="3">
        <f t="shared" si="1"/>
        <v>129</v>
      </c>
      <c r="E18" s="3" t="str">
        <f t="shared" si="2"/>
        <v>Active</v>
      </c>
      <c r="F18" s="3"/>
      <c r="G18" s="11" t="s">
        <v>42</v>
      </c>
    </row>
    <row r="19" ht="13.5" customHeight="1">
      <c r="A19" s="10">
        <v>12.0</v>
      </c>
      <c r="B19" s="3" t="s">
        <v>106</v>
      </c>
      <c r="C19" s="12">
        <v>46387.0</v>
      </c>
      <c r="D19" s="3">
        <f t="shared" si="1"/>
        <v>129</v>
      </c>
      <c r="E19" s="3" t="str">
        <f t="shared" si="2"/>
        <v>Active</v>
      </c>
      <c r="F19" s="3"/>
      <c r="G19" s="11" t="s">
        <v>42</v>
      </c>
    </row>
    <row r="20" ht="13.5" customHeight="1">
      <c r="A20" s="10">
        <v>13.0</v>
      </c>
      <c r="B20" s="3" t="s">
        <v>108</v>
      </c>
      <c r="C20" s="12">
        <v>46387.0</v>
      </c>
      <c r="D20" s="3">
        <f t="shared" si="1"/>
        <v>129</v>
      </c>
      <c r="E20" s="3" t="str">
        <f t="shared" si="2"/>
        <v>Active</v>
      </c>
      <c r="F20" s="3"/>
      <c r="G20" s="11" t="s">
        <v>42</v>
      </c>
    </row>
    <row r="21" ht="13.5" customHeight="1">
      <c r="A21" s="10">
        <v>14.0</v>
      </c>
      <c r="B21" s="3" t="s">
        <v>109</v>
      </c>
      <c r="C21" s="12">
        <v>46387.0</v>
      </c>
      <c r="D21" s="3">
        <f t="shared" si="1"/>
        <v>129</v>
      </c>
      <c r="E21" s="3" t="str">
        <f t="shared" si="2"/>
        <v>Active</v>
      </c>
      <c r="F21" s="3"/>
      <c r="G21" s="11" t="s">
        <v>42</v>
      </c>
    </row>
    <row r="22" ht="13.5" customHeight="1">
      <c r="A22" s="10">
        <v>27.0</v>
      </c>
      <c r="B22" s="3" t="s">
        <v>111</v>
      </c>
      <c r="C22" s="12">
        <v>46387.0</v>
      </c>
      <c r="D22" s="3">
        <f t="shared" si="1"/>
        <v>129</v>
      </c>
      <c r="E22" s="3" t="str">
        <f t="shared" si="2"/>
        <v>Active</v>
      </c>
      <c r="F22" s="3"/>
      <c r="G22" s="11" t="s">
        <v>42</v>
      </c>
    </row>
    <row r="23" ht="13.5" customHeight="1">
      <c r="A23" s="10">
        <v>33.0</v>
      </c>
      <c r="B23" s="3" t="s">
        <v>113</v>
      </c>
      <c r="C23" s="12">
        <v>46373.0</v>
      </c>
      <c r="D23" s="3">
        <f t="shared" si="1"/>
        <v>115</v>
      </c>
      <c r="E23" s="3" t="str">
        <f t="shared" si="2"/>
        <v>Active</v>
      </c>
      <c r="F23" s="3"/>
      <c r="G23" s="11" t="s">
        <v>42</v>
      </c>
    </row>
    <row r="24" ht="13.5" customHeight="1">
      <c r="A24" s="10">
        <v>11.0</v>
      </c>
      <c r="B24" s="3" t="s">
        <v>115</v>
      </c>
      <c r="C24" s="12">
        <v>46326.0</v>
      </c>
      <c r="D24" s="3">
        <f t="shared" si="1"/>
        <v>68</v>
      </c>
      <c r="E24" s="3" t="str">
        <f t="shared" si="2"/>
        <v>Active</v>
      </c>
      <c r="F24" s="3"/>
      <c r="G24" s="11" t="s">
        <v>42</v>
      </c>
    </row>
    <row r="25" ht="13.5" customHeight="1">
      <c r="A25" s="10">
        <v>30.0</v>
      </c>
      <c r="B25" s="3" t="s">
        <v>119</v>
      </c>
      <c r="C25" s="12">
        <v>46319.0</v>
      </c>
      <c r="D25" s="3">
        <f t="shared" si="1"/>
        <v>61</v>
      </c>
      <c r="E25" s="3" t="str">
        <f t="shared" si="2"/>
        <v>Active</v>
      </c>
      <c r="F25" s="3"/>
      <c r="G25" s="11" t="s">
        <v>42</v>
      </c>
    </row>
    <row r="26" ht="13.5" customHeight="1">
      <c r="A26" s="10">
        <v>28.0</v>
      </c>
      <c r="B26" s="3" t="s">
        <v>121</v>
      </c>
      <c r="C26" s="12">
        <v>46305.0</v>
      </c>
      <c r="D26" s="3">
        <f t="shared" si="1"/>
        <v>47</v>
      </c>
      <c r="E26" s="3" t="str">
        <f t="shared" si="2"/>
        <v>Active</v>
      </c>
      <c r="F26" s="3"/>
      <c r="G26" s="11" t="s">
        <v>42</v>
      </c>
    </row>
    <row r="27" ht="13.5" customHeight="1">
      <c r="A27" s="10">
        <v>2.0</v>
      </c>
      <c r="B27" s="3" t="s">
        <v>124</v>
      </c>
      <c r="C27" s="12">
        <v>46295.0</v>
      </c>
      <c r="D27" s="3">
        <f t="shared" si="1"/>
        <v>37</v>
      </c>
      <c r="E27" s="3" t="str">
        <f t="shared" si="2"/>
        <v>Active</v>
      </c>
      <c r="F27" s="3"/>
      <c r="G27" s="11" t="s">
        <v>42</v>
      </c>
    </row>
    <row r="28" ht="13.5" customHeight="1">
      <c r="A28" s="10">
        <v>4.0</v>
      </c>
      <c r="B28" s="3" t="s">
        <v>125</v>
      </c>
      <c r="C28" s="12">
        <v>46295.0</v>
      </c>
      <c r="D28" s="3">
        <f t="shared" si="1"/>
        <v>37</v>
      </c>
      <c r="E28" s="3" t="str">
        <f t="shared" si="2"/>
        <v>Active</v>
      </c>
      <c r="F28" s="3"/>
      <c r="G28" s="11" t="s">
        <v>42</v>
      </c>
    </row>
    <row r="29" ht="13.5" customHeight="1">
      <c r="A29" s="10">
        <v>17.0</v>
      </c>
      <c r="B29" s="3" t="s">
        <v>128</v>
      </c>
      <c r="C29" s="12">
        <v>46295.0</v>
      </c>
      <c r="D29" s="3">
        <f t="shared" si="1"/>
        <v>37</v>
      </c>
      <c r="E29" s="3" t="str">
        <f t="shared" si="2"/>
        <v>Active</v>
      </c>
      <c r="F29" s="3"/>
      <c r="G29" s="11" t="s">
        <v>42</v>
      </c>
    </row>
    <row r="30" ht="13.5" customHeight="1">
      <c r="A30" s="10">
        <v>18.0</v>
      </c>
      <c r="B30" s="3" t="s">
        <v>129</v>
      </c>
      <c r="C30" s="12">
        <v>46295.0</v>
      </c>
      <c r="D30" s="3">
        <f t="shared" si="1"/>
        <v>37</v>
      </c>
      <c r="E30" s="3" t="str">
        <f t="shared" si="2"/>
        <v>Active</v>
      </c>
      <c r="F30" s="3"/>
      <c r="G30" s="11" t="s">
        <v>42</v>
      </c>
    </row>
    <row r="31" ht="13.5" customHeight="1">
      <c r="A31" s="10">
        <v>19.0</v>
      </c>
      <c r="B31" s="3" t="s">
        <v>130</v>
      </c>
      <c r="C31" s="12">
        <v>46295.0</v>
      </c>
      <c r="D31" s="3">
        <f t="shared" si="1"/>
        <v>37</v>
      </c>
      <c r="E31" s="3" t="str">
        <f t="shared" si="2"/>
        <v>Active</v>
      </c>
      <c r="F31" s="3"/>
      <c r="G31" s="11" t="s">
        <v>42</v>
      </c>
    </row>
    <row r="32" ht="13.5" customHeight="1">
      <c r="A32" s="10">
        <v>20.0</v>
      </c>
      <c r="B32" s="3" t="s">
        <v>131</v>
      </c>
      <c r="C32" s="12">
        <v>46295.0</v>
      </c>
      <c r="D32" s="3">
        <f t="shared" si="1"/>
        <v>37</v>
      </c>
      <c r="E32" s="3" t="str">
        <f t="shared" si="2"/>
        <v>Active</v>
      </c>
      <c r="F32" s="3"/>
      <c r="G32" s="11" t="s">
        <v>42</v>
      </c>
    </row>
    <row r="33" ht="13.5" customHeight="1">
      <c r="A33" s="10">
        <v>29.0</v>
      </c>
      <c r="B33" s="3" t="s">
        <v>132</v>
      </c>
      <c r="C33" s="12">
        <v>46295.0</v>
      </c>
      <c r="D33" s="3">
        <f t="shared" si="1"/>
        <v>37</v>
      </c>
      <c r="E33" s="3" t="str">
        <f t="shared" si="2"/>
        <v>Active</v>
      </c>
      <c r="F33" s="3"/>
      <c r="G33" s="11" t="s">
        <v>42</v>
      </c>
    </row>
    <row r="34" ht="13.5" customHeight="1">
      <c r="A34" s="10">
        <v>32.0</v>
      </c>
      <c r="B34" s="3" t="s">
        <v>133</v>
      </c>
      <c r="C34" s="12">
        <v>46295.0</v>
      </c>
      <c r="D34" s="3">
        <f t="shared" si="1"/>
        <v>37</v>
      </c>
      <c r="E34" s="3" t="str">
        <f t="shared" si="2"/>
        <v>Active</v>
      </c>
      <c r="F34" s="3"/>
      <c r="G34" s="11" t="s">
        <v>42</v>
      </c>
    </row>
    <row r="35" ht="13.5" customHeight="1">
      <c r="A35" s="10"/>
      <c r="B35" s="3"/>
      <c r="C35" s="3"/>
      <c r="D35" s="3"/>
      <c r="E35" s="3"/>
      <c r="F35" s="3"/>
    </row>
    <row r="36" ht="13.5" customHeight="1">
      <c r="A36" s="10"/>
      <c r="B36" s="3"/>
      <c r="C36" s="3"/>
      <c r="D36" s="3"/>
      <c r="E36" s="3"/>
      <c r="F36" s="3"/>
    </row>
    <row r="37" ht="13.5" customHeight="1">
      <c r="A37" s="10"/>
      <c r="B37" s="3"/>
      <c r="C37" s="3"/>
      <c r="D37" s="3"/>
      <c r="E37" s="3"/>
      <c r="F37" s="3"/>
    </row>
    <row r="38" ht="13.5" customHeight="1">
      <c r="A38" s="10"/>
      <c r="B38" s="3"/>
      <c r="C38" s="3"/>
      <c r="D38" s="3"/>
      <c r="E38" s="3"/>
      <c r="F38" s="3"/>
    </row>
    <row r="39" ht="13.5" customHeight="1">
      <c r="A39" s="10"/>
      <c r="B39" s="3"/>
      <c r="C39" s="3"/>
      <c r="D39" s="3"/>
      <c r="E39" s="3"/>
      <c r="F39" s="3"/>
    </row>
    <row r="40" ht="13.5" customHeight="1">
      <c r="A40" s="10"/>
      <c r="B40" s="3"/>
      <c r="C40" s="3"/>
      <c r="D40" s="3"/>
      <c r="E40" s="3"/>
      <c r="F40" s="3"/>
    </row>
    <row r="41" ht="13.5" customHeight="1">
      <c r="A41" s="10"/>
      <c r="B41" s="3"/>
      <c r="C41" s="3"/>
      <c r="D41" s="3"/>
      <c r="E41" s="3"/>
      <c r="F41" s="3"/>
    </row>
    <row r="42" ht="13.5" customHeight="1">
      <c r="A42" s="10"/>
      <c r="B42" s="3"/>
      <c r="C42" s="3"/>
      <c r="D42" s="3"/>
      <c r="E42" s="3"/>
      <c r="F42" s="3"/>
    </row>
    <row r="43" ht="13.5" customHeight="1">
      <c r="A43" s="10"/>
      <c r="B43" s="3"/>
      <c r="C43" s="3"/>
      <c r="D43" s="3"/>
      <c r="E43" s="3"/>
      <c r="F43" s="3"/>
    </row>
    <row r="44" ht="13.5" customHeight="1">
      <c r="A44" s="10"/>
      <c r="B44" s="3"/>
      <c r="C44" s="3"/>
      <c r="D44" s="3"/>
      <c r="E44" s="3"/>
      <c r="F44" s="3"/>
    </row>
    <row r="45" ht="13.5" customHeight="1">
      <c r="A45" s="10"/>
      <c r="B45" s="3"/>
      <c r="C45" s="3"/>
      <c r="D45" s="3"/>
      <c r="E45" s="3"/>
      <c r="F45" s="3"/>
    </row>
    <row r="46" ht="13.5" customHeight="1">
      <c r="A46" s="10"/>
      <c r="B46" s="3"/>
      <c r="C46" s="3"/>
      <c r="D46" s="3"/>
      <c r="E46" s="3"/>
      <c r="F46" s="3"/>
    </row>
    <row r="47" ht="13.5" customHeight="1">
      <c r="A47" s="10"/>
      <c r="B47" s="3"/>
      <c r="C47" s="3"/>
      <c r="D47" s="3"/>
      <c r="E47" s="3"/>
      <c r="F47" s="3"/>
    </row>
    <row r="48" ht="13.5" customHeight="1">
      <c r="A48" s="10"/>
      <c r="B48" s="3"/>
      <c r="C48" s="3"/>
      <c r="D48" s="3"/>
      <c r="E48" s="3"/>
      <c r="F48" s="3"/>
    </row>
    <row r="49" ht="13.5" customHeight="1">
      <c r="A49" s="10"/>
      <c r="B49" s="3"/>
      <c r="C49" s="3"/>
      <c r="D49" s="3"/>
      <c r="E49" s="3"/>
      <c r="F49" s="3"/>
    </row>
    <row r="50" ht="13.5" customHeight="1">
      <c r="A50" s="10"/>
      <c r="B50" s="3"/>
      <c r="C50" s="3"/>
      <c r="D50" s="3"/>
      <c r="E50" s="3"/>
      <c r="F50" s="3"/>
    </row>
    <row r="51" ht="13.5" customHeight="1">
      <c r="A51" s="10"/>
      <c r="B51" s="3"/>
      <c r="C51" s="3"/>
      <c r="D51" s="3"/>
      <c r="E51" s="3"/>
      <c r="F51" s="3"/>
    </row>
    <row r="52" ht="13.5" customHeight="1">
      <c r="A52" s="10"/>
      <c r="B52" s="3"/>
      <c r="C52" s="3"/>
      <c r="D52" s="3"/>
      <c r="E52" s="3"/>
      <c r="F52" s="3"/>
    </row>
    <row r="53" ht="13.5" customHeight="1">
      <c r="A53" s="10"/>
      <c r="B53" s="3"/>
      <c r="C53" s="3"/>
      <c r="D53" s="3"/>
      <c r="E53" s="3"/>
      <c r="F53" s="3"/>
    </row>
    <row r="54" ht="13.5" customHeight="1">
      <c r="A54" s="10"/>
      <c r="B54" s="3"/>
      <c r="C54" s="3"/>
      <c r="D54" s="3"/>
      <c r="E54" s="3"/>
      <c r="F54" s="3"/>
    </row>
    <row r="55" ht="13.5" customHeight="1">
      <c r="A55" s="10"/>
      <c r="B55" s="3"/>
      <c r="C55" s="3"/>
      <c r="D55" s="3"/>
      <c r="E55" s="3"/>
      <c r="F55" s="3"/>
    </row>
    <row r="56" ht="13.5" customHeight="1">
      <c r="A56" s="10"/>
      <c r="B56" s="3"/>
      <c r="C56" s="3"/>
      <c r="D56" s="3"/>
      <c r="E56" s="3"/>
      <c r="F56" s="3"/>
    </row>
    <row r="57" ht="13.5" customHeight="1">
      <c r="A57" s="10"/>
      <c r="B57" s="3"/>
      <c r="C57" s="3"/>
      <c r="D57" s="3"/>
      <c r="E57" s="3"/>
      <c r="F57" s="3"/>
    </row>
    <row r="58" ht="13.5" customHeight="1">
      <c r="A58" s="10"/>
      <c r="B58" s="3"/>
      <c r="C58" s="3"/>
      <c r="D58" s="3"/>
      <c r="E58" s="3"/>
      <c r="F58" s="3"/>
    </row>
    <row r="59" ht="13.5" customHeight="1">
      <c r="A59" s="10"/>
      <c r="B59" s="3"/>
      <c r="C59" s="3"/>
      <c r="D59" s="3"/>
      <c r="E59" s="3"/>
      <c r="F59" s="3"/>
    </row>
    <row r="60" ht="13.5" customHeight="1">
      <c r="A60" s="10"/>
      <c r="B60" s="3"/>
      <c r="C60" s="3"/>
      <c r="D60" s="3"/>
      <c r="E60" s="3"/>
      <c r="F60" s="3"/>
    </row>
    <row r="61" ht="13.5" customHeight="1">
      <c r="A61" s="10"/>
      <c r="B61" s="3"/>
      <c r="C61" s="3"/>
      <c r="D61" s="3"/>
      <c r="E61" s="3"/>
      <c r="F61" s="3"/>
    </row>
    <row r="62" ht="13.5" customHeight="1">
      <c r="A62" s="10"/>
      <c r="B62" s="3"/>
      <c r="C62" s="3"/>
      <c r="D62" s="3"/>
      <c r="E62" s="3"/>
      <c r="F62" s="3"/>
    </row>
    <row r="63" ht="13.5" customHeight="1">
      <c r="A63" s="10"/>
      <c r="B63" s="3"/>
      <c r="C63" s="3"/>
      <c r="D63" s="3"/>
      <c r="E63" s="3"/>
      <c r="F63" s="3"/>
    </row>
    <row r="64" ht="13.5" customHeight="1">
      <c r="A64" s="10"/>
      <c r="B64" s="3"/>
      <c r="C64" s="3"/>
      <c r="D64" s="3"/>
      <c r="E64" s="3"/>
      <c r="F64" s="3"/>
    </row>
    <row r="65" ht="13.5" customHeight="1">
      <c r="A65" s="10"/>
      <c r="B65" s="3"/>
      <c r="C65" s="3"/>
      <c r="D65" s="3"/>
      <c r="E65" s="3"/>
      <c r="F65" s="3"/>
    </row>
    <row r="66" ht="13.5" customHeight="1">
      <c r="A66" s="10"/>
      <c r="B66" s="3"/>
      <c r="C66" s="3"/>
      <c r="D66" s="3"/>
      <c r="E66" s="3"/>
      <c r="F66" s="3"/>
    </row>
    <row r="67" ht="13.5" customHeight="1">
      <c r="A67" s="10"/>
      <c r="B67" s="3"/>
      <c r="C67" s="3"/>
      <c r="D67" s="3"/>
      <c r="E67" s="3"/>
      <c r="F67" s="3"/>
    </row>
    <row r="68" ht="13.5" customHeight="1">
      <c r="A68" s="10"/>
      <c r="B68" s="3"/>
      <c r="C68" s="3"/>
      <c r="D68" s="3"/>
      <c r="E68" s="3"/>
      <c r="F68" s="3"/>
    </row>
    <row r="69" ht="13.5" customHeight="1">
      <c r="A69" s="10"/>
      <c r="B69" s="3"/>
      <c r="C69" s="3"/>
      <c r="D69" s="3"/>
      <c r="E69" s="3"/>
      <c r="F69" s="3"/>
    </row>
    <row r="70" ht="13.5" customHeight="1">
      <c r="A70" s="10"/>
      <c r="B70" s="3"/>
      <c r="C70" s="3"/>
      <c r="D70" s="3"/>
      <c r="E70" s="3"/>
      <c r="F70" s="3"/>
    </row>
    <row r="71" ht="13.5" customHeight="1">
      <c r="A71" s="10"/>
      <c r="B71" s="3"/>
      <c r="C71" s="3"/>
      <c r="D71" s="3"/>
      <c r="E71" s="3"/>
      <c r="F71" s="3"/>
    </row>
    <row r="72" ht="13.5" customHeight="1">
      <c r="A72" s="10"/>
      <c r="B72" s="3"/>
      <c r="C72" s="3"/>
      <c r="D72" s="3"/>
      <c r="E72" s="3"/>
      <c r="F72" s="3"/>
    </row>
    <row r="73" ht="13.5" customHeight="1">
      <c r="A73" s="10"/>
      <c r="B73" s="3"/>
      <c r="C73" s="3"/>
      <c r="D73" s="3"/>
      <c r="E73" s="3"/>
      <c r="F73" s="3"/>
    </row>
    <row r="74" ht="13.5" customHeight="1">
      <c r="A74" s="10"/>
      <c r="B74" s="3"/>
      <c r="C74" s="3"/>
      <c r="D74" s="3"/>
      <c r="E74" s="3"/>
      <c r="F74" s="3"/>
    </row>
    <row r="75" ht="13.5" customHeight="1">
      <c r="A75" s="10"/>
      <c r="B75" s="3"/>
      <c r="C75" s="3"/>
      <c r="D75" s="3"/>
      <c r="E75" s="3"/>
      <c r="F75" s="3"/>
    </row>
    <row r="76" ht="13.5" customHeight="1">
      <c r="A76" s="10"/>
      <c r="B76" s="3"/>
      <c r="C76" s="3"/>
      <c r="D76" s="3"/>
      <c r="E76" s="3"/>
      <c r="F76" s="3"/>
    </row>
    <row r="77" ht="13.5" customHeight="1">
      <c r="A77" s="10"/>
      <c r="B77" s="3"/>
      <c r="C77" s="3"/>
      <c r="D77" s="3"/>
      <c r="E77" s="3"/>
      <c r="F77" s="3"/>
    </row>
    <row r="78" ht="13.5" customHeight="1">
      <c r="A78" s="10"/>
      <c r="B78" s="3"/>
      <c r="C78" s="3"/>
      <c r="D78" s="3"/>
      <c r="E78" s="3"/>
      <c r="F78" s="3"/>
    </row>
    <row r="79" ht="13.5" customHeight="1">
      <c r="A79" s="10"/>
      <c r="B79" s="3"/>
      <c r="C79" s="3"/>
      <c r="D79" s="3"/>
      <c r="E79" s="3"/>
      <c r="F79" s="3"/>
    </row>
    <row r="80" ht="13.5" customHeight="1">
      <c r="A80" s="10"/>
      <c r="B80" s="3"/>
      <c r="C80" s="3"/>
      <c r="D80" s="3"/>
      <c r="E80" s="3"/>
      <c r="F80" s="3"/>
    </row>
    <row r="81" ht="13.5" customHeight="1">
      <c r="A81" s="10"/>
      <c r="B81" s="3"/>
      <c r="C81" s="3"/>
      <c r="D81" s="3"/>
      <c r="E81" s="3"/>
      <c r="F81" s="3"/>
    </row>
    <row r="82" ht="13.5" customHeight="1">
      <c r="A82" s="10"/>
      <c r="B82" s="3"/>
      <c r="C82" s="3"/>
      <c r="D82" s="3"/>
      <c r="E82" s="3"/>
      <c r="F82" s="3"/>
    </row>
    <row r="83" ht="13.5" customHeight="1">
      <c r="A83" s="10"/>
      <c r="B83" s="3"/>
      <c r="C83" s="3"/>
      <c r="D83" s="3"/>
      <c r="E83" s="3"/>
      <c r="F83" s="3"/>
    </row>
    <row r="84" ht="13.5" customHeight="1">
      <c r="A84" s="10"/>
      <c r="B84" s="3"/>
      <c r="C84" s="3"/>
      <c r="D84" s="3"/>
      <c r="E84" s="3"/>
      <c r="F84" s="3"/>
    </row>
    <row r="85" ht="13.5" customHeight="1">
      <c r="A85" s="10"/>
      <c r="B85" s="3"/>
      <c r="C85" s="3"/>
      <c r="D85" s="3"/>
      <c r="E85" s="3"/>
      <c r="F85" s="3"/>
    </row>
    <row r="86" ht="13.5" customHeight="1">
      <c r="A86" s="10"/>
      <c r="B86" s="3"/>
      <c r="C86" s="3"/>
      <c r="D86" s="3"/>
      <c r="E86" s="3"/>
      <c r="F86" s="3"/>
    </row>
    <row r="87" ht="13.5" customHeight="1">
      <c r="A87" s="10"/>
      <c r="B87" s="3"/>
      <c r="C87" s="3"/>
      <c r="D87" s="3"/>
      <c r="E87" s="3"/>
      <c r="F87" s="3"/>
    </row>
    <row r="88" ht="13.5" customHeight="1">
      <c r="A88" s="10"/>
      <c r="B88" s="3"/>
      <c r="C88" s="3"/>
      <c r="D88" s="3"/>
      <c r="E88" s="3"/>
      <c r="F88" s="3"/>
    </row>
    <row r="89" ht="13.5" customHeight="1">
      <c r="A89" s="10"/>
      <c r="B89" s="3"/>
      <c r="C89" s="3"/>
      <c r="D89" s="3"/>
      <c r="E89" s="3"/>
      <c r="F89" s="3"/>
    </row>
    <row r="90" ht="13.5" customHeight="1">
      <c r="A90" s="10"/>
      <c r="B90" s="3"/>
      <c r="C90" s="3"/>
      <c r="D90" s="3"/>
      <c r="E90" s="3"/>
      <c r="F90" s="3"/>
    </row>
    <row r="91" ht="13.5" customHeight="1">
      <c r="A91" s="10"/>
      <c r="B91" s="3"/>
      <c r="C91" s="3"/>
      <c r="D91" s="3"/>
      <c r="E91" s="3"/>
      <c r="F91" s="3"/>
    </row>
    <row r="92" ht="13.5" customHeight="1">
      <c r="A92" s="10"/>
      <c r="B92" s="3"/>
      <c r="C92" s="3"/>
      <c r="D92" s="3"/>
      <c r="E92" s="3"/>
      <c r="F92" s="3"/>
    </row>
    <row r="93" ht="13.5" customHeight="1">
      <c r="A93" s="10"/>
      <c r="B93" s="3"/>
      <c r="C93" s="3"/>
      <c r="D93" s="3"/>
      <c r="E93" s="3"/>
      <c r="F93" s="3"/>
    </row>
    <row r="94" ht="13.5" customHeight="1">
      <c r="A94" s="10"/>
      <c r="B94" s="3"/>
      <c r="C94" s="3"/>
      <c r="D94" s="3"/>
      <c r="E94" s="3"/>
      <c r="F94" s="3"/>
    </row>
    <row r="95" ht="13.5" customHeight="1">
      <c r="A95" s="10"/>
      <c r="B95" s="3"/>
      <c r="C95" s="3"/>
      <c r="D95" s="3"/>
      <c r="E95" s="3"/>
      <c r="F95" s="3"/>
    </row>
    <row r="96" ht="13.5" customHeight="1">
      <c r="A96" s="10"/>
      <c r="B96" s="3"/>
      <c r="C96" s="3"/>
      <c r="D96" s="3"/>
      <c r="E96" s="3"/>
      <c r="F96" s="3"/>
    </row>
    <row r="97" ht="13.5" customHeight="1">
      <c r="A97" s="10"/>
      <c r="B97" s="3"/>
      <c r="C97" s="3"/>
      <c r="D97" s="3"/>
      <c r="E97" s="3"/>
      <c r="F97" s="3"/>
    </row>
    <row r="98" ht="13.5" customHeight="1">
      <c r="A98" s="10"/>
      <c r="B98" s="3"/>
      <c r="C98" s="3"/>
      <c r="D98" s="3"/>
      <c r="E98" s="3"/>
      <c r="F98" s="3"/>
    </row>
    <row r="99" ht="13.5" customHeight="1">
      <c r="A99" s="10"/>
      <c r="B99" s="3"/>
      <c r="C99" s="3"/>
      <c r="D99" s="3"/>
      <c r="E99" s="3"/>
      <c r="F99" s="3"/>
    </row>
    <row r="100" ht="13.5" customHeight="1">
      <c r="A100" s="10"/>
      <c r="B100" s="3"/>
      <c r="C100" s="3"/>
      <c r="D100" s="3"/>
      <c r="E100" s="3"/>
      <c r="F100" s="3"/>
    </row>
    <row r="101" ht="13.5" customHeight="1">
      <c r="A101" s="10"/>
      <c r="B101" s="3"/>
      <c r="C101" s="3"/>
      <c r="D101" s="3"/>
      <c r="E101" s="3"/>
      <c r="F101" s="3"/>
    </row>
    <row r="102" ht="13.5" customHeight="1">
      <c r="A102" s="10"/>
      <c r="B102" s="3"/>
      <c r="C102" s="3"/>
      <c r="D102" s="3"/>
      <c r="E102" s="3"/>
      <c r="F102" s="3"/>
    </row>
    <row r="103" ht="13.5" customHeight="1">
      <c r="A103" s="10"/>
      <c r="B103" s="3"/>
      <c r="C103" s="3"/>
      <c r="D103" s="3"/>
      <c r="E103" s="3"/>
      <c r="F103" s="3"/>
    </row>
    <row r="104" ht="13.5" customHeight="1">
      <c r="A104" s="10"/>
      <c r="B104" s="3"/>
      <c r="C104" s="3"/>
      <c r="D104" s="3"/>
      <c r="E104" s="3"/>
      <c r="F104" s="3"/>
    </row>
    <row r="105" ht="13.5" customHeight="1">
      <c r="A105" s="10"/>
      <c r="B105" s="3"/>
      <c r="C105" s="3"/>
      <c r="D105" s="3"/>
      <c r="E105" s="3"/>
      <c r="F105" s="3"/>
    </row>
    <row r="106" ht="13.5" customHeight="1">
      <c r="A106" s="10"/>
      <c r="B106" s="3"/>
      <c r="C106" s="3"/>
      <c r="D106" s="3"/>
      <c r="E106" s="3"/>
      <c r="F106" s="3"/>
    </row>
    <row r="107" ht="13.5" customHeight="1">
      <c r="A107" s="10"/>
      <c r="B107" s="3"/>
      <c r="C107" s="3"/>
      <c r="D107" s="3"/>
      <c r="E107" s="3"/>
      <c r="F107" s="3"/>
    </row>
    <row r="108" ht="13.5" customHeight="1">
      <c r="A108" s="10"/>
      <c r="B108" s="3"/>
      <c r="C108" s="3"/>
      <c r="D108" s="3"/>
      <c r="E108" s="3"/>
      <c r="F108" s="3"/>
    </row>
    <row r="109" ht="13.5" customHeight="1">
      <c r="A109" s="10"/>
      <c r="B109" s="3"/>
      <c r="C109" s="3"/>
      <c r="D109" s="3"/>
      <c r="E109" s="3"/>
      <c r="F109" s="3"/>
    </row>
    <row r="110" ht="13.5" customHeight="1">
      <c r="A110" s="10"/>
      <c r="B110" s="3"/>
      <c r="C110" s="3"/>
      <c r="D110" s="3"/>
      <c r="E110" s="3"/>
      <c r="F110" s="3"/>
    </row>
    <row r="111" ht="13.5" customHeight="1">
      <c r="A111" s="10"/>
      <c r="B111" s="3"/>
      <c r="C111" s="3"/>
      <c r="D111" s="3"/>
      <c r="E111" s="3"/>
      <c r="F111" s="3"/>
    </row>
    <row r="112" ht="13.5" customHeight="1">
      <c r="A112" s="10"/>
      <c r="B112" s="3"/>
      <c r="C112" s="3"/>
      <c r="D112" s="3"/>
      <c r="E112" s="3"/>
      <c r="F112" s="3"/>
    </row>
    <row r="113" ht="13.5" customHeight="1">
      <c r="A113" s="10"/>
      <c r="B113" s="3"/>
      <c r="C113" s="3"/>
      <c r="D113" s="3"/>
      <c r="E113" s="3"/>
      <c r="F113" s="3"/>
    </row>
    <row r="114" ht="13.5" customHeight="1">
      <c r="A114" s="10"/>
      <c r="B114" s="3"/>
      <c r="C114" s="3"/>
      <c r="D114" s="3"/>
      <c r="E114" s="3"/>
      <c r="F114" s="3"/>
    </row>
    <row r="115" ht="13.5" customHeight="1">
      <c r="A115" s="10"/>
      <c r="B115" s="3"/>
      <c r="C115" s="3"/>
      <c r="D115" s="3"/>
      <c r="E115" s="3"/>
      <c r="F115" s="3"/>
    </row>
    <row r="116" ht="13.5" customHeight="1">
      <c r="A116" s="10"/>
      <c r="B116" s="3"/>
      <c r="C116" s="3"/>
      <c r="D116" s="3"/>
      <c r="E116" s="3"/>
      <c r="F116" s="3"/>
    </row>
    <row r="117" ht="13.5" customHeight="1">
      <c r="A117" s="10"/>
      <c r="B117" s="3"/>
      <c r="C117" s="3"/>
      <c r="D117" s="3"/>
      <c r="E117" s="3"/>
      <c r="F117" s="3"/>
    </row>
    <row r="118" ht="13.5" customHeight="1">
      <c r="A118" s="10"/>
      <c r="B118" s="3"/>
      <c r="C118" s="3"/>
      <c r="D118" s="3"/>
      <c r="E118" s="3"/>
      <c r="F118" s="3"/>
    </row>
    <row r="119" ht="13.5" customHeight="1">
      <c r="A119" s="10"/>
      <c r="B119" s="3"/>
      <c r="C119" s="3"/>
      <c r="D119" s="3"/>
      <c r="E119" s="3"/>
      <c r="F119" s="3"/>
    </row>
    <row r="120" ht="13.5" customHeight="1">
      <c r="A120" s="10"/>
      <c r="B120" s="3"/>
      <c r="C120" s="3"/>
      <c r="D120" s="3"/>
      <c r="E120" s="3"/>
      <c r="F120" s="3"/>
    </row>
    <row r="121" ht="13.5" customHeight="1">
      <c r="A121" s="10"/>
      <c r="B121" s="3"/>
      <c r="C121" s="3"/>
      <c r="D121" s="3"/>
      <c r="E121" s="3"/>
      <c r="F121" s="3"/>
    </row>
    <row r="122" ht="13.5" customHeight="1">
      <c r="A122" s="10"/>
      <c r="B122" s="3"/>
      <c r="C122" s="3"/>
      <c r="D122" s="3"/>
      <c r="E122" s="3"/>
      <c r="F122" s="3"/>
    </row>
    <row r="123" ht="13.5" customHeight="1">
      <c r="A123" s="10"/>
      <c r="B123" s="3"/>
      <c r="C123" s="3"/>
      <c r="D123" s="3"/>
      <c r="E123" s="3"/>
      <c r="F123" s="3"/>
    </row>
    <row r="124" ht="13.5" customHeight="1">
      <c r="A124" s="10"/>
      <c r="B124" s="3"/>
      <c r="C124" s="3"/>
      <c r="D124" s="3"/>
      <c r="E124" s="3"/>
      <c r="F124" s="3"/>
    </row>
    <row r="125" ht="13.5" customHeight="1">
      <c r="A125" s="10"/>
      <c r="B125" s="3"/>
      <c r="C125" s="3"/>
      <c r="D125" s="3"/>
      <c r="E125" s="3"/>
      <c r="F125" s="3"/>
    </row>
    <row r="126" ht="13.5" customHeight="1">
      <c r="A126" s="10"/>
      <c r="B126" s="3"/>
      <c r="C126" s="3"/>
      <c r="D126" s="3"/>
      <c r="E126" s="3"/>
      <c r="F126" s="3"/>
    </row>
    <row r="127" ht="13.5" customHeight="1">
      <c r="A127" s="10"/>
      <c r="B127" s="3"/>
      <c r="C127" s="3"/>
      <c r="D127" s="3"/>
      <c r="E127" s="3"/>
      <c r="F127" s="3"/>
    </row>
    <row r="128" ht="13.5" customHeight="1">
      <c r="A128" s="10"/>
      <c r="B128" s="3"/>
      <c r="C128" s="3"/>
      <c r="D128" s="3"/>
      <c r="E128" s="3"/>
      <c r="F128" s="3"/>
    </row>
    <row r="129" ht="13.5" customHeight="1">
      <c r="A129" s="10"/>
      <c r="B129" s="3"/>
      <c r="C129" s="3"/>
      <c r="D129" s="3"/>
      <c r="E129" s="3"/>
      <c r="F129" s="3"/>
    </row>
    <row r="130" ht="13.5" customHeight="1">
      <c r="A130" s="10"/>
      <c r="B130" s="3"/>
      <c r="C130" s="3"/>
      <c r="D130" s="3"/>
      <c r="E130" s="3"/>
      <c r="F130" s="3"/>
    </row>
    <row r="131" ht="13.5" customHeight="1">
      <c r="A131" s="10"/>
      <c r="B131" s="3"/>
      <c r="C131" s="3"/>
      <c r="D131" s="3"/>
      <c r="E131" s="3"/>
      <c r="F131" s="3"/>
    </row>
    <row r="132" ht="13.5" customHeight="1">
      <c r="A132" s="10"/>
      <c r="B132" s="3"/>
      <c r="C132" s="3"/>
      <c r="D132" s="3"/>
      <c r="E132" s="3"/>
      <c r="F132" s="3"/>
    </row>
    <row r="133" ht="13.5" customHeight="1">
      <c r="A133" s="10"/>
      <c r="B133" s="3"/>
      <c r="C133" s="3"/>
      <c r="D133" s="3"/>
      <c r="E133" s="3"/>
      <c r="F133" s="3"/>
    </row>
    <row r="134" ht="13.5" customHeight="1">
      <c r="A134" s="10"/>
      <c r="B134" s="3"/>
      <c r="C134" s="3"/>
      <c r="D134" s="3"/>
      <c r="E134" s="3"/>
      <c r="F134" s="3"/>
    </row>
    <row r="135" ht="13.5" customHeight="1">
      <c r="A135" s="10"/>
      <c r="B135" s="3"/>
      <c r="C135" s="3"/>
      <c r="D135" s="3"/>
      <c r="E135" s="3"/>
      <c r="F135" s="3"/>
    </row>
    <row r="136" ht="13.5" customHeight="1">
      <c r="A136" s="10"/>
      <c r="B136" s="3"/>
      <c r="C136" s="3"/>
      <c r="D136" s="3"/>
      <c r="E136" s="3"/>
      <c r="F136" s="3"/>
    </row>
    <row r="137" ht="13.5" customHeight="1">
      <c r="A137" s="10"/>
      <c r="B137" s="3"/>
      <c r="C137" s="3"/>
      <c r="D137" s="3"/>
      <c r="E137" s="3"/>
      <c r="F137" s="3"/>
    </row>
    <row r="138" ht="13.5" customHeight="1">
      <c r="A138" s="10"/>
      <c r="B138" s="3"/>
      <c r="C138" s="3"/>
      <c r="D138" s="3"/>
      <c r="E138" s="3"/>
      <c r="F138" s="3"/>
    </row>
    <row r="139" ht="13.5" customHeight="1">
      <c r="A139" s="10"/>
      <c r="B139" s="3"/>
      <c r="C139" s="3"/>
      <c r="D139" s="3"/>
      <c r="E139" s="3"/>
      <c r="F139" s="3"/>
    </row>
    <row r="140" ht="13.5" customHeight="1">
      <c r="A140" s="10"/>
      <c r="B140" s="3"/>
      <c r="C140" s="3"/>
      <c r="D140" s="3"/>
      <c r="E140" s="3"/>
      <c r="F140" s="3"/>
    </row>
    <row r="141" ht="13.5" customHeight="1">
      <c r="A141" s="10"/>
      <c r="B141" s="3"/>
      <c r="C141" s="3"/>
      <c r="D141" s="3"/>
      <c r="E141" s="3"/>
      <c r="F141" s="3"/>
    </row>
    <row r="142" ht="13.5" customHeight="1">
      <c r="A142" s="10"/>
      <c r="B142" s="3"/>
      <c r="C142" s="3"/>
      <c r="D142" s="3"/>
      <c r="E142" s="3"/>
      <c r="F142" s="3"/>
    </row>
    <row r="143" ht="13.5" customHeight="1">
      <c r="A143" s="10"/>
      <c r="B143" s="3"/>
      <c r="C143" s="3"/>
      <c r="D143" s="3"/>
      <c r="E143" s="3"/>
      <c r="F143" s="3"/>
    </row>
    <row r="144" ht="13.5" customHeight="1">
      <c r="A144" s="10"/>
      <c r="B144" s="3"/>
      <c r="C144" s="3"/>
      <c r="D144" s="3"/>
      <c r="E144" s="3"/>
      <c r="F144" s="3"/>
    </row>
    <row r="145" ht="13.5" customHeight="1">
      <c r="A145" s="10"/>
      <c r="B145" s="3"/>
      <c r="C145" s="3"/>
      <c r="D145" s="3"/>
      <c r="E145" s="3"/>
      <c r="F145" s="3"/>
    </row>
    <row r="146" ht="13.5" customHeight="1">
      <c r="A146" s="10"/>
      <c r="B146" s="3"/>
      <c r="C146" s="3"/>
      <c r="D146" s="3"/>
      <c r="E146" s="3"/>
      <c r="F146" s="3"/>
    </row>
    <row r="147" ht="13.5" customHeight="1">
      <c r="A147" s="10"/>
      <c r="B147" s="3"/>
      <c r="C147" s="3"/>
      <c r="D147" s="3"/>
      <c r="E147" s="3"/>
      <c r="F147" s="3"/>
    </row>
    <row r="148" ht="13.5" customHeight="1">
      <c r="A148" s="10"/>
      <c r="B148" s="3"/>
      <c r="C148" s="3"/>
      <c r="D148" s="3"/>
      <c r="E148" s="3"/>
      <c r="F148" s="3"/>
    </row>
    <row r="149" ht="13.5" customHeight="1">
      <c r="A149" s="10"/>
      <c r="B149" s="3"/>
      <c r="C149" s="3"/>
      <c r="D149" s="3"/>
      <c r="E149" s="3"/>
      <c r="F149" s="3"/>
    </row>
    <row r="150" ht="13.5" customHeight="1">
      <c r="A150" s="10"/>
      <c r="B150" s="3"/>
      <c r="C150" s="3"/>
      <c r="D150" s="3"/>
      <c r="E150" s="3"/>
      <c r="F150" s="3"/>
    </row>
    <row r="151" ht="13.5" customHeight="1">
      <c r="A151" s="10"/>
      <c r="B151" s="3"/>
      <c r="C151" s="3"/>
      <c r="D151" s="3"/>
      <c r="E151" s="3"/>
      <c r="F151" s="3"/>
    </row>
    <row r="152" ht="13.5" customHeight="1">
      <c r="A152" s="10"/>
      <c r="B152" s="3"/>
      <c r="C152" s="3"/>
      <c r="D152" s="3"/>
      <c r="E152" s="3"/>
      <c r="F152" s="3"/>
    </row>
    <row r="153" ht="13.5" customHeight="1">
      <c r="A153" s="10"/>
      <c r="B153" s="3"/>
      <c r="C153" s="3"/>
      <c r="D153" s="3"/>
      <c r="E153" s="3"/>
      <c r="F153" s="3"/>
    </row>
    <row r="154" ht="13.5" customHeight="1">
      <c r="A154" s="10"/>
      <c r="B154" s="3"/>
      <c r="C154" s="3"/>
      <c r="D154" s="3"/>
      <c r="E154" s="3"/>
      <c r="F154" s="3"/>
    </row>
    <row r="155" ht="13.5" customHeight="1">
      <c r="A155" s="10"/>
      <c r="B155" s="3"/>
      <c r="C155" s="3"/>
      <c r="D155" s="3"/>
      <c r="E155" s="3"/>
      <c r="F155" s="3"/>
    </row>
    <row r="156" ht="13.5" customHeight="1">
      <c r="A156" s="10"/>
      <c r="B156" s="3"/>
      <c r="C156" s="3"/>
      <c r="D156" s="3"/>
      <c r="E156" s="3"/>
      <c r="F156" s="3"/>
    </row>
    <row r="157" ht="13.5" customHeight="1">
      <c r="A157" s="10"/>
      <c r="B157" s="3"/>
      <c r="C157" s="3"/>
      <c r="D157" s="3"/>
      <c r="E157" s="3"/>
      <c r="F157" s="3"/>
    </row>
    <row r="158" ht="13.5" customHeight="1">
      <c r="A158" s="10"/>
      <c r="B158" s="3"/>
      <c r="C158" s="3"/>
      <c r="D158" s="3"/>
      <c r="E158" s="3"/>
      <c r="F158" s="3"/>
    </row>
    <row r="159" ht="13.5" customHeight="1">
      <c r="A159" s="10"/>
      <c r="B159" s="3"/>
      <c r="C159" s="3"/>
      <c r="D159" s="3"/>
      <c r="E159" s="3"/>
      <c r="F159" s="3"/>
    </row>
    <row r="160" ht="13.5" customHeight="1">
      <c r="A160" s="10"/>
      <c r="B160" s="3"/>
      <c r="C160" s="3"/>
      <c r="D160" s="3"/>
      <c r="E160" s="3"/>
      <c r="F160" s="3"/>
    </row>
    <row r="161" ht="13.5" customHeight="1">
      <c r="A161" s="10"/>
      <c r="B161" s="3"/>
      <c r="C161" s="3"/>
      <c r="D161" s="3"/>
      <c r="E161" s="3"/>
      <c r="F161" s="3"/>
    </row>
    <row r="162" ht="13.5" customHeight="1">
      <c r="A162" s="10"/>
      <c r="B162" s="3"/>
      <c r="C162" s="3"/>
      <c r="D162" s="3"/>
      <c r="E162" s="3"/>
      <c r="F162" s="3"/>
    </row>
    <row r="163" ht="13.5" customHeight="1">
      <c r="A163" s="10"/>
      <c r="B163" s="3"/>
      <c r="C163" s="3"/>
      <c r="D163" s="3"/>
      <c r="E163" s="3"/>
      <c r="F163" s="3"/>
    </row>
    <row r="164" ht="13.5" customHeight="1">
      <c r="A164" s="10"/>
      <c r="B164" s="3"/>
      <c r="C164" s="3"/>
      <c r="D164" s="3"/>
      <c r="E164" s="3"/>
      <c r="F164" s="3"/>
    </row>
    <row r="165" ht="13.5" customHeight="1">
      <c r="A165" s="10"/>
      <c r="B165" s="3"/>
      <c r="C165" s="3"/>
      <c r="D165" s="3"/>
      <c r="E165" s="3"/>
      <c r="F165" s="3"/>
    </row>
    <row r="166" ht="13.5" customHeight="1">
      <c r="A166" s="10"/>
      <c r="B166" s="3"/>
      <c r="C166" s="3"/>
      <c r="D166" s="3"/>
      <c r="E166" s="3"/>
      <c r="F166" s="3"/>
    </row>
    <row r="167" ht="13.5" customHeight="1">
      <c r="A167" s="10"/>
      <c r="B167" s="3"/>
      <c r="C167" s="3"/>
      <c r="D167" s="3"/>
      <c r="E167" s="3"/>
      <c r="F167" s="3"/>
    </row>
    <row r="168" ht="13.5" customHeight="1">
      <c r="A168" s="10"/>
      <c r="B168" s="3"/>
      <c r="C168" s="3"/>
      <c r="D168" s="3"/>
      <c r="E168" s="3"/>
      <c r="F168" s="3"/>
    </row>
    <row r="169" ht="13.5" customHeight="1">
      <c r="A169" s="10"/>
      <c r="B169" s="3"/>
      <c r="C169" s="3"/>
      <c r="D169" s="3"/>
      <c r="E169" s="3"/>
      <c r="F169" s="3"/>
    </row>
    <row r="170" ht="13.5" customHeight="1">
      <c r="A170" s="10"/>
      <c r="B170" s="3"/>
      <c r="C170" s="3"/>
      <c r="D170" s="3"/>
      <c r="E170" s="3"/>
      <c r="F170" s="3"/>
    </row>
    <row r="171" ht="13.5" customHeight="1">
      <c r="A171" s="10"/>
      <c r="B171" s="3"/>
      <c r="C171" s="3"/>
      <c r="D171" s="3"/>
      <c r="E171" s="3"/>
      <c r="F171" s="3"/>
    </row>
    <row r="172" ht="13.5" customHeight="1">
      <c r="A172" s="10"/>
      <c r="B172" s="3"/>
      <c r="C172" s="3"/>
      <c r="D172" s="3"/>
      <c r="E172" s="3"/>
      <c r="F172" s="3"/>
    </row>
    <row r="173" ht="13.5" customHeight="1">
      <c r="A173" s="10"/>
      <c r="B173" s="3"/>
      <c r="C173" s="3"/>
      <c r="D173" s="3"/>
      <c r="E173" s="3"/>
      <c r="F173" s="3"/>
    </row>
    <row r="174" ht="13.5" customHeight="1">
      <c r="A174" s="10"/>
      <c r="B174" s="3"/>
      <c r="C174" s="3"/>
      <c r="D174" s="3"/>
      <c r="E174" s="3"/>
      <c r="F174" s="3"/>
    </row>
    <row r="175" ht="13.5" customHeight="1">
      <c r="A175" s="10"/>
      <c r="B175" s="3"/>
      <c r="C175" s="3"/>
      <c r="D175" s="3"/>
      <c r="E175" s="3"/>
      <c r="F175" s="3"/>
    </row>
    <row r="176" ht="13.5" customHeight="1">
      <c r="A176" s="10"/>
      <c r="B176" s="3"/>
      <c r="C176" s="3"/>
      <c r="D176" s="3"/>
      <c r="E176" s="3"/>
      <c r="F176" s="3"/>
    </row>
    <row r="177" ht="13.5" customHeight="1">
      <c r="A177" s="10"/>
      <c r="B177" s="3"/>
      <c r="C177" s="3"/>
      <c r="D177" s="3"/>
      <c r="E177" s="3"/>
      <c r="F177" s="3"/>
    </row>
    <row r="178" ht="13.5" customHeight="1">
      <c r="A178" s="10"/>
      <c r="B178" s="3"/>
      <c r="C178" s="3"/>
      <c r="D178" s="3"/>
      <c r="E178" s="3"/>
      <c r="F178" s="3"/>
    </row>
    <row r="179" ht="13.5" customHeight="1">
      <c r="A179" s="10"/>
      <c r="B179" s="3"/>
      <c r="C179" s="3"/>
      <c r="D179" s="3"/>
      <c r="E179" s="3"/>
      <c r="F179" s="3"/>
    </row>
    <row r="180" ht="13.5" customHeight="1">
      <c r="A180" s="10"/>
      <c r="B180" s="3"/>
      <c r="C180" s="3"/>
      <c r="D180" s="3"/>
      <c r="E180" s="3"/>
      <c r="F180" s="3"/>
    </row>
    <row r="181" ht="13.5" customHeight="1">
      <c r="A181" s="10"/>
      <c r="B181" s="3"/>
      <c r="C181" s="3"/>
      <c r="D181" s="3"/>
      <c r="E181" s="3"/>
      <c r="F181" s="3"/>
    </row>
    <row r="182" ht="13.5" customHeight="1">
      <c r="A182" s="10"/>
      <c r="B182" s="3"/>
      <c r="C182" s="3"/>
      <c r="D182" s="3"/>
      <c r="E182" s="3"/>
      <c r="F182" s="3"/>
    </row>
    <row r="183" ht="13.5" customHeight="1">
      <c r="A183" s="10"/>
      <c r="B183" s="3"/>
      <c r="C183" s="3"/>
      <c r="D183" s="3"/>
      <c r="E183" s="3"/>
      <c r="F183" s="3"/>
    </row>
    <row r="184" ht="13.5" customHeight="1">
      <c r="A184" s="10"/>
      <c r="B184" s="3"/>
      <c r="C184" s="3"/>
      <c r="D184" s="3"/>
      <c r="E184" s="3"/>
      <c r="F184" s="3"/>
    </row>
    <row r="185" ht="13.5" customHeight="1">
      <c r="A185" s="10"/>
      <c r="B185" s="3"/>
      <c r="C185" s="3"/>
      <c r="D185" s="3"/>
      <c r="E185" s="3"/>
      <c r="F185" s="3"/>
    </row>
    <row r="186" ht="13.5" customHeight="1">
      <c r="A186" s="10"/>
      <c r="B186" s="3"/>
      <c r="C186" s="3"/>
      <c r="D186" s="3"/>
      <c r="E186" s="3"/>
      <c r="F186" s="3"/>
    </row>
    <row r="187" ht="13.5" customHeight="1">
      <c r="A187" s="10"/>
      <c r="B187" s="3"/>
      <c r="C187" s="3"/>
      <c r="D187" s="3"/>
      <c r="E187" s="3"/>
      <c r="F187" s="3"/>
    </row>
    <row r="188" ht="13.5" customHeight="1">
      <c r="A188" s="10"/>
      <c r="B188" s="3"/>
      <c r="C188" s="3"/>
      <c r="D188" s="3"/>
      <c r="E188" s="3"/>
      <c r="F188" s="3"/>
    </row>
    <row r="189" ht="13.5" customHeight="1">
      <c r="A189" s="10"/>
      <c r="B189" s="3"/>
      <c r="C189" s="3"/>
      <c r="D189" s="3"/>
      <c r="E189" s="3"/>
      <c r="F189" s="3"/>
    </row>
    <row r="190" ht="13.5" customHeight="1">
      <c r="A190" s="10"/>
      <c r="B190" s="3"/>
      <c r="C190" s="3"/>
      <c r="D190" s="3"/>
      <c r="E190" s="3"/>
      <c r="F190" s="3"/>
    </row>
    <row r="191" ht="13.5" customHeight="1">
      <c r="A191" s="10"/>
      <c r="B191" s="3"/>
      <c r="C191" s="3"/>
      <c r="D191" s="3"/>
      <c r="E191" s="3"/>
      <c r="F191" s="3"/>
    </row>
    <row r="192" ht="13.5" customHeight="1">
      <c r="A192" s="10"/>
      <c r="B192" s="3"/>
      <c r="C192" s="3"/>
      <c r="D192" s="3"/>
      <c r="E192" s="3"/>
      <c r="F192" s="3"/>
    </row>
    <row r="193" ht="13.5" customHeight="1">
      <c r="A193" s="10"/>
      <c r="B193" s="3"/>
      <c r="C193" s="3"/>
      <c r="D193" s="3"/>
      <c r="E193" s="3"/>
      <c r="F193" s="3"/>
    </row>
    <row r="194" ht="13.5" customHeight="1">
      <c r="A194" s="10"/>
      <c r="B194" s="3"/>
      <c r="C194" s="3"/>
      <c r="D194" s="3"/>
      <c r="E194" s="3"/>
      <c r="F194" s="3"/>
    </row>
    <row r="195" ht="13.5" customHeight="1">
      <c r="A195" s="10"/>
      <c r="B195" s="3"/>
      <c r="C195" s="3"/>
      <c r="D195" s="3"/>
      <c r="E195" s="3"/>
      <c r="F195" s="3"/>
    </row>
    <row r="196" ht="13.5" customHeight="1">
      <c r="A196" s="10"/>
      <c r="B196" s="3"/>
      <c r="C196" s="3"/>
      <c r="D196" s="3"/>
      <c r="E196" s="3"/>
      <c r="F196" s="3"/>
    </row>
    <row r="197" ht="13.5" customHeight="1">
      <c r="A197" s="10"/>
      <c r="B197" s="3"/>
      <c r="C197" s="3"/>
      <c r="D197" s="3"/>
      <c r="E197" s="3"/>
      <c r="F197" s="3"/>
    </row>
    <row r="198" ht="13.5" customHeight="1">
      <c r="A198" s="10"/>
      <c r="B198" s="3"/>
      <c r="C198" s="3"/>
      <c r="D198" s="3"/>
      <c r="E198" s="3"/>
      <c r="F198" s="3"/>
    </row>
    <row r="199" ht="13.5" customHeight="1">
      <c r="A199" s="10"/>
      <c r="B199" s="3"/>
      <c r="C199" s="3"/>
      <c r="D199" s="3"/>
      <c r="E199" s="3"/>
      <c r="F199" s="3"/>
    </row>
    <row r="200" ht="13.5" customHeight="1">
      <c r="A200" s="10"/>
      <c r="B200" s="3"/>
      <c r="C200" s="3"/>
      <c r="D200" s="3"/>
      <c r="E200" s="3"/>
      <c r="F200" s="3"/>
    </row>
    <row r="201" ht="13.5" customHeight="1">
      <c r="A201" s="10"/>
      <c r="B201" s="3"/>
      <c r="C201" s="3"/>
      <c r="D201" s="3"/>
      <c r="E201" s="3"/>
      <c r="F201" s="3"/>
    </row>
    <row r="202" ht="13.5" customHeight="1">
      <c r="A202" s="25"/>
    </row>
    <row r="203" ht="13.5" customHeight="1">
      <c r="A203" s="25"/>
    </row>
    <row r="204" ht="13.5" customHeight="1">
      <c r="A204" s="25"/>
    </row>
    <row r="205" ht="13.5" customHeight="1">
      <c r="A205" s="25"/>
    </row>
    <row r="206" ht="13.5" customHeight="1">
      <c r="A206" s="25"/>
    </row>
    <row r="207" ht="13.5" customHeight="1">
      <c r="A207" s="25"/>
    </row>
    <row r="208" ht="13.5" customHeight="1">
      <c r="A208" s="25"/>
    </row>
    <row r="209" ht="13.5" customHeight="1">
      <c r="A209" s="25"/>
    </row>
    <row r="210" ht="13.5" customHeight="1">
      <c r="A210" s="25"/>
    </row>
    <row r="211" ht="13.5" customHeight="1">
      <c r="A211" s="25"/>
    </row>
    <row r="212" ht="13.5" customHeight="1">
      <c r="A212" s="25"/>
    </row>
    <row r="213" ht="13.5" customHeight="1">
      <c r="A213" s="25"/>
    </row>
    <row r="214" ht="13.5" customHeight="1">
      <c r="A214" s="25"/>
    </row>
    <row r="215" ht="13.5" customHeight="1">
      <c r="A215" s="25"/>
    </row>
    <row r="216" ht="13.5" customHeight="1">
      <c r="A216" s="25"/>
    </row>
    <row r="217" ht="13.5" customHeight="1">
      <c r="A217" s="25"/>
    </row>
    <row r="218" ht="13.5" customHeight="1">
      <c r="A218" s="25"/>
    </row>
    <row r="219" ht="13.5" customHeight="1">
      <c r="A219" s="25"/>
    </row>
    <row r="220" ht="13.5" customHeight="1">
      <c r="A220" s="25"/>
    </row>
    <row r="221" ht="13.5" customHeight="1">
      <c r="A221" s="25"/>
    </row>
    <row r="222" ht="13.5" customHeight="1">
      <c r="A222" s="25"/>
    </row>
    <row r="223" ht="13.5" customHeight="1">
      <c r="A223" s="25"/>
    </row>
    <row r="224" ht="13.5" customHeight="1">
      <c r="A224" s="25"/>
    </row>
    <row r="225" ht="13.5" customHeight="1">
      <c r="A225" s="25"/>
    </row>
    <row r="226" ht="13.5" customHeight="1">
      <c r="A226" s="25"/>
    </row>
    <row r="227" ht="13.5" customHeight="1">
      <c r="A227" s="25"/>
    </row>
    <row r="228" ht="13.5" customHeight="1">
      <c r="A228" s="25"/>
    </row>
    <row r="229" ht="13.5" customHeight="1">
      <c r="A229" s="25"/>
    </row>
    <row r="230" ht="13.5" customHeight="1">
      <c r="A230" s="25"/>
    </row>
    <row r="231" ht="13.5" customHeight="1">
      <c r="A231" s="25"/>
    </row>
    <row r="232" ht="13.5" customHeight="1">
      <c r="A232" s="25"/>
    </row>
    <row r="233" ht="13.5" customHeight="1">
      <c r="A233" s="25"/>
    </row>
    <row r="234" ht="13.5" customHeight="1">
      <c r="A234" s="25"/>
    </row>
    <row r="235" ht="13.5" customHeight="1">
      <c r="A235" s="25"/>
    </row>
    <row r="236" ht="13.5" customHeight="1">
      <c r="A236" s="25"/>
    </row>
    <row r="237" ht="13.5" customHeight="1">
      <c r="A237" s="25"/>
    </row>
    <row r="238" ht="13.5" customHeight="1">
      <c r="A238" s="25"/>
    </row>
    <row r="239" ht="13.5" customHeight="1">
      <c r="A239" s="25"/>
    </row>
    <row r="240" ht="13.5" customHeight="1">
      <c r="A240" s="25"/>
    </row>
    <row r="241" ht="13.5" customHeight="1">
      <c r="A241" s="25"/>
    </row>
    <row r="242" ht="13.5" customHeight="1">
      <c r="A242" s="25"/>
    </row>
    <row r="243" ht="13.5" customHeight="1">
      <c r="A243" s="25"/>
    </row>
    <row r="244" ht="13.5" customHeight="1">
      <c r="A244" s="25"/>
    </row>
    <row r="245" ht="13.5" customHeight="1">
      <c r="A245" s="25"/>
    </row>
    <row r="246" ht="13.5" customHeight="1">
      <c r="A246" s="25"/>
    </row>
    <row r="247" ht="13.5" customHeight="1">
      <c r="A247" s="25"/>
    </row>
    <row r="248" ht="13.5" customHeight="1">
      <c r="A248" s="25"/>
    </row>
    <row r="249" ht="13.5" customHeight="1">
      <c r="A249" s="25"/>
    </row>
    <row r="250" ht="13.5" customHeight="1">
      <c r="A250" s="25"/>
    </row>
    <row r="251" ht="13.5" customHeight="1">
      <c r="A251" s="25"/>
    </row>
    <row r="252" ht="13.5" customHeight="1">
      <c r="A252" s="25"/>
    </row>
    <row r="253" ht="13.5" customHeight="1">
      <c r="A253" s="25"/>
    </row>
    <row r="254" ht="13.5" customHeight="1">
      <c r="A254" s="25"/>
    </row>
    <row r="255" ht="13.5" customHeight="1">
      <c r="A255" s="25"/>
    </row>
    <row r="256" ht="13.5" customHeight="1">
      <c r="A256" s="25"/>
    </row>
    <row r="257" ht="13.5" customHeight="1">
      <c r="A257" s="25"/>
    </row>
    <row r="258" ht="13.5" customHeight="1">
      <c r="A258" s="25"/>
    </row>
    <row r="259" ht="13.5" customHeight="1">
      <c r="A259" s="25"/>
    </row>
    <row r="260" ht="13.5" customHeight="1">
      <c r="A260" s="25"/>
    </row>
    <row r="261" ht="13.5" customHeight="1">
      <c r="A261" s="25"/>
    </row>
    <row r="262" ht="13.5" customHeight="1">
      <c r="A262" s="25"/>
    </row>
    <row r="263" ht="13.5" customHeight="1">
      <c r="A263" s="25"/>
    </row>
    <row r="264" ht="13.5" customHeight="1">
      <c r="A264" s="25"/>
    </row>
    <row r="265" ht="13.5" customHeight="1">
      <c r="A265" s="25"/>
    </row>
    <row r="266" ht="13.5" customHeight="1">
      <c r="A266" s="25"/>
    </row>
    <row r="267" ht="13.5" customHeight="1">
      <c r="A267" s="25"/>
    </row>
    <row r="268" ht="13.5" customHeight="1">
      <c r="A268" s="25"/>
    </row>
    <row r="269" ht="13.5" customHeight="1">
      <c r="A269" s="25"/>
    </row>
    <row r="270" ht="13.5" customHeight="1">
      <c r="A270" s="25"/>
    </row>
    <row r="271" ht="13.5" customHeight="1">
      <c r="A271" s="25"/>
    </row>
    <row r="272" ht="13.5" customHeight="1">
      <c r="A272" s="25"/>
    </row>
    <row r="273" ht="13.5" customHeight="1">
      <c r="A273" s="25"/>
    </row>
    <row r="274" ht="13.5" customHeight="1">
      <c r="A274" s="25"/>
    </row>
    <row r="275" ht="13.5" customHeight="1">
      <c r="A275" s="25"/>
    </row>
    <row r="276" ht="13.5" customHeight="1">
      <c r="A276" s="25"/>
    </row>
    <row r="277" ht="13.5" customHeight="1">
      <c r="A277" s="25"/>
    </row>
    <row r="278" ht="13.5" customHeight="1">
      <c r="A278" s="25"/>
    </row>
    <row r="279" ht="13.5" customHeight="1">
      <c r="A279" s="25"/>
    </row>
    <row r="280" ht="13.5" customHeight="1">
      <c r="A280" s="25"/>
    </row>
    <row r="281" ht="13.5" customHeight="1">
      <c r="A281" s="25"/>
    </row>
    <row r="282" ht="13.5" customHeight="1">
      <c r="A282" s="25"/>
    </row>
    <row r="283" ht="13.5" customHeight="1">
      <c r="A283" s="25"/>
    </row>
    <row r="284" ht="13.5" customHeight="1">
      <c r="A284" s="25"/>
    </row>
    <row r="285" ht="13.5" customHeight="1">
      <c r="A285" s="25"/>
    </row>
    <row r="286" ht="13.5" customHeight="1">
      <c r="A286" s="25"/>
    </row>
    <row r="287" ht="13.5" customHeight="1">
      <c r="A287" s="25"/>
    </row>
    <row r="288" ht="13.5" customHeight="1">
      <c r="A288" s="25"/>
    </row>
    <row r="289" ht="13.5" customHeight="1">
      <c r="A289" s="25"/>
    </row>
    <row r="290" ht="13.5" customHeight="1">
      <c r="A290" s="25"/>
    </row>
    <row r="291" ht="13.5" customHeight="1">
      <c r="A291" s="25"/>
    </row>
    <row r="292" ht="13.5" customHeight="1">
      <c r="A292" s="25"/>
    </row>
    <row r="293" ht="13.5" customHeight="1">
      <c r="A293" s="25"/>
    </row>
    <row r="294" ht="13.5" customHeight="1">
      <c r="A294" s="25"/>
    </row>
    <row r="295" ht="13.5" customHeight="1">
      <c r="A295" s="25"/>
    </row>
    <row r="296" ht="13.5" customHeight="1">
      <c r="A296" s="25"/>
    </row>
    <row r="297" ht="13.5" customHeight="1">
      <c r="A297" s="25"/>
    </row>
    <row r="298" ht="13.5" customHeight="1">
      <c r="A298" s="25"/>
    </row>
    <row r="299" ht="13.5" customHeight="1">
      <c r="A299" s="25"/>
    </row>
    <row r="300" ht="13.5" customHeight="1">
      <c r="A300" s="25"/>
    </row>
    <row r="301" ht="13.5" customHeight="1">
      <c r="A301" s="25"/>
    </row>
    <row r="302" ht="13.5" customHeight="1">
      <c r="A302" s="25"/>
    </row>
    <row r="303" ht="13.5" customHeight="1">
      <c r="A303" s="25"/>
    </row>
    <row r="304" ht="13.5" customHeight="1">
      <c r="A304" s="25"/>
    </row>
    <row r="305" ht="13.5" customHeight="1">
      <c r="A305" s="25"/>
    </row>
    <row r="306" ht="13.5" customHeight="1">
      <c r="A306" s="25"/>
    </row>
    <row r="307" ht="13.5" customHeight="1">
      <c r="A307" s="25"/>
    </row>
    <row r="308" ht="13.5" customHeight="1">
      <c r="A308" s="25"/>
    </row>
    <row r="309" ht="13.5" customHeight="1">
      <c r="A309" s="25"/>
    </row>
    <row r="310" ht="13.5" customHeight="1">
      <c r="A310" s="25"/>
    </row>
    <row r="311" ht="13.5" customHeight="1">
      <c r="A311" s="25"/>
    </row>
    <row r="312" ht="13.5" customHeight="1">
      <c r="A312" s="25"/>
    </row>
    <row r="313" ht="13.5" customHeight="1">
      <c r="A313" s="25"/>
    </row>
    <row r="314" ht="13.5" customHeight="1">
      <c r="A314" s="25"/>
    </row>
    <row r="315" ht="13.5" customHeight="1">
      <c r="A315" s="25"/>
    </row>
    <row r="316" ht="13.5" customHeight="1">
      <c r="A316" s="25"/>
    </row>
    <row r="317" ht="13.5" customHeight="1">
      <c r="A317" s="25"/>
    </row>
    <row r="318" ht="13.5" customHeight="1">
      <c r="A318" s="25"/>
    </row>
    <row r="319" ht="13.5" customHeight="1">
      <c r="A319" s="25"/>
    </row>
    <row r="320" ht="13.5" customHeight="1">
      <c r="A320" s="25"/>
    </row>
    <row r="321" ht="13.5" customHeight="1">
      <c r="A321" s="25"/>
    </row>
    <row r="322" ht="13.5" customHeight="1">
      <c r="A322" s="25"/>
    </row>
    <row r="323" ht="13.5" customHeight="1">
      <c r="A323" s="25"/>
    </row>
    <row r="324" ht="13.5" customHeight="1">
      <c r="A324" s="25"/>
    </row>
    <row r="325" ht="13.5" customHeight="1">
      <c r="A325" s="25"/>
    </row>
    <row r="326" ht="13.5" customHeight="1">
      <c r="A326" s="25"/>
    </row>
    <row r="327" ht="13.5" customHeight="1">
      <c r="A327" s="25"/>
    </row>
    <row r="328" ht="13.5" customHeight="1">
      <c r="A328" s="25"/>
    </row>
    <row r="329" ht="13.5" customHeight="1">
      <c r="A329" s="25"/>
    </row>
    <row r="330" ht="13.5" customHeight="1">
      <c r="A330" s="25"/>
    </row>
    <row r="331" ht="13.5" customHeight="1">
      <c r="A331" s="25"/>
    </row>
    <row r="332" ht="13.5" customHeight="1">
      <c r="A332" s="25"/>
    </row>
    <row r="333" ht="13.5" customHeight="1">
      <c r="A333" s="25"/>
    </row>
    <row r="334" ht="13.5" customHeight="1">
      <c r="A334" s="25"/>
    </row>
    <row r="335" ht="13.5" customHeight="1">
      <c r="A335" s="25"/>
    </row>
    <row r="336" ht="13.5" customHeight="1">
      <c r="A336" s="25"/>
    </row>
    <row r="337" ht="13.5" customHeight="1">
      <c r="A337" s="25"/>
    </row>
    <row r="338" ht="13.5" customHeight="1">
      <c r="A338" s="25"/>
    </row>
    <row r="339" ht="13.5" customHeight="1">
      <c r="A339" s="25"/>
    </row>
    <row r="340" ht="13.5" customHeight="1">
      <c r="A340" s="25"/>
    </row>
    <row r="341" ht="13.5" customHeight="1">
      <c r="A341" s="25"/>
    </row>
    <row r="342" ht="13.5" customHeight="1">
      <c r="A342" s="25"/>
    </row>
    <row r="343" ht="13.5" customHeight="1">
      <c r="A343" s="25"/>
    </row>
    <row r="344" ht="13.5" customHeight="1">
      <c r="A344" s="25"/>
    </row>
    <row r="345" ht="13.5" customHeight="1">
      <c r="A345" s="25"/>
    </row>
    <row r="346" ht="13.5" customHeight="1">
      <c r="A346" s="25"/>
    </row>
    <row r="347" ht="13.5" customHeight="1">
      <c r="A347" s="25"/>
    </row>
    <row r="348" ht="13.5" customHeight="1">
      <c r="A348" s="25"/>
    </row>
    <row r="349" ht="13.5" customHeight="1">
      <c r="A349" s="25"/>
    </row>
    <row r="350" ht="13.5" customHeight="1">
      <c r="A350" s="25"/>
    </row>
    <row r="351" ht="13.5" customHeight="1">
      <c r="A351" s="25"/>
    </row>
    <row r="352" ht="13.5" customHeight="1">
      <c r="A352" s="25"/>
    </row>
    <row r="353" ht="13.5" customHeight="1">
      <c r="A353" s="25"/>
    </row>
    <row r="354" ht="13.5" customHeight="1">
      <c r="A354" s="25"/>
    </row>
    <row r="355" ht="13.5" customHeight="1">
      <c r="A355" s="25"/>
    </row>
    <row r="356" ht="13.5" customHeight="1">
      <c r="A356" s="25"/>
    </row>
    <row r="357" ht="13.5" customHeight="1">
      <c r="A357" s="25"/>
    </row>
    <row r="358" ht="13.5" customHeight="1">
      <c r="A358" s="25"/>
    </row>
    <row r="359" ht="13.5" customHeight="1">
      <c r="A359" s="25"/>
    </row>
    <row r="360" ht="13.5" customHeight="1">
      <c r="A360" s="25"/>
    </row>
    <row r="361" ht="13.5" customHeight="1">
      <c r="A361" s="25"/>
    </row>
    <row r="362" ht="13.5" customHeight="1">
      <c r="A362" s="25"/>
    </row>
    <row r="363" ht="13.5" customHeight="1">
      <c r="A363" s="25"/>
    </row>
    <row r="364" ht="13.5" customHeight="1">
      <c r="A364" s="25"/>
    </row>
    <row r="365" ht="13.5" customHeight="1">
      <c r="A365" s="25"/>
    </row>
    <row r="366" ht="13.5" customHeight="1">
      <c r="A366" s="25"/>
    </row>
    <row r="367" ht="13.5" customHeight="1">
      <c r="A367" s="25"/>
    </row>
    <row r="368" ht="13.5" customHeight="1">
      <c r="A368" s="25"/>
    </row>
    <row r="369" ht="13.5" customHeight="1">
      <c r="A369" s="25"/>
    </row>
    <row r="370" ht="13.5" customHeight="1">
      <c r="A370" s="25"/>
    </row>
    <row r="371" ht="13.5" customHeight="1">
      <c r="A371" s="25"/>
    </row>
    <row r="372" ht="13.5" customHeight="1">
      <c r="A372" s="25"/>
    </row>
    <row r="373" ht="13.5" customHeight="1">
      <c r="A373" s="25"/>
    </row>
    <row r="374" ht="13.5" customHeight="1">
      <c r="A374" s="25"/>
    </row>
    <row r="375" ht="13.5" customHeight="1">
      <c r="A375" s="25"/>
    </row>
    <row r="376" ht="13.5" customHeight="1">
      <c r="A376" s="25"/>
    </row>
    <row r="377" ht="13.5" customHeight="1">
      <c r="A377" s="25"/>
    </row>
    <row r="378" ht="13.5" customHeight="1">
      <c r="A378" s="25"/>
    </row>
    <row r="379" ht="13.5" customHeight="1">
      <c r="A379" s="25"/>
    </row>
    <row r="380" ht="13.5" customHeight="1">
      <c r="A380" s="25"/>
    </row>
    <row r="381" ht="13.5" customHeight="1">
      <c r="A381" s="25"/>
    </row>
    <row r="382" ht="13.5" customHeight="1">
      <c r="A382" s="25"/>
    </row>
    <row r="383" ht="13.5" customHeight="1">
      <c r="A383" s="25"/>
    </row>
    <row r="384" ht="13.5" customHeight="1">
      <c r="A384" s="25"/>
    </row>
    <row r="385" ht="13.5" customHeight="1">
      <c r="A385" s="25"/>
    </row>
    <row r="386" ht="13.5" customHeight="1">
      <c r="A386" s="25"/>
    </row>
    <row r="387" ht="13.5" customHeight="1">
      <c r="A387" s="25"/>
    </row>
    <row r="388" ht="13.5" customHeight="1">
      <c r="A388" s="25"/>
    </row>
    <row r="389" ht="13.5" customHeight="1">
      <c r="A389" s="25"/>
    </row>
    <row r="390" ht="13.5" customHeight="1">
      <c r="A390" s="25"/>
    </row>
    <row r="391" ht="13.5" customHeight="1">
      <c r="A391" s="25"/>
    </row>
    <row r="392" ht="13.5" customHeight="1">
      <c r="A392" s="25"/>
    </row>
    <row r="393" ht="13.5" customHeight="1">
      <c r="A393" s="25"/>
    </row>
    <row r="394" ht="13.5" customHeight="1">
      <c r="A394" s="25"/>
    </row>
    <row r="395" ht="13.5" customHeight="1">
      <c r="A395" s="25"/>
    </row>
    <row r="396" ht="13.5" customHeight="1">
      <c r="A396" s="25"/>
    </row>
    <row r="397" ht="13.5" customHeight="1">
      <c r="A397" s="25"/>
    </row>
    <row r="398" ht="13.5" customHeight="1">
      <c r="A398" s="25"/>
    </row>
    <row r="399" ht="13.5" customHeight="1">
      <c r="A399" s="25"/>
    </row>
    <row r="400" ht="13.5" customHeight="1">
      <c r="A400" s="25"/>
    </row>
    <row r="401" ht="13.5" customHeight="1">
      <c r="A401" s="25"/>
    </row>
    <row r="402" ht="13.5" customHeight="1">
      <c r="A402" s="25"/>
    </row>
    <row r="403" ht="13.5" customHeight="1">
      <c r="A403" s="25"/>
    </row>
    <row r="404" ht="13.5" customHeight="1">
      <c r="A404" s="25"/>
    </row>
    <row r="405" ht="13.5" customHeight="1">
      <c r="A405" s="25"/>
    </row>
    <row r="406" ht="13.5" customHeight="1">
      <c r="A406" s="25"/>
    </row>
    <row r="407" ht="13.5" customHeight="1">
      <c r="A407" s="25"/>
    </row>
    <row r="408" ht="13.5" customHeight="1">
      <c r="A408" s="25"/>
    </row>
    <row r="409" ht="13.5" customHeight="1">
      <c r="A409" s="25"/>
    </row>
    <row r="410" ht="13.5" customHeight="1">
      <c r="A410" s="25"/>
    </row>
    <row r="411" ht="13.5" customHeight="1">
      <c r="A411" s="25"/>
    </row>
    <row r="412" ht="13.5" customHeight="1">
      <c r="A412" s="25"/>
    </row>
    <row r="413" ht="13.5" customHeight="1">
      <c r="A413" s="25"/>
    </row>
    <row r="414" ht="13.5" customHeight="1">
      <c r="A414" s="25"/>
    </row>
    <row r="415" ht="13.5" customHeight="1">
      <c r="A415" s="25"/>
    </row>
    <row r="416" ht="13.5" customHeight="1">
      <c r="A416" s="25"/>
    </row>
    <row r="417" ht="13.5" customHeight="1">
      <c r="A417" s="25"/>
    </row>
    <row r="418" ht="13.5" customHeight="1">
      <c r="A418" s="25"/>
    </row>
    <row r="419" ht="13.5" customHeight="1">
      <c r="A419" s="25"/>
    </row>
    <row r="420" ht="13.5" customHeight="1">
      <c r="A420" s="25"/>
    </row>
    <row r="421" ht="13.5" customHeight="1">
      <c r="A421" s="25"/>
    </row>
    <row r="422" ht="13.5" customHeight="1">
      <c r="A422" s="25"/>
    </row>
    <row r="423" ht="13.5" customHeight="1">
      <c r="A423" s="25"/>
    </row>
    <row r="424" ht="13.5" customHeight="1">
      <c r="A424" s="25"/>
    </row>
    <row r="425" ht="13.5" customHeight="1">
      <c r="A425" s="25"/>
    </row>
    <row r="426" ht="13.5" customHeight="1">
      <c r="A426" s="25"/>
    </row>
    <row r="427" ht="13.5" customHeight="1">
      <c r="A427" s="25"/>
    </row>
    <row r="428" ht="13.5" customHeight="1">
      <c r="A428" s="25"/>
    </row>
    <row r="429" ht="13.5" customHeight="1">
      <c r="A429" s="25"/>
    </row>
    <row r="430" ht="13.5" customHeight="1">
      <c r="A430" s="25"/>
    </row>
    <row r="431" ht="13.5" customHeight="1">
      <c r="A431" s="25"/>
    </row>
    <row r="432" ht="13.5" customHeight="1">
      <c r="A432" s="25"/>
    </row>
    <row r="433" ht="13.5" customHeight="1">
      <c r="A433" s="25"/>
    </row>
    <row r="434" ht="13.5" customHeight="1">
      <c r="A434" s="25"/>
    </row>
    <row r="435" ht="13.5" customHeight="1">
      <c r="A435" s="25"/>
    </row>
    <row r="436" ht="13.5" customHeight="1">
      <c r="A436" s="25"/>
    </row>
    <row r="437" ht="13.5" customHeight="1">
      <c r="A437" s="25"/>
    </row>
    <row r="438" ht="13.5" customHeight="1">
      <c r="A438" s="25"/>
    </row>
    <row r="439" ht="13.5" customHeight="1">
      <c r="A439" s="25"/>
    </row>
    <row r="440" ht="13.5" customHeight="1">
      <c r="A440" s="25"/>
    </row>
    <row r="441" ht="13.5" customHeight="1">
      <c r="A441" s="25"/>
    </row>
    <row r="442" ht="13.5" customHeight="1">
      <c r="A442" s="25"/>
    </row>
    <row r="443" ht="13.5" customHeight="1">
      <c r="A443" s="25"/>
    </row>
    <row r="444" ht="13.5" customHeight="1">
      <c r="A444" s="25"/>
    </row>
    <row r="445" ht="13.5" customHeight="1">
      <c r="A445" s="25"/>
    </row>
    <row r="446" ht="13.5" customHeight="1">
      <c r="A446" s="25"/>
    </row>
    <row r="447" ht="13.5" customHeight="1">
      <c r="A447" s="25"/>
    </row>
    <row r="448" ht="13.5" customHeight="1">
      <c r="A448" s="25"/>
    </row>
    <row r="449" ht="13.5" customHeight="1">
      <c r="A449" s="25"/>
    </row>
    <row r="450" ht="13.5" customHeight="1">
      <c r="A450" s="25"/>
    </row>
    <row r="451" ht="13.5" customHeight="1">
      <c r="A451" s="25"/>
    </row>
    <row r="452" ht="13.5" customHeight="1">
      <c r="A452" s="25"/>
    </row>
    <row r="453" ht="13.5" customHeight="1">
      <c r="A453" s="25"/>
    </row>
    <row r="454" ht="13.5" customHeight="1">
      <c r="A454" s="25"/>
    </row>
    <row r="455" ht="13.5" customHeight="1">
      <c r="A455" s="25"/>
    </row>
    <row r="456" ht="13.5" customHeight="1">
      <c r="A456" s="25"/>
    </row>
    <row r="457" ht="13.5" customHeight="1">
      <c r="A457" s="25"/>
    </row>
    <row r="458" ht="13.5" customHeight="1">
      <c r="A458" s="25"/>
    </row>
    <row r="459" ht="13.5" customHeight="1">
      <c r="A459" s="25"/>
    </row>
    <row r="460" ht="13.5" customHeight="1">
      <c r="A460" s="25"/>
    </row>
    <row r="461" ht="13.5" customHeight="1">
      <c r="A461" s="25"/>
    </row>
    <row r="462" ht="13.5" customHeight="1">
      <c r="A462" s="25"/>
    </row>
    <row r="463" ht="13.5" customHeight="1">
      <c r="A463" s="25"/>
    </row>
    <row r="464" ht="13.5" customHeight="1">
      <c r="A464" s="25"/>
    </row>
    <row r="465" ht="13.5" customHeight="1">
      <c r="A465" s="25"/>
    </row>
    <row r="466" ht="13.5" customHeight="1">
      <c r="A466" s="25"/>
    </row>
    <row r="467" ht="13.5" customHeight="1">
      <c r="A467" s="25"/>
    </row>
    <row r="468" ht="13.5" customHeight="1">
      <c r="A468" s="25"/>
    </row>
    <row r="469" ht="13.5" customHeight="1">
      <c r="A469" s="25"/>
    </row>
    <row r="470" ht="13.5" customHeight="1">
      <c r="A470" s="25"/>
    </row>
    <row r="471" ht="13.5" customHeight="1">
      <c r="A471" s="25"/>
    </row>
    <row r="472" ht="13.5" customHeight="1">
      <c r="A472" s="25"/>
    </row>
    <row r="473" ht="13.5" customHeight="1">
      <c r="A473" s="25"/>
    </row>
    <row r="474" ht="13.5" customHeight="1">
      <c r="A474" s="25"/>
    </row>
    <row r="475" ht="13.5" customHeight="1">
      <c r="A475" s="25"/>
    </row>
    <row r="476" ht="13.5" customHeight="1">
      <c r="A476" s="25"/>
    </row>
    <row r="477" ht="13.5" customHeight="1">
      <c r="A477" s="25"/>
    </row>
    <row r="478" ht="13.5" customHeight="1">
      <c r="A478" s="25"/>
    </row>
    <row r="479" ht="13.5" customHeight="1">
      <c r="A479" s="25"/>
    </row>
    <row r="480" ht="13.5" customHeight="1">
      <c r="A480" s="25"/>
    </row>
    <row r="481" ht="13.5" customHeight="1">
      <c r="A481" s="25"/>
    </row>
    <row r="482" ht="13.5" customHeight="1">
      <c r="A482" s="25"/>
    </row>
    <row r="483" ht="13.5" customHeight="1">
      <c r="A483" s="25"/>
    </row>
    <row r="484" ht="13.5" customHeight="1">
      <c r="A484" s="25"/>
    </row>
    <row r="485" ht="13.5" customHeight="1">
      <c r="A485" s="25"/>
    </row>
    <row r="486" ht="13.5" customHeight="1">
      <c r="A486" s="25"/>
    </row>
    <row r="487" ht="13.5" customHeight="1">
      <c r="A487" s="25"/>
    </row>
    <row r="488" ht="13.5" customHeight="1">
      <c r="A488" s="25"/>
    </row>
    <row r="489" ht="13.5" customHeight="1">
      <c r="A489" s="25"/>
    </row>
    <row r="490" ht="13.5" customHeight="1">
      <c r="A490" s="25"/>
    </row>
    <row r="491" ht="13.5" customHeight="1">
      <c r="A491" s="25"/>
    </row>
    <row r="492" ht="13.5" customHeight="1">
      <c r="A492" s="25"/>
    </row>
    <row r="493" ht="13.5" customHeight="1">
      <c r="A493" s="25"/>
    </row>
    <row r="494" ht="13.5" customHeight="1">
      <c r="A494" s="25"/>
    </row>
    <row r="495" ht="13.5" customHeight="1">
      <c r="A495" s="25"/>
    </row>
    <row r="496" ht="13.5" customHeight="1">
      <c r="A496" s="25"/>
    </row>
    <row r="497" ht="13.5" customHeight="1">
      <c r="A497" s="25"/>
    </row>
    <row r="498" ht="13.5" customHeight="1">
      <c r="A498" s="25"/>
    </row>
    <row r="499" ht="13.5" customHeight="1">
      <c r="A499" s="25"/>
    </row>
    <row r="500" ht="13.5" customHeight="1">
      <c r="A500" s="25"/>
    </row>
    <row r="501" ht="13.5" customHeight="1">
      <c r="A501" s="25"/>
    </row>
    <row r="502" ht="13.5" customHeight="1">
      <c r="A502" s="25"/>
    </row>
    <row r="503" ht="13.5" customHeight="1">
      <c r="A503" s="25"/>
    </row>
    <row r="504" ht="13.5" customHeight="1">
      <c r="A504" s="25"/>
    </row>
    <row r="505" ht="13.5" customHeight="1">
      <c r="A505" s="25"/>
    </row>
    <row r="506" ht="13.5" customHeight="1">
      <c r="A506" s="25"/>
    </row>
    <row r="507" ht="13.5" customHeight="1">
      <c r="A507" s="25"/>
    </row>
    <row r="508" ht="13.5" customHeight="1">
      <c r="A508" s="25"/>
    </row>
    <row r="509" ht="13.5" customHeight="1">
      <c r="A509" s="25"/>
    </row>
    <row r="510" ht="13.5" customHeight="1">
      <c r="A510" s="25"/>
    </row>
    <row r="511" ht="13.5" customHeight="1">
      <c r="A511" s="25"/>
    </row>
    <row r="512" ht="13.5" customHeight="1">
      <c r="A512" s="25"/>
    </row>
    <row r="513" ht="13.5" customHeight="1">
      <c r="A513" s="25"/>
    </row>
    <row r="514" ht="13.5" customHeight="1">
      <c r="A514" s="25"/>
    </row>
    <row r="515" ht="13.5" customHeight="1">
      <c r="A515" s="25"/>
    </row>
    <row r="516" ht="13.5" customHeight="1">
      <c r="A516" s="25"/>
    </row>
    <row r="517" ht="13.5" customHeight="1">
      <c r="A517" s="25"/>
    </row>
    <row r="518" ht="13.5" customHeight="1">
      <c r="A518" s="25"/>
    </row>
    <row r="519" ht="13.5" customHeight="1">
      <c r="A519" s="25"/>
    </row>
    <row r="520" ht="13.5" customHeight="1">
      <c r="A520" s="25"/>
    </row>
    <row r="521" ht="13.5" customHeight="1">
      <c r="A521" s="25"/>
    </row>
    <row r="522" ht="13.5" customHeight="1">
      <c r="A522" s="25"/>
    </row>
    <row r="523" ht="13.5" customHeight="1">
      <c r="A523" s="25"/>
    </row>
    <row r="524" ht="13.5" customHeight="1">
      <c r="A524" s="25"/>
    </row>
    <row r="525" ht="13.5" customHeight="1">
      <c r="A525" s="25"/>
    </row>
    <row r="526" ht="13.5" customHeight="1">
      <c r="A526" s="25"/>
    </row>
    <row r="527" ht="13.5" customHeight="1">
      <c r="A527" s="25"/>
    </row>
    <row r="528" ht="13.5" customHeight="1">
      <c r="A528" s="25"/>
    </row>
    <row r="529" ht="13.5" customHeight="1">
      <c r="A529" s="25"/>
    </row>
    <row r="530" ht="13.5" customHeight="1">
      <c r="A530" s="25"/>
    </row>
    <row r="531" ht="13.5" customHeight="1">
      <c r="A531" s="25"/>
    </row>
    <row r="532" ht="13.5" customHeight="1">
      <c r="A532" s="25"/>
    </row>
    <row r="533" ht="13.5" customHeight="1">
      <c r="A533" s="25"/>
    </row>
    <row r="534" ht="13.5" customHeight="1">
      <c r="A534" s="25"/>
    </row>
    <row r="535" ht="13.5" customHeight="1">
      <c r="A535" s="25"/>
    </row>
    <row r="536" ht="13.5" customHeight="1">
      <c r="A536" s="25"/>
    </row>
    <row r="537" ht="13.5" customHeight="1">
      <c r="A537" s="25"/>
    </row>
    <row r="538" ht="13.5" customHeight="1">
      <c r="A538" s="25"/>
    </row>
    <row r="539" ht="13.5" customHeight="1">
      <c r="A539" s="25"/>
    </row>
    <row r="540" ht="13.5" customHeight="1">
      <c r="A540" s="25"/>
    </row>
    <row r="541" ht="13.5" customHeight="1">
      <c r="A541" s="25"/>
    </row>
    <row r="542" ht="13.5" customHeight="1">
      <c r="A542" s="25"/>
    </row>
    <row r="543" ht="13.5" customHeight="1">
      <c r="A543" s="25"/>
    </row>
    <row r="544" ht="13.5" customHeight="1">
      <c r="A544" s="25"/>
    </row>
    <row r="545" ht="13.5" customHeight="1">
      <c r="A545" s="25"/>
    </row>
    <row r="546" ht="13.5" customHeight="1">
      <c r="A546" s="25"/>
    </row>
    <row r="547" ht="13.5" customHeight="1">
      <c r="A547" s="25"/>
    </row>
    <row r="548" ht="13.5" customHeight="1">
      <c r="A548" s="25"/>
    </row>
    <row r="549" ht="13.5" customHeight="1">
      <c r="A549" s="25"/>
    </row>
    <row r="550" ht="13.5" customHeight="1">
      <c r="A550" s="25"/>
    </row>
    <row r="551" ht="13.5" customHeight="1">
      <c r="A551" s="25"/>
    </row>
    <row r="552" ht="13.5" customHeight="1">
      <c r="A552" s="25"/>
    </row>
    <row r="553" ht="13.5" customHeight="1">
      <c r="A553" s="25"/>
    </row>
    <row r="554" ht="13.5" customHeight="1">
      <c r="A554" s="25"/>
    </row>
    <row r="555" ht="13.5" customHeight="1">
      <c r="A555" s="25"/>
    </row>
    <row r="556" ht="13.5" customHeight="1">
      <c r="A556" s="25"/>
    </row>
    <row r="557" ht="13.5" customHeight="1">
      <c r="A557" s="25"/>
    </row>
    <row r="558" ht="13.5" customHeight="1">
      <c r="A558" s="25"/>
    </row>
    <row r="559" ht="13.5" customHeight="1">
      <c r="A559" s="25"/>
    </row>
    <row r="560" ht="13.5" customHeight="1">
      <c r="A560" s="25"/>
    </row>
    <row r="561" ht="13.5" customHeight="1">
      <c r="A561" s="25"/>
    </row>
    <row r="562" ht="13.5" customHeight="1">
      <c r="A562" s="25"/>
    </row>
    <row r="563" ht="13.5" customHeight="1">
      <c r="A563" s="25"/>
    </row>
    <row r="564" ht="13.5" customHeight="1">
      <c r="A564" s="25"/>
    </row>
    <row r="565" ht="13.5" customHeight="1">
      <c r="A565" s="25"/>
    </row>
    <row r="566" ht="13.5" customHeight="1">
      <c r="A566" s="25"/>
    </row>
    <row r="567" ht="13.5" customHeight="1">
      <c r="A567" s="25"/>
    </row>
    <row r="568" ht="13.5" customHeight="1">
      <c r="A568" s="25"/>
    </row>
    <row r="569" ht="13.5" customHeight="1">
      <c r="A569" s="25"/>
    </row>
    <row r="570" ht="13.5" customHeight="1">
      <c r="A570" s="25"/>
    </row>
    <row r="571" ht="13.5" customHeight="1">
      <c r="A571" s="25"/>
    </row>
    <row r="572" ht="13.5" customHeight="1">
      <c r="A572" s="25"/>
    </row>
    <row r="573" ht="13.5" customHeight="1">
      <c r="A573" s="25"/>
    </row>
    <row r="574" ht="13.5" customHeight="1">
      <c r="A574" s="25"/>
    </row>
    <row r="575" ht="13.5" customHeight="1">
      <c r="A575" s="25"/>
    </row>
    <row r="576" ht="13.5" customHeight="1">
      <c r="A576" s="25"/>
    </row>
    <row r="577" ht="13.5" customHeight="1">
      <c r="A577" s="25"/>
    </row>
    <row r="578" ht="13.5" customHeight="1">
      <c r="A578" s="25"/>
    </row>
    <row r="579" ht="13.5" customHeight="1">
      <c r="A579" s="25"/>
    </row>
    <row r="580" ht="13.5" customHeight="1">
      <c r="A580" s="25"/>
    </row>
    <row r="581" ht="13.5" customHeight="1">
      <c r="A581" s="25"/>
    </row>
    <row r="582" ht="13.5" customHeight="1">
      <c r="A582" s="25"/>
    </row>
    <row r="583" ht="13.5" customHeight="1">
      <c r="A583" s="25"/>
    </row>
    <row r="584" ht="13.5" customHeight="1">
      <c r="A584" s="25"/>
    </row>
    <row r="585" ht="13.5" customHeight="1">
      <c r="A585" s="25"/>
    </row>
    <row r="586" ht="13.5" customHeight="1">
      <c r="A586" s="25"/>
    </row>
    <row r="587" ht="13.5" customHeight="1">
      <c r="A587" s="25"/>
    </row>
    <row r="588" ht="13.5" customHeight="1">
      <c r="A588" s="25"/>
    </row>
    <row r="589" ht="13.5" customHeight="1">
      <c r="A589" s="25"/>
    </row>
    <row r="590" ht="13.5" customHeight="1">
      <c r="A590" s="25"/>
    </row>
    <row r="591" ht="13.5" customHeight="1">
      <c r="A591" s="25"/>
    </row>
    <row r="592" ht="13.5" customHeight="1">
      <c r="A592" s="25"/>
    </row>
    <row r="593" ht="13.5" customHeight="1">
      <c r="A593" s="25"/>
    </row>
    <row r="594" ht="13.5" customHeight="1">
      <c r="A594" s="25"/>
    </row>
    <row r="595" ht="13.5" customHeight="1">
      <c r="A595" s="25"/>
    </row>
    <row r="596" ht="13.5" customHeight="1">
      <c r="A596" s="25"/>
    </row>
    <row r="597" ht="13.5" customHeight="1">
      <c r="A597" s="25"/>
    </row>
    <row r="598" ht="13.5" customHeight="1">
      <c r="A598" s="25"/>
    </row>
    <row r="599" ht="13.5" customHeight="1">
      <c r="A599" s="25"/>
    </row>
    <row r="600" ht="13.5" customHeight="1">
      <c r="A600" s="25"/>
    </row>
    <row r="601" ht="13.5" customHeight="1">
      <c r="A601" s="25"/>
    </row>
    <row r="602" ht="13.5" customHeight="1">
      <c r="A602" s="25"/>
    </row>
    <row r="603" ht="13.5" customHeight="1">
      <c r="A603" s="25"/>
    </row>
    <row r="604" ht="13.5" customHeight="1">
      <c r="A604" s="25"/>
    </row>
    <row r="605" ht="13.5" customHeight="1">
      <c r="A605" s="25"/>
    </row>
    <row r="606" ht="13.5" customHeight="1">
      <c r="A606" s="25"/>
    </row>
    <row r="607" ht="13.5" customHeight="1">
      <c r="A607" s="25"/>
    </row>
    <row r="608" ht="13.5" customHeight="1">
      <c r="A608" s="25"/>
    </row>
    <row r="609" ht="13.5" customHeight="1">
      <c r="A609" s="25"/>
    </row>
    <row r="610" ht="13.5" customHeight="1">
      <c r="A610" s="25"/>
    </row>
    <row r="611" ht="13.5" customHeight="1">
      <c r="A611" s="25"/>
    </row>
    <row r="612" ht="13.5" customHeight="1">
      <c r="A612" s="25"/>
    </row>
    <row r="613" ht="13.5" customHeight="1">
      <c r="A613" s="25"/>
    </row>
    <row r="614" ht="13.5" customHeight="1">
      <c r="A614" s="25"/>
    </row>
    <row r="615" ht="13.5" customHeight="1">
      <c r="A615" s="25"/>
    </row>
    <row r="616" ht="13.5" customHeight="1">
      <c r="A616" s="25"/>
    </row>
    <row r="617" ht="13.5" customHeight="1">
      <c r="A617" s="25"/>
    </row>
    <row r="618" ht="13.5" customHeight="1">
      <c r="A618" s="25"/>
    </row>
    <row r="619" ht="13.5" customHeight="1">
      <c r="A619" s="25"/>
    </row>
    <row r="620" ht="13.5" customHeight="1">
      <c r="A620" s="25"/>
    </row>
    <row r="621" ht="13.5" customHeight="1">
      <c r="A621" s="25"/>
    </row>
    <row r="622" ht="13.5" customHeight="1">
      <c r="A622" s="25"/>
    </row>
    <row r="623" ht="13.5" customHeight="1">
      <c r="A623" s="25"/>
    </row>
    <row r="624" ht="13.5" customHeight="1">
      <c r="A624" s="25"/>
    </row>
    <row r="625" ht="13.5" customHeight="1">
      <c r="A625" s="25"/>
    </row>
    <row r="626" ht="13.5" customHeight="1">
      <c r="A626" s="25"/>
    </row>
    <row r="627" ht="13.5" customHeight="1">
      <c r="A627" s="25"/>
    </row>
    <row r="628" ht="13.5" customHeight="1">
      <c r="A628" s="25"/>
    </row>
    <row r="629" ht="13.5" customHeight="1">
      <c r="A629" s="25"/>
    </row>
    <row r="630" ht="13.5" customHeight="1">
      <c r="A630" s="25"/>
    </row>
    <row r="631" ht="13.5" customHeight="1">
      <c r="A631" s="25"/>
    </row>
    <row r="632" ht="13.5" customHeight="1">
      <c r="A632" s="25"/>
    </row>
    <row r="633" ht="13.5" customHeight="1">
      <c r="A633" s="25"/>
    </row>
    <row r="634" ht="13.5" customHeight="1">
      <c r="A634" s="25"/>
    </row>
    <row r="635" ht="13.5" customHeight="1">
      <c r="A635" s="25"/>
    </row>
    <row r="636" ht="13.5" customHeight="1">
      <c r="A636" s="25"/>
    </row>
    <row r="637" ht="13.5" customHeight="1">
      <c r="A637" s="25"/>
    </row>
    <row r="638" ht="13.5" customHeight="1">
      <c r="A638" s="25"/>
    </row>
    <row r="639" ht="13.5" customHeight="1">
      <c r="A639" s="25"/>
    </row>
    <row r="640" ht="13.5" customHeight="1">
      <c r="A640" s="25"/>
    </row>
    <row r="641" ht="13.5" customHeight="1">
      <c r="A641" s="25"/>
    </row>
    <row r="642" ht="13.5" customHeight="1">
      <c r="A642" s="25"/>
    </row>
    <row r="643" ht="13.5" customHeight="1">
      <c r="A643" s="25"/>
    </row>
    <row r="644" ht="13.5" customHeight="1">
      <c r="A644" s="25"/>
    </row>
    <row r="645" ht="13.5" customHeight="1">
      <c r="A645" s="25"/>
    </row>
    <row r="646" ht="13.5" customHeight="1">
      <c r="A646" s="25"/>
    </row>
    <row r="647" ht="13.5" customHeight="1">
      <c r="A647" s="25"/>
    </row>
    <row r="648" ht="13.5" customHeight="1">
      <c r="A648" s="25"/>
    </row>
    <row r="649" ht="13.5" customHeight="1">
      <c r="A649" s="25"/>
    </row>
    <row r="650" ht="13.5" customHeight="1">
      <c r="A650" s="25"/>
    </row>
    <row r="651" ht="13.5" customHeight="1">
      <c r="A651" s="25"/>
    </row>
    <row r="652" ht="13.5" customHeight="1">
      <c r="A652" s="25"/>
    </row>
    <row r="653" ht="13.5" customHeight="1">
      <c r="A653" s="25"/>
    </row>
    <row r="654" ht="13.5" customHeight="1">
      <c r="A654" s="25"/>
    </row>
    <row r="655" ht="13.5" customHeight="1">
      <c r="A655" s="25"/>
    </row>
    <row r="656" ht="13.5" customHeight="1">
      <c r="A656" s="25"/>
    </row>
    <row r="657" ht="13.5" customHeight="1">
      <c r="A657" s="25"/>
    </row>
    <row r="658" ht="13.5" customHeight="1">
      <c r="A658" s="25"/>
    </row>
    <row r="659" ht="13.5" customHeight="1">
      <c r="A659" s="25"/>
    </row>
    <row r="660" ht="13.5" customHeight="1">
      <c r="A660" s="25"/>
    </row>
    <row r="661" ht="13.5" customHeight="1">
      <c r="A661" s="25"/>
    </row>
    <row r="662" ht="13.5" customHeight="1">
      <c r="A662" s="25"/>
    </row>
    <row r="663" ht="13.5" customHeight="1">
      <c r="A663" s="25"/>
    </row>
    <row r="664" ht="13.5" customHeight="1">
      <c r="A664" s="25"/>
    </row>
    <row r="665" ht="13.5" customHeight="1">
      <c r="A665" s="25"/>
    </row>
    <row r="666" ht="13.5" customHeight="1">
      <c r="A666" s="25"/>
    </row>
    <row r="667" ht="13.5" customHeight="1">
      <c r="A667" s="25"/>
    </row>
    <row r="668" ht="13.5" customHeight="1">
      <c r="A668" s="25"/>
    </row>
    <row r="669" ht="13.5" customHeight="1">
      <c r="A669" s="25"/>
    </row>
    <row r="670" ht="13.5" customHeight="1">
      <c r="A670" s="25"/>
    </row>
    <row r="671" ht="13.5" customHeight="1">
      <c r="A671" s="25"/>
    </row>
    <row r="672" ht="13.5" customHeight="1">
      <c r="A672" s="25"/>
    </row>
    <row r="673" ht="13.5" customHeight="1">
      <c r="A673" s="25"/>
    </row>
    <row r="674" ht="13.5" customHeight="1">
      <c r="A674" s="25"/>
    </row>
    <row r="675" ht="13.5" customHeight="1">
      <c r="A675" s="25"/>
    </row>
    <row r="676" ht="13.5" customHeight="1">
      <c r="A676" s="25"/>
    </row>
    <row r="677" ht="13.5" customHeight="1">
      <c r="A677" s="25"/>
    </row>
    <row r="678" ht="13.5" customHeight="1">
      <c r="A678" s="25"/>
    </row>
    <row r="679" ht="13.5" customHeight="1">
      <c r="A679" s="25"/>
    </row>
    <row r="680" ht="13.5" customHeight="1">
      <c r="A680" s="25"/>
    </row>
    <row r="681" ht="13.5" customHeight="1">
      <c r="A681" s="25"/>
    </row>
    <row r="682" ht="13.5" customHeight="1">
      <c r="A682" s="25"/>
    </row>
    <row r="683" ht="13.5" customHeight="1">
      <c r="A683" s="25"/>
    </row>
    <row r="684" ht="13.5" customHeight="1">
      <c r="A684" s="25"/>
    </row>
    <row r="685" ht="13.5" customHeight="1">
      <c r="A685" s="25"/>
    </row>
    <row r="686" ht="13.5" customHeight="1">
      <c r="A686" s="25"/>
    </row>
    <row r="687" ht="13.5" customHeight="1">
      <c r="A687" s="25"/>
    </row>
    <row r="688" ht="13.5" customHeight="1">
      <c r="A688" s="25"/>
    </row>
    <row r="689" ht="13.5" customHeight="1">
      <c r="A689" s="25"/>
    </row>
    <row r="690" ht="13.5" customHeight="1">
      <c r="A690" s="25"/>
    </row>
    <row r="691" ht="13.5" customHeight="1">
      <c r="A691" s="25"/>
    </row>
    <row r="692" ht="13.5" customHeight="1">
      <c r="A692" s="25"/>
    </row>
    <row r="693" ht="13.5" customHeight="1">
      <c r="A693" s="25"/>
    </row>
    <row r="694" ht="13.5" customHeight="1">
      <c r="A694" s="25"/>
    </row>
    <row r="695" ht="13.5" customHeight="1">
      <c r="A695" s="25"/>
    </row>
    <row r="696" ht="13.5" customHeight="1">
      <c r="A696" s="25"/>
    </row>
    <row r="697" ht="13.5" customHeight="1">
      <c r="A697" s="25"/>
    </row>
    <row r="698" ht="13.5" customHeight="1">
      <c r="A698" s="25"/>
    </row>
    <row r="699" ht="13.5" customHeight="1">
      <c r="A699" s="25"/>
    </row>
    <row r="700" ht="13.5" customHeight="1">
      <c r="A700" s="25"/>
    </row>
    <row r="701" ht="13.5" customHeight="1">
      <c r="A701" s="25"/>
    </row>
    <row r="702" ht="13.5" customHeight="1">
      <c r="A702" s="25"/>
    </row>
    <row r="703" ht="13.5" customHeight="1">
      <c r="A703" s="25"/>
    </row>
    <row r="704" ht="13.5" customHeight="1">
      <c r="A704" s="25"/>
    </row>
    <row r="705" ht="13.5" customHeight="1">
      <c r="A705" s="25"/>
    </row>
    <row r="706" ht="13.5" customHeight="1">
      <c r="A706" s="25"/>
    </row>
    <row r="707" ht="13.5" customHeight="1">
      <c r="A707" s="25"/>
    </row>
    <row r="708" ht="13.5" customHeight="1">
      <c r="A708" s="25"/>
    </row>
    <row r="709" ht="13.5" customHeight="1">
      <c r="A709" s="25"/>
    </row>
    <row r="710" ht="13.5" customHeight="1">
      <c r="A710" s="25"/>
    </row>
    <row r="711" ht="13.5" customHeight="1">
      <c r="A711" s="25"/>
    </row>
    <row r="712" ht="13.5" customHeight="1">
      <c r="A712" s="25"/>
    </row>
    <row r="713" ht="13.5" customHeight="1">
      <c r="A713" s="25"/>
    </row>
    <row r="714" ht="13.5" customHeight="1">
      <c r="A714" s="25"/>
    </row>
    <row r="715" ht="13.5" customHeight="1">
      <c r="A715" s="25"/>
    </row>
    <row r="716" ht="13.5" customHeight="1">
      <c r="A716" s="25"/>
    </row>
    <row r="717" ht="13.5" customHeight="1">
      <c r="A717" s="25"/>
    </row>
    <row r="718" ht="13.5" customHeight="1">
      <c r="A718" s="25"/>
    </row>
    <row r="719" ht="13.5" customHeight="1">
      <c r="A719" s="25"/>
    </row>
    <row r="720" ht="13.5" customHeight="1">
      <c r="A720" s="25"/>
    </row>
    <row r="721" ht="13.5" customHeight="1">
      <c r="A721" s="25"/>
    </row>
    <row r="722" ht="13.5" customHeight="1">
      <c r="A722" s="25"/>
    </row>
    <row r="723" ht="13.5" customHeight="1">
      <c r="A723" s="25"/>
    </row>
    <row r="724" ht="13.5" customHeight="1">
      <c r="A724" s="25"/>
    </row>
    <row r="725" ht="13.5" customHeight="1">
      <c r="A725" s="25"/>
    </row>
    <row r="726" ht="13.5" customHeight="1">
      <c r="A726" s="25"/>
    </row>
    <row r="727" ht="13.5" customHeight="1">
      <c r="A727" s="25"/>
    </row>
    <row r="728" ht="13.5" customHeight="1">
      <c r="A728" s="25"/>
    </row>
    <row r="729" ht="13.5" customHeight="1">
      <c r="A729" s="25"/>
    </row>
    <row r="730" ht="13.5" customHeight="1">
      <c r="A730" s="25"/>
    </row>
    <row r="731" ht="13.5" customHeight="1">
      <c r="A731" s="25"/>
    </row>
    <row r="732" ht="13.5" customHeight="1">
      <c r="A732" s="25"/>
    </row>
    <row r="733" ht="13.5" customHeight="1">
      <c r="A733" s="25"/>
    </row>
    <row r="734" ht="13.5" customHeight="1">
      <c r="A734" s="25"/>
    </row>
    <row r="735" ht="13.5" customHeight="1">
      <c r="A735" s="25"/>
    </row>
    <row r="736" ht="13.5" customHeight="1">
      <c r="A736" s="25"/>
    </row>
    <row r="737" ht="13.5" customHeight="1">
      <c r="A737" s="25"/>
    </row>
    <row r="738" ht="13.5" customHeight="1">
      <c r="A738" s="25"/>
    </row>
    <row r="739" ht="13.5" customHeight="1">
      <c r="A739" s="25"/>
    </row>
    <row r="740" ht="13.5" customHeight="1">
      <c r="A740" s="25"/>
    </row>
    <row r="741" ht="13.5" customHeight="1">
      <c r="A741" s="25"/>
    </row>
    <row r="742" ht="13.5" customHeight="1">
      <c r="A742" s="25"/>
    </row>
    <row r="743" ht="13.5" customHeight="1">
      <c r="A743" s="25"/>
    </row>
    <row r="744" ht="13.5" customHeight="1">
      <c r="A744" s="25"/>
    </row>
    <row r="745" ht="13.5" customHeight="1">
      <c r="A745" s="25"/>
    </row>
    <row r="746" ht="13.5" customHeight="1">
      <c r="A746" s="25"/>
    </row>
    <row r="747" ht="13.5" customHeight="1">
      <c r="A747" s="25"/>
    </row>
    <row r="748" ht="13.5" customHeight="1">
      <c r="A748" s="25"/>
    </row>
    <row r="749" ht="13.5" customHeight="1">
      <c r="A749" s="25"/>
    </row>
    <row r="750" ht="13.5" customHeight="1">
      <c r="A750" s="25"/>
    </row>
    <row r="751" ht="13.5" customHeight="1">
      <c r="A751" s="25"/>
    </row>
    <row r="752" ht="13.5" customHeight="1">
      <c r="A752" s="25"/>
    </row>
    <row r="753" ht="13.5" customHeight="1">
      <c r="A753" s="25"/>
    </row>
    <row r="754" ht="13.5" customHeight="1">
      <c r="A754" s="25"/>
    </row>
    <row r="755" ht="13.5" customHeight="1">
      <c r="A755" s="25"/>
    </row>
    <row r="756" ht="13.5" customHeight="1">
      <c r="A756" s="25"/>
    </row>
    <row r="757" ht="13.5" customHeight="1">
      <c r="A757" s="25"/>
    </row>
    <row r="758" ht="13.5" customHeight="1">
      <c r="A758" s="25"/>
    </row>
    <row r="759" ht="13.5" customHeight="1">
      <c r="A759" s="25"/>
    </row>
    <row r="760" ht="13.5" customHeight="1">
      <c r="A760" s="25"/>
    </row>
    <row r="761" ht="13.5" customHeight="1">
      <c r="A761" s="25"/>
    </row>
    <row r="762" ht="13.5" customHeight="1">
      <c r="A762" s="25"/>
    </row>
    <row r="763" ht="13.5" customHeight="1">
      <c r="A763" s="25"/>
    </row>
    <row r="764" ht="13.5" customHeight="1">
      <c r="A764" s="25"/>
    </row>
    <row r="765" ht="13.5" customHeight="1">
      <c r="A765" s="25"/>
    </row>
    <row r="766" ht="13.5" customHeight="1">
      <c r="A766" s="25"/>
    </row>
    <row r="767" ht="13.5" customHeight="1">
      <c r="A767" s="25"/>
    </row>
    <row r="768" ht="13.5" customHeight="1">
      <c r="A768" s="25"/>
    </row>
    <row r="769" ht="13.5" customHeight="1">
      <c r="A769" s="25"/>
    </row>
    <row r="770" ht="13.5" customHeight="1">
      <c r="A770" s="25"/>
    </row>
    <row r="771" ht="13.5" customHeight="1">
      <c r="A771" s="25"/>
    </row>
    <row r="772" ht="13.5" customHeight="1">
      <c r="A772" s="25"/>
    </row>
    <row r="773" ht="13.5" customHeight="1">
      <c r="A773" s="25"/>
    </row>
    <row r="774" ht="13.5" customHeight="1">
      <c r="A774" s="25"/>
    </row>
    <row r="775" ht="13.5" customHeight="1">
      <c r="A775" s="25"/>
    </row>
    <row r="776" ht="13.5" customHeight="1">
      <c r="A776" s="25"/>
    </row>
    <row r="777" ht="13.5" customHeight="1">
      <c r="A777" s="25"/>
    </row>
    <row r="778" ht="13.5" customHeight="1">
      <c r="A778" s="25"/>
    </row>
    <row r="779" ht="13.5" customHeight="1">
      <c r="A779" s="25"/>
    </row>
    <row r="780" ht="13.5" customHeight="1">
      <c r="A780" s="25"/>
    </row>
    <row r="781" ht="13.5" customHeight="1">
      <c r="A781" s="25"/>
    </row>
    <row r="782" ht="13.5" customHeight="1">
      <c r="A782" s="25"/>
    </row>
    <row r="783" ht="13.5" customHeight="1">
      <c r="A783" s="25"/>
    </row>
    <row r="784" ht="13.5" customHeight="1">
      <c r="A784" s="25"/>
    </row>
    <row r="785" ht="13.5" customHeight="1">
      <c r="A785" s="25"/>
    </row>
    <row r="786" ht="13.5" customHeight="1">
      <c r="A786" s="25"/>
    </row>
    <row r="787" ht="13.5" customHeight="1">
      <c r="A787" s="25"/>
    </row>
    <row r="788" ht="13.5" customHeight="1">
      <c r="A788" s="25"/>
    </row>
    <row r="789" ht="13.5" customHeight="1">
      <c r="A789" s="25"/>
    </row>
    <row r="790" ht="13.5" customHeight="1">
      <c r="A790" s="25"/>
    </row>
    <row r="791" ht="13.5" customHeight="1">
      <c r="A791" s="25"/>
    </row>
    <row r="792" ht="13.5" customHeight="1">
      <c r="A792" s="25"/>
    </row>
    <row r="793" ht="13.5" customHeight="1">
      <c r="A793" s="25"/>
    </row>
    <row r="794" ht="13.5" customHeight="1">
      <c r="A794" s="25"/>
    </row>
    <row r="795" ht="13.5" customHeight="1">
      <c r="A795" s="25"/>
    </row>
    <row r="796" ht="13.5" customHeight="1">
      <c r="A796" s="25"/>
    </row>
    <row r="797" ht="13.5" customHeight="1">
      <c r="A797" s="25"/>
    </row>
    <row r="798" ht="13.5" customHeight="1">
      <c r="A798" s="25"/>
    </row>
    <row r="799" ht="13.5" customHeight="1">
      <c r="A799" s="25"/>
    </row>
    <row r="800" ht="13.5" customHeight="1">
      <c r="A800" s="25"/>
    </row>
    <row r="801" ht="13.5" customHeight="1">
      <c r="A801" s="25"/>
    </row>
    <row r="802" ht="13.5" customHeight="1">
      <c r="A802" s="25"/>
    </row>
    <row r="803" ht="13.5" customHeight="1">
      <c r="A803" s="25"/>
    </row>
    <row r="804" ht="13.5" customHeight="1">
      <c r="A804" s="25"/>
    </row>
    <row r="805" ht="13.5" customHeight="1">
      <c r="A805" s="25"/>
    </row>
    <row r="806" ht="13.5" customHeight="1">
      <c r="A806" s="25"/>
    </row>
    <row r="807" ht="13.5" customHeight="1">
      <c r="A807" s="25"/>
    </row>
    <row r="808" ht="13.5" customHeight="1">
      <c r="A808" s="25"/>
    </row>
    <row r="809" ht="13.5" customHeight="1">
      <c r="A809" s="25"/>
    </row>
    <row r="810" ht="13.5" customHeight="1">
      <c r="A810" s="25"/>
    </row>
    <row r="811" ht="13.5" customHeight="1">
      <c r="A811" s="25"/>
    </row>
    <row r="812" ht="13.5" customHeight="1">
      <c r="A812" s="25"/>
    </row>
    <row r="813" ht="13.5" customHeight="1">
      <c r="A813" s="25"/>
    </row>
    <row r="814" ht="13.5" customHeight="1">
      <c r="A814" s="25"/>
    </row>
    <row r="815" ht="13.5" customHeight="1">
      <c r="A815" s="25"/>
    </row>
    <row r="816" ht="13.5" customHeight="1">
      <c r="A816" s="25"/>
    </row>
    <row r="817" ht="13.5" customHeight="1">
      <c r="A817" s="25"/>
    </row>
    <row r="818" ht="13.5" customHeight="1">
      <c r="A818" s="25"/>
    </row>
    <row r="819" ht="13.5" customHeight="1">
      <c r="A819" s="25"/>
    </row>
    <row r="820" ht="13.5" customHeight="1">
      <c r="A820" s="25"/>
    </row>
    <row r="821" ht="13.5" customHeight="1">
      <c r="A821" s="25"/>
    </row>
    <row r="822" ht="13.5" customHeight="1">
      <c r="A822" s="25"/>
    </row>
    <row r="823" ht="13.5" customHeight="1">
      <c r="A823" s="25"/>
    </row>
    <row r="824" ht="13.5" customHeight="1">
      <c r="A824" s="25"/>
    </row>
    <row r="825" ht="13.5" customHeight="1">
      <c r="A825" s="25"/>
    </row>
    <row r="826" ht="13.5" customHeight="1">
      <c r="A826" s="25"/>
    </row>
    <row r="827" ht="13.5" customHeight="1">
      <c r="A827" s="25"/>
    </row>
    <row r="828" ht="13.5" customHeight="1">
      <c r="A828" s="25"/>
    </row>
    <row r="829" ht="13.5" customHeight="1">
      <c r="A829" s="25"/>
    </row>
    <row r="830" ht="13.5" customHeight="1">
      <c r="A830" s="25"/>
    </row>
    <row r="831" ht="13.5" customHeight="1">
      <c r="A831" s="25"/>
    </row>
    <row r="832" ht="13.5" customHeight="1">
      <c r="A832" s="25"/>
    </row>
    <row r="833" ht="13.5" customHeight="1">
      <c r="A833" s="25"/>
    </row>
    <row r="834" ht="13.5" customHeight="1">
      <c r="A834" s="25"/>
    </row>
    <row r="835" ht="13.5" customHeight="1">
      <c r="A835" s="25"/>
    </row>
    <row r="836" ht="13.5" customHeight="1">
      <c r="A836" s="25"/>
    </row>
    <row r="837" ht="13.5" customHeight="1">
      <c r="A837" s="25"/>
    </row>
    <row r="838" ht="13.5" customHeight="1">
      <c r="A838" s="25"/>
    </row>
    <row r="839" ht="13.5" customHeight="1">
      <c r="A839" s="25"/>
    </row>
    <row r="840" ht="13.5" customHeight="1">
      <c r="A840" s="25"/>
    </row>
    <row r="841" ht="13.5" customHeight="1">
      <c r="A841" s="25"/>
    </row>
    <row r="842" ht="13.5" customHeight="1">
      <c r="A842" s="25"/>
    </row>
    <row r="843" ht="13.5" customHeight="1">
      <c r="A843" s="25"/>
    </row>
    <row r="844" ht="13.5" customHeight="1">
      <c r="A844" s="25"/>
    </row>
    <row r="845" ht="13.5" customHeight="1">
      <c r="A845" s="25"/>
    </row>
    <row r="846" ht="13.5" customHeight="1">
      <c r="A846" s="25"/>
    </row>
    <row r="847" ht="13.5" customHeight="1">
      <c r="A847" s="25"/>
    </row>
    <row r="848" ht="13.5" customHeight="1">
      <c r="A848" s="25"/>
    </row>
    <row r="849" ht="13.5" customHeight="1">
      <c r="A849" s="25"/>
    </row>
    <row r="850" ht="13.5" customHeight="1">
      <c r="A850" s="25"/>
    </row>
    <row r="851" ht="13.5" customHeight="1">
      <c r="A851" s="25"/>
    </row>
    <row r="852" ht="13.5" customHeight="1">
      <c r="A852" s="25"/>
    </row>
    <row r="853" ht="13.5" customHeight="1">
      <c r="A853" s="25"/>
    </row>
    <row r="854" ht="13.5" customHeight="1">
      <c r="A854" s="25"/>
    </row>
    <row r="855" ht="13.5" customHeight="1">
      <c r="A855" s="25"/>
    </row>
    <row r="856" ht="13.5" customHeight="1">
      <c r="A856" s="25"/>
    </row>
    <row r="857" ht="13.5" customHeight="1">
      <c r="A857" s="25"/>
    </row>
    <row r="858" ht="13.5" customHeight="1">
      <c r="A858" s="25"/>
    </row>
    <row r="859" ht="13.5" customHeight="1">
      <c r="A859" s="25"/>
    </row>
    <row r="860" ht="13.5" customHeight="1">
      <c r="A860" s="25"/>
    </row>
    <row r="861" ht="13.5" customHeight="1">
      <c r="A861" s="25"/>
    </row>
    <row r="862" ht="13.5" customHeight="1">
      <c r="A862" s="25"/>
    </row>
    <row r="863" ht="13.5" customHeight="1">
      <c r="A863" s="25"/>
    </row>
    <row r="864" ht="13.5" customHeight="1">
      <c r="A864" s="25"/>
    </row>
    <row r="865" ht="13.5" customHeight="1">
      <c r="A865" s="25"/>
    </row>
    <row r="866" ht="13.5" customHeight="1">
      <c r="A866" s="25"/>
    </row>
    <row r="867" ht="13.5" customHeight="1">
      <c r="A867" s="25"/>
    </row>
    <row r="868" ht="13.5" customHeight="1">
      <c r="A868" s="25"/>
    </row>
    <row r="869" ht="13.5" customHeight="1">
      <c r="A869" s="25"/>
    </row>
    <row r="870" ht="13.5" customHeight="1">
      <c r="A870" s="25"/>
    </row>
    <row r="871" ht="13.5" customHeight="1">
      <c r="A871" s="25"/>
    </row>
    <row r="872" ht="13.5" customHeight="1">
      <c r="A872" s="25"/>
    </row>
    <row r="873" ht="13.5" customHeight="1">
      <c r="A873" s="25"/>
    </row>
    <row r="874" ht="13.5" customHeight="1">
      <c r="A874" s="25"/>
    </row>
    <row r="875" ht="13.5" customHeight="1">
      <c r="A875" s="25"/>
    </row>
    <row r="876" ht="13.5" customHeight="1">
      <c r="A876" s="25"/>
    </row>
    <row r="877" ht="13.5" customHeight="1">
      <c r="A877" s="25"/>
    </row>
    <row r="878" ht="13.5" customHeight="1">
      <c r="A878" s="25"/>
    </row>
    <row r="879" ht="13.5" customHeight="1">
      <c r="A879" s="25"/>
    </row>
    <row r="880" ht="13.5" customHeight="1">
      <c r="A880" s="25"/>
    </row>
    <row r="881" ht="13.5" customHeight="1">
      <c r="A881" s="25"/>
    </row>
    <row r="882" ht="13.5" customHeight="1">
      <c r="A882" s="25"/>
    </row>
    <row r="883" ht="13.5" customHeight="1">
      <c r="A883" s="25"/>
    </row>
    <row r="884" ht="13.5" customHeight="1">
      <c r="A884" s="25"/>
    </row>
    <row r="885" ht="13.5" customHeight="1">
      <c r="A885" s="25"/>
    </row>
    <row r="886" ht="13.5" customHeight="1">
      <c r="A886" s="25"/>
    </row>
    <row r="887" ht="13.5" customHeight="1">
      <c r="A887" s="25"/>
    </row>
    <row r="888" ht="13.5" customHeight="1">
      <c r="A888" s="25"/>
    </row>
    <row r="889" ht="13.5" customHeight="1">
      <c r="A889" s="25"/>
    </row>
    <row r="890" ht="13.5" customHeight="1">
      <c r="A890" s="25"/>
    </row>
    <row r="891" ht="13.5" customHeight="1">
      <c r="A891" s="25"/>
    </row>
    <row r="892" ht="13.5" customHeight="1">
      <c r="A892" s="25"/>
    </row>
    <row r="893" ht="13.5" customHeight="1">
      <c r="A893" s="25"/>
    </row>
    <row r="894" ht="13.5" customHeight="1">
      <c r="A894" s="25"/>
    </row>
    <row r="895" ht="13.5" customHeight="1">
      <c r="A895" s="25"/>
    </row>
    <row r="896" ht="13.5" customHeight="1">
      <c r="A896" s="25"/>
    </row>
    <row r="897" ht="13.5" customHeight="1">
      <c r="A897" s="25"/>
    </row>
    <row r="898" ht="13.5" customHeight="1">
      <c r="A898" s="25"/>
    </row>
    <row r="899" ht="13.5" customHeight="1">
      <c r="A899" s="25"/>
    </row>
    <row r="900" ht="13.5" customHeight="1">
      <c r="A900" s="25"/>
    </row>
    <row r="901" ht="13.5" customHeight="1">
      <c r="A901" s="25"/>
    </row>
    <row r="902" ht="13.5" customHeight="1">
      <c r="A902" s="25"/>
    </row>
    <row r="903" ht="13.5" customHeight="1">
      <c r="A903" s="25"/>
    </row>
    <row r="904" ht="13.5" customHeight="1">
      <c r="A904" s="25"/>
    </row>
    <row r="905" ht="13.5" customHeight="1">
      <c r="A905" s="25"/>
    </row>
    <row r="906" ht="13.5" customHeight="1">
      <c r="A906" s="25"/>
    </row>
    <row r="907" ht="13.5" customHeight="1">
      <c r="A907" s="25"/>
    </row>
    <row r="908" ht="13.5" customHeight="1">
      <c r="A908" s="25"/>
    </row>
    <row r="909" ht="13.5" customHeight="1">
      <c r="A909" s="25"/>
    </row>
    <row r="910" ht="13.5" customHeight="1">
      <c r="A910" s="25"/>
    </row>
    <row r="911" ht="13.5" customHeight="1">
      <c r="A911" s="25"/>
    </row>
    <row r="912" ht="13.5" customHeight="1">
      <c r="A912" s="25"/>
    </row>
    <row r="913" ht="13.5" customHeight="1">
      <c r="A913" s="25"/>
    </row>
    <row r="914" ht="13.5" customHeight="1">
      <c r="A914" s="25"/>
    </row>
    <row r="915" ht="13.5" customHeight="1">
      <c r="A915" s="25"/>
    </row>
    <row r="916" ht="13.5" customHeight="1">
      <c r="A916" s="25"/>
    </row>
    <row r="917" ht="13.5" customHeight="1">
      <c r="A917" s="25"/>
    </row>
    <row r="918" ht="13.5" customHeight="1">
      <c r="A918" s="25"/>
    </row>
    <row r="919" ht="13.5" customHeight="1">
      <c r="A919" s="25"/>
    </row>
    <row r="920" ht="13.5" customHeight="1">
      <c r="A920" s="25"/>
    </row>
    <row r="921" ht="13.5" customHeight="1">
      <c r="A921" s="25"/>
    </row>
    <row r="922" ht="13.5" customHeight="1">
      <c r="A922" s="25"/>
    </row>
    <row r="923" ht="13.5" customHeight="1">
      <c r="A923" s="25"/>
    </row>
    <row r="924" ht="13.5" customHeight="1">
      <c r="A924" s="25"/>
    </row>
    <row r="925" ht="13.5" customHeight="1">
      <c r="A925" s="25"/>
    </row>
    <row r="926" ht="13.5" customHeight="1">
      <c r="A926" s="25"/>
    </row>
    <row r="927" ht="13.5" customHeight="1">
      <c r="A927" s="25"/>
    </row>
    <row r="928" ht="13.5" customHeight="1">
      <c r="A928" s="25"/>
    </row>
    <row r="929" ht="13.5" customHeight="1">
      <c r="A929" s="25"/>
    </row>
    <row r="930" ht="13.5" customHeight="1">
      <c r="A930" s="25"/>
    </row>
    <row r="931" ht="13.5" customHeight="1">
      <c r="A931" s="25"/>
    </row>
    <row r="932" ht="13.5" customHeight="1">
      <c r="A932" s="25"/>
    </row>
    <row r="933" ht="13.5" customHeight="1">
      <c r="A933" s="25"/>
    </row>
    <row r="934" ht="13.5" customHeight="1">
      <c r="A934" s="25"/>
    </row>
    <row r="935" ht="13.5" customHeight="1">
      <c r="A935" s="25"/>
    </row>
    <row r="936" ht="13.5" customHeight="1">
      <c r="A936" s="25"/>
    </row>
    <row r="937" ht="13.5" customHeight="1">
      <c r="A937" s="25"/>
    </row>
    <row r="938" ht="13.5" customHeight="1">
      <c r="A938" s="25"/>
    </row>
    <row r="939" ht="13.5" customHeight="1">
      <c r="A939" s="25"/>
    </row>
    <row r="940" ht="13.5" customHeight="1">
      <c r="A940" s="25"/>
    </row>
    <row r="941" ht="13.5" customHeight="1">
      <c r="A941" s="25"/>
    </row>
    <row r="942" ht="13.5" customHeight="1">
      <c r="A942" s="25"/>
    </row>
    <row r="943" ht="13.5" customHeight="1">
      <c r="A943" s="25"/>
    </row>
    <row r="944" ht="13.5" customHeight="1">
      <c r="A944" s="25"/>
    </row>
    <row r="945" ht="13.5" customHeight="1">
      <c r="A945" s="25"/>
    </row>
    <row r="946" ht="13.5" customHeight="1">
      <c r="A946" s="25"/>
    </row>
    <row r="947" ht="13.5" customHeight="1">
      <c r="A947" s="25"/>
    </row>
    <row r="948" ht="13.5" customHeight="1">
      <c r="A948" s="25"/>
    </row>
    <row r="949" ht="13.5" customHeight="1">
      <c r="A949" s="25"/>
    </row>
    <row r="950" ht="13.5" customHeight="1">
      <c r="A950" s="25"/>
    </row>
    <row r="951" ht="13.5" customHeight="1">
      <c r="A951" s="25"/>
    </row>
    <row r="952" ht="13.5" customHeight="1">
      <c r="A952" s="25"/>
    </row>
    <row r="953" ht="13.5" customHeight="1">
      <c r="A953" s="25"/>
    </row>
    <row r="954" ht="13.5" customHeight="1">
      <c r="A954" s="25"/>
    </row>
    <row r="955" ht="13.5" customHeight="1">
      <c r="A955" s="25"/>
    </row>
    <row r="956" ht="13.5" customHeight="1">
      <c r="A956" s="25"/>
    </row>
    <row r="957" ht="13.5" customHeight="1">
      <c r="A957" s="25"/>
    </row>
    <row r="958" ht="13.5" customHeight="1">
      <c r="A958" s="25"/>
    </row>
    <row r="959" ht="13.5" customHeight="1">
      <c r="A959" s="25"/>
    </row>
    <row r="960" ht="13.5" customHeight="1">
      <c r="A960" s="25"/>
    </row>
    <row r="961" ht="13.5" customHeight="1">
      <c r="A961" s="25"/>
    </row>
    <row r="962" ht="13.5" customHeight="1">
      <c r="A962" s="25"/>
    </row>
    <row r="963" ht="13.5" customHeight="1">
      <c r="A963" s="25"/>
    </row>
    <row r="964" ht="13.5" customHeight="1">
      <c r="A964" s="25"/>
    </row>
    <row r="965" ht="13.5" customHeight="1">
      <c r="A965" s="25"/>
    </row>
    <row r="966" ht="13.5" customHeight="1">
      <c r="A966" s="25"/>
    </row>
    <row r="967" ht="13.5" customHeight="1">
      <c r="A967" s="25"/>
    </row>
    <row r="968" ht="13.5" customHeight="1">
      <c r="A968" s="25"/>
    </row>
    <row r="969" ht="13.5" customHeight="1">
      <c r="A969" s="25"/>
    </row>
    <row r="970" ht="13.5" customHeight="1">
      <c r="A970" s="25"/>
    </row>
    <row r="971" ht="13.5" customHeight="1">
      <c r="A971" s="25"/>
    </row>
    <row r="972" ht="13.5" customHeight="1">
      <c r="A972" s="25"/>
    </row>
    <row r="973" ht="13.5" customHeight="1">
      <c r="A973" s="25"/>
    </row>
    <row r="974" ht="13.5" customHeight="1">
      <c r="A974" s="25"/>
    </row>
    <row r="975" ht="13.5" customHeight="1">
      <c r="A975" s="25"/>
    </row>
    <row r="976" ht="13.5" customHeight="1">
      <c r="A976" s="25"/>
    </row>
    <row r="977" ht="13.5" customHeight="1">
      <c r="A977" s="25"/>
    </row>
    <row r="978" ht="13.5" customHeight="1">
      <c r="A978" s="25"/>
    </row>
    <row r="979" ht="13.5" customHeight="1">
      <c r="A979" s="25"/>
    </row>
    <row r="980" ht="13.5" customHeight="1">
      <c r="A980" s="25"/>
    </row>
    <row r="981" ht="13.5" customHeight="1">
      <c r="A981" s="25"/>
    </row>
    <row r="982" ht="13.5" customHeight="1">
      <c r="A982" s="25"/>
    </row>
    <row r="983" ht="13.5" customHeight="1">
      <c r="A983" s="25"/>
    </row>
    <row r="984" ht="13.5" customHeight="1">
      <c r="A984" s="25"/>
    </row>
    <row r="985" ht="13.5" customHeight="1">
      <c r="A985" s="25"/>
    </row>
    <row r="986" ht="13.5" customHeight="1">
      <c r="A986" s="25"/>
    </row>
    <row r="987" ht="13.5" customHeight="1">
      <c r="A987" s="25"/>
    </row>
    <row r="988" ht="13.5" customHeight="1">
      <c r="A988" s="25"/>
    </row>
    <row r="989" ht="13.5" customHeight="1">
      <c r="A989" s="25"/>
    </row>
    <row r="990" ht="13.5" customHeight="1">
      <c r="A990" s="25"/>
    </row>
    <row r="991" ht="13.5" customHeight="1">
      <c r="A991" s="25"/>
    </row>
    <row r="992" ht="13.5" customHeight="1">
      <c r="A992" s="25"/>
    </row>
    <row r="993" ht="13.5" customHeight="1">
      <c r="A993" s="25"/>
    </row>
    <row r="994" ht="13.5" customHeight="1">
      <c r="A994" s="25"/>
    </row>
    <row r="995" ht="13.5" customHeight="1">
      <c r="A995" s="25"/>
    </row>
    <row r="996" ht="13.5" customHeight="1">
      <c r="A996" s="25"/>
    </row>
    <row r="997" ht="13.5" customHeight="1">
      <c r="A997" s="25"/>
    </row>
    <row r="998" ht="13.5" customHeight="1">
      <c r="A998" s="25"/>
    </row>
    <row r="999" ht="13.5" customHeight="1">
      <c r="A999" s="25"/>
    </row>
    <row r="1000" ht="13.5" customHeight="1">
      <c r="A1000" s="25"/>
    </row>
  </sheetData>
  <autoFilter ref="$A$1:$Z$34">
    <sortState ref="A1:Z34">
      <sortCondition descending="1" ref="D1:D34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5.0"/>
    <col customWidth="1" min="3" max="3" width="22.0"/>
    <col customWidth="1" min="4" max="4" width="12.0"/>
    <col customWidth="1" min="5" max="5" width="14.0"/>
    <col customWidth="1" min="6" max="10" width="12.0"/>
    <col customWidth="1" min="11" max="11" width="30.0"/>
    <col customWidth="1" min="12" max="26" width="8.63"/>
  </cols>
  <sheetData>
    <row r="1" ht="18.0" customHeight="1">
      <c r="A1" s="2" t="s">
        <v>1</v>
      </c>
      <c r="B1" s="2" t="s">
        <v>4</v>
      </c>
      <c r="C1" s="2" t="s">
        <v>5</v>
      </c>
      <c r="D1" s="2" t="s">
        <v>8</v>
      </c>
      <c r="E1" s="2" t="s">
        <v>9</v>
      </c>
      <c r="F1" s="2" t="s">
        <v>11</v>
      </c>
      <c r="G1" s="2" t="s">
        <v>12</v>
      </c>
      <c r="H1" s="2" t="s">
        <v>14</v>
      </c>
      <c r="I1" s="2" t="s">
        <v>15</v>
      </c>
      <c r="J1" s="2" t="s">
        <v>3</v>
      </c>
      <c r="K1" s="2" t="s">
        <v>17</v>
      </c>
    </row>
    <row r="2" ht="13.5" customHeight="1">
      <c r="A2" s="5">
        <v>1.0</v>
      </c>
      <c r="B2" s="3"/>
      <c r="C2" s="3"/>
      <c r="D2" s="3"/>
      <c r="E2" s="3"/>
      <c r="F2" s="3"/>
      <c r="G2" s="8"/>
      <c r="H2" s="3"/>
      <c r="I2" s="11" t="s">
        <v>42</v>
      </c>
      <c r="J2" s="3"/>
      <c r="K2" s="3"/>
    </row>
    <row r="3" ht="13.5" customHeight="1">
      <c r="A3" s="5">
        <v>2.0</v>
      </c>
      <c r="B3" s="3"/>
      <c r="C3" s="3"/>
      <c r="D3" s="3"/>
      <c r="E3" s="3"/>
      <c r="F3" s="3"/>
      <c r="G3" s="8"/>
      <c r="H3" s="3"/>
      <c r="I3" s="11" t="s">
        <v>42</v>
      </c>
      <c r="J3" s="3"/>
      <c r="K3" s="3"/>
    </row>
    <row r="4" ht="13.5" customHeight="1">
      <c r="A4" s="5">
        <v>3.0</v>
      </c>
      <c r="B4" s="3"/>
      <c r="C4" s="3"/>
      <c r="D4" s="3"/>
      <c r="E4" s="3"/>
      <c r="F4" s="3"/>
      <c r="G4" s="8"/>
      <c r="H4" s="3"/>
      <c r="I4" s="11" t="s">
        <v>42</v>
      </c>
      <c r="J4" s="3"/>
      <c r="K4" s="3"/>
    </row>
    <row r="5" ht="13.5" customHeight="1">
      <c r="A5" s="5"/>
      <c r="B5" s="3"/>
      <c r="C5" s="3"/>
      <c r="D5" s="3"/>
      <c r="E5" s="3"/>
      <c r="F5" s="3"/>
      <c r="G5" s="8"/>
      <c r="H5" s="3"/>
      <c r="I5" s="7"/>
      <c r="J5" s="3"/>
      <c r="K5" s="3"/>
    </row>
    <row r="6" ht="13.5" customHeight="1">
      <c r="A6" s="5"/>
      <c r="B6" s="3"/>
      <c r="C6" s="3"/>
      <c r="D6" s="3"/>
      <c r="E6" s="3"/>
      <c r="F6" s="3"/>
      <c r="G6" s="8"/>
      <c r="H6" s="3"/>
      <c r="I6" s="7"/>
      <c r="J6" s="3"/>
      <c r="K6" s="3"/>
    </row>
    <row r="7" ht="13.5" customHeight="1">
      <c r="A7" s="5"/>
      <c r="B7" s="3"/>
      <c r="C7" s="3"/>
      <c r="D7" s="3"/>
      <c r="E7" s="3"/>
      <c r="F7" s="3"/>
      <c r="G7" s="8"/>
      <c r="H7" s="3"/>
      <c r="I7" s="7"/>
      <c r="J7" s="3"/>
      <c r="K7" s="3"/>
    </row>
    <row r="8" ht="13.5" customHeight="1">
      <c r="A8" s="5"/>
      <c r="B8" s="3"/>
      <c r="C8" s="3"/>
      <c r="D8" s="3"/>
      <c r="E8" s="3"/>
      <c r="F8" s="3"/>
      <c r="G8" s="8"/>
      <c r="H8" s="3"/>
      <c r="I8" s="7"/>
      <c r="J8" s="3"/>
      <c r="K8" s="3"/>
    </row>
    <row r="9" ht="13.5" customHeight="1">
      <c r="A9" s="3"/>
      <c r="B9" s="3"/>
      <c r="C9" s="3"/>
      <c r="D9" s="3"/>
      <c r="E9" s="3"/>
      <c r="F9" s="3"/>
      <c r="G9" s="8"/>
      <c r="H9" s="3"/>
      <c r="I9" s="3"/>
      <c r="J9" s="3"/>
      <c r="K9" s="3"/>
    </row>
    <row r="10" ht="13.5" customHeight="1">
      <c r="A10" s="3"/>
      <c r="B10" s="3"/>
      <c r="C10" s="3"/>
      <c r="D10" s="3"/>
      <c r="E10" s="3"/>
      <c r="F10" s="3"/>
      <c r="G10" s="8"/>
      <c r="H10" s="3"/>
      <c r="I10" s="3"/>
      <c r="J10" s="3"/>
      <c r="K10" s="3"/>
    </row>
    <row r="11" ht="13.5" customHeight="1">
      <c r="A11" s="3"/>
      <c r="B11" s="3"/>
      <c r="C11" s="3"/>
      <c r="D11" s="3"/>
      <c r="E11" s="3"/>
      <c r="F11" s="3"/>
      <c r="G11" s="8"/>
      <c r="H11" s="3"/>
      <c r="I11" s="3"/>
      <c r="J11" s="3"/>
      <c r="K11" s="3"/>
    </row>
    <row r="12" ht="13.5" customHeight="1">
      <c r="A12" s="3"/>
      <c r="B12" s="3"/>
      <c r="C12" s="3"/>
      <c r="D12" s="3"/>
      <c r="E12" s="3"/>
      <c r="F12" s="3"/>
      <c r="G12" s="8"/>
      <c r="H12" s="3"/>
      <c r="I12" s="3"/>
      <c r="J12" s="3"/>
      <c r="K12" s="3"/>
    </row>
    <row r="13" ht="13.5" customHeight="1">
      <c r="A13" s="3"/>
      <c r="B13" s="3"/>
      <c r="C13" s="3"/>
      <c r="D13" s="3"/>
      <c r="E13" s="3"/>
      <c r="F13" s="3"/>
      <c r="G13" s="8"/>
      <c r="H13" s="3"/>
      <c r="I13" s="3"/>
      <c r="J13" s="3"/>
      <c r="K13" s="3"/>
    </row>
    <row r="14" ht="13.5" customHeight="1">
      <c r="A14" s="3"/>
      <c r="B14" s="3"/>
      <c r="C14" s="3"/>
      <c r="D14" s="3"/>
      <c r="E14" s="3"/>
      <c r="F14" s="3"/>
      <c r="G14" s="8"/>
      <c r="H14" s="3"/>
      <c r="I14" s="3"/>
      <c r="J14" s="3"/>
      <c r="K14" s="3"/>
    </row>
    <row r="15" ht="13.5" customHeight="1">
      <c r="A15" s="3"/>
      <c r="B15" s="3"/>
      <c r="C15" s="3"/>
      <c r="D15" s="3"/>
      <c r="E15" s="3"/>
      <c r="F15" s="3"/>
      <c r="G15" s="8"/>
      <c r="H15" s="3"/>
      <c r="I15" s="3"/>
      <c r="J15" s="3"/>
      <c r="K15" s="3"/>
    </row>
    <row r="16" ht="13.5" customHeight="1">
      <c r="A16" s="3"/>
      <c r="B16" s="3"/>
      <c r="C16" s="3"/>
      <c r="D16" s="3"/>
      <c r="E16" s="3"/>
      <c r="F16" s="3"/>
      <c r="G16" s="8"/>
      <c r="H16" s="3"/>
      <c r="I16" s="3"/>
      <c r="J16" s="3"/>
      <c r="K16" s="3"/>
    </row>
    <row r="17" ht="13.5" customHeight="1">
      <c r="A17" s="3"/>
      <c r="B17" s="3"/>
      <c r="C17" s="3"/>
      <c r="D17" s="3"/>
      <c r="E17" s="3"/>
      <c r="F17" s="3"/>
      <c r="G17" s="8"/>
      <c r="H17" s="3"/>
      <c r="I17" s="3"/>
      <c r="J17" s="3"/>
      <c r="K17" s="3"/>
    </row>
    <row r="18" ht="13.5" customHeight="1">
      <c r="A18" s="3"/>
      <c r="B18" s="3"/>
      <c r="C18" s="3"/>
      <c r="D18" s="3"/>
      <c r="E18" s="3"/>
      <c r="F18" s="3"/>
      <c r="G18" s="8"/>
      <c r="H18" s="3"/>
      <c r="I18" s="3"/>
      <c r="J18" s="3"/>
      <c r="K18" s="3"/>
    </row>
    <row r="19" ht="13.5" customHeight="1">
      <c r="A19" s="3"/>
      <c r="B19" s="3"/>
      <c r="C19" s="3"/>
      <c r="D19" s="3"/>
      <c r="E19" s="3"/>
      <c r="F19" s="3"/>
      <c r="G19" s="8"/>
      <c r="H19" s="3"/>
      <c r="I19" s="3"/>
      <c r="J19" s="3"/>
      <c r="K19" s="3"/>
    </row>
    <row r="20" ht="13.5" customHeight="1">
      <c r="A20" s="3"/>
      <c r="B20" s="3"/>
      <c r="C20" s="3"/>
      <c r="D20" s="3"/>
      <c r="E20" s="3"/>
      <c r="F20" s="3"/>
      <c r="G20" s="8"/>
      <c r="H20" s="3"/>
      <c r="I20" s="3"/>
      <c r="J20" s="3"/>
      <c r="K20" s="3"/>
    </row>
    <row r="21" ht="13.5" customHeight="1">
      <c r="A21" s="3"/>
      <c r="B21" s="3"/>
      <c r="C21" s="3"/>
      <c r="D21" s="3"/>
      <c r="E21" s="3"/>
      <c r="F21" s="3"/>
      <c r="G21" s="8"/>
      <c r="H21" s="3"/>
      <c r="I21" s="3"/>
      <c r="J21" s="3"/>
      <c r="K21" s="3"/>
    </row>
    <row r="22" ht="13.5" customHeight="1">
      <c r="A22" s="3"/>
      <c r="B22" s="3"/>
      <c r="C22" s="3"/>
      <c r="D22" s="3"/>
      <c r="E22" s="3"/>
      <c r="F22" s="3"/>
      <c r="G22" s="8"/>
      <c r="H22" s="3"/>
      <c r="I22" s="3"/>
      <c r="J22" s="3"/>
      <c r="K22" s="3"/>
    </row>
    <row r="23" ht="13.5" customHeight="1">
      <c r="A23" s="3"/>
      <c r="B23" s="3"/>
      <c r="C23" s="3"/>
      <c r="D23" s="3"/>
      <c r="E23" s="3"/>
      <c r="F23" s="3"/>
      <c r="G23" s="8"/>
      <c r="H23" s="3"/>
      <c r="I23" s="3"/>
      <c r="J23" s="3"/>
      <c r="K23" s="3"/>
    </row>
    <row r="24" ht="13.5" customHeight="1">
      <c r="A24" s="3"/>
      <c r="B24" s="3"/>
      <c r="C24" s="3"/>
      <c r="D24" s="3"/>
      <c r="E24" s="3"/>
      <c r="F24" s="3"/>
      <c r="G24" s="8"/>
      <c r="H24" s="3"/>
      <c r="I24" s="3"/>
      <c r="J24" s="3"/>
      <c r="K24" s="3"/>
    </row>
    <row r="25" ht="13.5" customHeight="1">
      <c r="A25" s="3"/>
      <c r="B25" s="3"/>
      <c r="C25" s="3"/>
      <c r="D25" s="3"/>
      <c r="E25" s="3"/>
      <c r="F25" s="3"/>
      <c r="G25" s="8"/>
      <c r="H25" s="3"/>
      <c r="I25" s="3"/>
      <c r="J25" s="3"/>
      <c r="K25" s="3"/>
    </row>
    <row r="26" ht="13.5" customHeight="1">
      <c r="A26" s="3"/>
      <c r="B26" s="3"/>
      <c r="C26" s="3"/>
      <c r="D26" s="3"/>
      <c r="E26" s="3"/>
      <c r="F26" s="3"/>
      <c r="G26" s="8"/>
      <c r="H26" s="3"/>
      <c r="I26" s="3"/>
      <c r="J26" s="3"/>
      <c r="K26" s="3"/>
    </row>
    <row r="27" ht="13.5" customHeight="1">
      <c r="A27" s="3"/>
      <c r="B27" s="3"/>
      <c r="C27" s="3"/>
      <c r="D27" s="3"/>
      <c r="E27" s="3"/>
      <c r="F27" s="3"/>
      <c r="G27" s="8"/>
      <c r="H27" s="3"/>
      <c r="I27" s="3"/>
      <c r="J27" s="3"/>
      <c r="K27" s="3"/>
    </row>
    <row r="28" ht="13.5" customHeight="1">
      <c r="A28" s="3"/>
      <c r="B28" s="3"/>
      <c r="C28" s="3"/>
      <c r="D28" s="3"/>
      <c r="E28" s="3"/>
      <c r="F28" s="3"/>
      <c r="G28" s="8"/>
      <c r="H28" s="3"/>
      <c r="I28" s="3"/>
      <c r="J28" s="3"/>
      <c r="K28" s="3"/>
    </row>
    <row r="29" ht="13.5" customHeight="1">
      <c r="A29" s="3"/>
      <c r="B29" s="3"/>
      <c r="C29" s="3"/>
      <c r="D29" s="3"/>
      <c r="E29" s="3"/>
      <c r="F29" s="3"/>
      <c r="G29" s="8"/>
      <c r="H29" s="3"/>
      <c r="I29" s="3"/>
      <c r="J29" s="3"/>
      <c r="K29" s="3"/>
    </row>
    <row r="30" ht="13.5" customHeight="1">
      <c r="A30" s="3"/>
      <c r="B30" s="3"/>
      <c r="C30" s="3"/>
      <c r="D30" s="3"/>
      <c r="E30" s="3"/>
      <c r="F30" s="3"/>
      <c r="G30" s="8"/>
      <c r="H30" s="3"/>
      <c r="I30" s="3"/>
      <c r="J30" s="3"/>
      <c r="K30" s="3"/>
    </row>
    <row r="31" ht="13.5" customHeight="1">
      <c r="A31" s="3"/>
      <c r="B31" s="3"/>
      <c r="C31" s="3"/>
      <c r="D31" s="3"/>
      <c r="E31" s="3"/>
      <c r="F31" s="3"/>
      <c r="G31" s="8"/>
      <c r="H31" s="3"/>
      <c r="I31" s="3"/>
      <c r="J31" s="3"/>
      <c r="K31" s="3"/>
    </row>
    <row r="32" ht="13.5" customHeight="1">
      <c r="A32" s="3"/>
      <c r="B32" s="3"/>
      <c r="C32" s="3"/>
      <c r="D32" s="3"/>
      <c r="E32" s="3"/>
      <c r="F32" s="3"/>
      <c r="G32" s="8"/>
      <c r="H32" s="3"/>
      <c r="I32" s="3"/>
      <c r="J32" s="3"/>
      <c r="K32" s="3"/>
    </row>
    <row r="33" ht="13.5" customHeight="1">
      <c r="A33" s="3"/>
      <c r="B33" s="3"/>
      <c r="C33" s="3"/>
      <c r="D33" s="3"/>
      <c r="E33" s="3"/>
      <c r="F33" s="3"/>
      <c r="G33" s="8"/>
      <c r="H33" s="3"/>
      <c r="I33" s="3"/>
      <c r="J33" s="3"/>
      <c r="K33" s="3"/>
    </row>
    <row r="34" ht="13.5" customHeight="1">
      <c r="A34" s="3"/>
      <c r="B34" s="3"/>
      <c r="C34" s="3"/>
      <c r="D34" s="3"/>
      <c r="E34" s="3"/>
      <c r="F34" s="3"/>
      <c r="G34" s="8"/>
      <c r="H34" s="3"/>
      <c r="I34" s="3"/>
      <c r="J34" s="3"/>
      <c r="K34" s="3"/>
    </row>
    <row r="35" ht="13.5" customHeight="1">
      <c r="A35" s="3"/>
      <c r="B35" s="3"/>
      <c r="C35" s="3"/>
      <c r="D35" s="3"/>
      <c r="E35" s="3"/>
      <c r="F35" s="3"/>
      <c r="G35" s="8"/>
      <c r="H35" s="3"/>
      <c r="I35" s="3"/>
      <c r="J35" s="3"/>
      <c r="K35" s="3"/>
    </row>
    <row r="36" ht="13.5" customHeight="1">
      <c r="A36" s="3"/>
      <c r="B36" s="3"/>
      <c r="C36" s="3"/>
      <c r="D36" s="3"/>
      <c r="E36" s="3"/>
      <c r="F36" s="3"/>
      <c r="G36" s="8"/>
      <c r="H36" s="3"/>
      <c r="I36" s="3"/>
      <c r="J36" s="3"/>
      <c r="K36" s="3"/>
    </row>
    <row r="37" ht="13.5" customHeight="1">
      <c r="A37" s="3"/>
      <c r="B37" s="3"/>
      <c r="C37" s="3"/>
      <c r="D37" s="3"/>
      <c r="E37" s="3"/>
      <c r="F37" s="3"/>
      <c r="G37" s="8"/>
      <c r="H37" s="3"/>
      <c r="I37" s="3"/>
      <c r="J37" s="3"/>
      <c r="K37" s="3"/>
    </row>
    <row r="38" ht="13.5" customHeight="1">
      <c r="A38" s="3"/>
      <c r="B38" s="3"/>
      <c r="C38" s="3"/>
      <c r="D38" s="3"/>
      <c r="E38" s="3"/>
      <c r="F38" s="3"/>
      <c r="G38" s="8"/>
      <c r="H38" s="3"/>
      <c r="I38" s="3"/>
      <c r="J38" s="3"/>
      <c r="K38" s="3"/>
    </row>
    <row r="39" ht="13.5" customHeight="1">
      <c r="A39" s="3"/>
      <c r="B39" s="3"/>
      <c r="C39" s="3"/>
      <c r="D39" s="3"/>
      <c r="E39" s="3"/>
      <c r="F39" s="3"/>
      <c r="G39" s="8"/>
      <c r="H39" s="3"/>
      <c r="I39" s="3"/>
      <c r="J39" s="3"/>
      <c r="K39" s="3"/>
    </row>
    <row r="40" ht="13.5" customHeight="1">
      <c r="A40" s="3"/>
      <c r="B40" s="3"/>
      <c r="C40" s="3"/>
      <c r="D40" s="3"/>
      <c r="E40" s="3"/>
      <c r="F40" s="3"/>
      <c r="G40" s="8"/>
      <c r="H40" s="3"/>
      <c r="I40" s="3"/>
      <c r="J40" s="3"/>
      <c r="K40" s="3"/>
    </row>
    <row r="41" ht="13.5" customHeight="1">
      <c r="A41" s="3"/>
      <c r="B41" s="3"/>
      <c r="C41" s="3"/>
      <c r="D41" s="3"/>
      <c r="E41" s="3"/>
      <c r="F41" s="3"/>
      <c r="G41" s="8"/>
      <c r="H41" s="3"/>
      <c r="I41" s="3"/>
      <c r="J41" s="3"/>
      <c r="K41" s="3"/>
    </row>
    <row r="42" ht="13.5" customHeight="1">
      <c r="A42" s="3"/>
      <c r="B42" s="3"/>
      <c r="C42" s="3"/>
      <c r="D42" s="3"/>
      <c r="E42" s="3"/>
      <c r="F42" s="3"/>
      <c r="G42" s="8"/>
      <c r="H42" s="3"/>
      <c r="I42" s="3"/>
      <c r="J42" s="3"/>
      <c r="K42" s="3"/>
    </row>
    <row r="43" ht="13.5" customHeight="1">
      <c r="A43" s="3"/>
      <c r="B43" s="3"/>
      <c r="C43" s="3"/>
      <c r="D43" s="3"/>
      <c r="E43" s="3"/>
      <c r="F43" s="3"/>
      <c r="G43" s="8"/>
      <c r="H43" s="3"/>
      <c r="I43" s="3"/>
      <c r="J43" s="3"/>
      <c r="K43" s="3"/>
    </row>
    <row r="44" ht="13.5" customHeight="1">
      <c r="A44" s="3"/>
      <c r="B44" s="3"/>
      <c r="C44" s="3"/>
      <c r="D44" s="3"/>
      <c r="E44" s="3"/>
      <c r="F44" s="3"/>
      <c r="G44" s="8"/>
      <c r="H44" s="3"/>
      <c r="I44" s="3"/>
      <c r="J44" s="3"/>
      <c r="K44" s="3"/>
    </row>
    <row r="45" ht="13.5" customHeight="1">
      <c r="A45" s="3"/>
      <c r="B45" s="3"/>
      <c r="C45" s="3"/>
      <c r="D45" s="3"/>
      <c r="E45" s="3"/>
      <c r="F45" s="3"/>
      <c r="G45" s="8"/>
      <c r="H45" s="3"/>
      <c r="I45" s="3"/>
      <c r="J45" s="3"/>
      <c r="K45" s="3"/>
    </row>
    <row r="46" ht="13.5" customHeight="1">
      <c r="A46" s="3"/>
      <c r="B46" s="3"/>
      <c r="C46" s="3"/>
      <c r="D46" s="3"/>
      <c r="E46" s="3"/>
      <c r="F46" s="3"/>
      <c r="G46" s="8"/>
      <c r="H46" s="3"/>
      <c r="I46" s="3"/>
      <c r="J46" s="3"/>
      <c r="K46" s="3"/>
    </row>
    <row r="47" ht="13.5" customHeight="1">
      <c r="A47" s="3"/>
      <c r="B47" s="3"/>
      <c r="C47" s="3"/>
      <c r="D47" s="3"/>
      <c r="E47" s="3"/>
      <c r="F47" s="3"/>
      <c r="G47" s="8"/>
      <c r="H47" s="3"/>
      <c r="I47" s="3"/>
      <c r="J47" s="3"/>
      <c r="K47" s="3"/>
    </row>
    <row r="48" ht="13.5" customHeight="1">
      <c r="A48" s="3"/>
      <c r="B48" s="3"/>
      <c r="C48" s="3"/>
      <c r="D48" s="3"/>
      <c r="E48" s="3"/>
      <c r="F48" s="3"/>
      <c r="G48" s="8"/>
      <c r="H48" s="3"/>
      <c r="I48" s="3"/>
      <c r="J48" s="3"/>
      <c r="K48" s="3"/>
    </row>
    <row r="49" ht="13.5" customHeight="1">
      <c r="A49" s="3"/>
      <c r="B49" s="3"/>
      <c r="C49" s="3"/>
      <c r="D49" s="3"/>
      <c r="E49" s="3"/>
      <c r="F49" s="3"/>
      <c r="G49" s="8"/>
      <c r="H49" s="3"/>
      <c r="I49" s="3"/>
      <c r="J49" s="3"/>
      <c r="K49" s="3"/>
    </row>
    <row r="50" ht="13.5" customHeight="1">
      <c r="A50" s="3"/>
      <c r="B50" s="3"/>
      <c r="C50" s="3"/>
      <c r="D50" s="3"/>
      <c r="E50" s="3"/>
      <c r="F50" s="3"/>
      <c r="G50" s="8"/>
      <c r="H50" s="3"/>
      <c r="I50" s="3"/>
      <c r="J50" s="3"/>
      <c r="K50" s="3"/>
    </row>
    <row r="51" ht="13.5" customHeight="1">
      <c r="A51" s="3"/>
      <c r="B51" s="3"/>
      <c r="C51" s="3"/>
      <c r="D51" s="3"/>
      <c r="E51" s="3"/>
      <c r="F51" s="3"/>
      <c r="G51" s="8"/>
      <c r="H51" s="3"/>
      <c r="I51" s="3"/>
      <c r="J51" s="3"/>
      <c r="K51" s="3"/>
    </row>
    <row r="52" ht="13.5" customHeight="1">
      <c r="A52" s="3"/>
      <c r="B52" s="3"/>
      <c r="C52" s="3"/>
      <c r="D52" s="3"/>
      <c r="E52" s="3"/>
      <c r="F52" s="3"/>
      <c r="G52" s="8"/>
      <c r="H52" s="3"/>
      <c r="I52" s="3"/>
      <c r="J52" s="3"/>
      <c r="K52" s="3"/>
    </row>
    <row r="53" ht="13.5" customHeight="1">
      <c r="A53" s="3"/>
      <c r="B53" s="3"/>
      <c r="C53" s="3"/>
      <c r="D53" s="3"/>
      <c r="E53" s="3"/>
      <c r="F53" s="3"/>
      <c r="G53" s="8"/>
      <c r="H53" s="3"/>
      <c r="I53" s="3"/>
      <c r="J53" s="3"/>
      <c r="K53" s="3"/>
    </row>
    <row r="54" ht="13.5" customHeight="1">
      <c r="A54" s="3"/>
      <c r="B54" s="3"/>
      <c r="C54" s="3"/>
      <c r="D54" s="3"/>
      <c r="E54" s="3"/>
      <c r="F54" s="3"/>
      <c r="G54" s="8"/>
      <c r="H54" s="3"/>
      <c r="I54" s="3"/>
      <c r="J54" s="3"/>
      <c r="K54" s="3"/>
    </row>
    <row r="55" ht="13.5" customHeight="1">
      <c r="A55" s="3"/>
      <c r="B55" s="3"/>
      <c r="C55" s="3"/>
      <c r="D55" s="3"/>
      <c r="E55" s="3"/>
      <c r="F55" s="3"/>
      <c r="G55" s="8"/>
      <c r="H55" s="3"/>
      <c r="I55" s="3"/>
      <c r="J55" s="3"/>
      <c r="K55" s="3"/>
    </row>
    <row r="56" ht="13.5" customHeight="1">
      <c r="A56" s="3"/>
      <c r="B56" s="3"/>
      <c r="C56" s="3"/>
      <c r="D56" s="3"/>
      <c r="E56" s="3"/>
      <c r="F56" s="3"/>
      <c r="G56" s="8"/>
      <c r="H56" s="3"/>
      <c r="I56" s="3"/>
      <c r="J56" s="3"/>
      <c r="K56" s="3"/>
    </row>
    <row r="57" ht="13.5" customHeight="1">
      <c r="A57" s="3"/>
      <c r="B57" s="3"/>
      <c r="C57" s="3"/>
      <c r="D57" s="3"/>
      <c r="E57" s="3"/>
      <c r="F57" s="3"/>
      <c r="G57" s="8"/>
      <c r="H57" s="3"/>
      <c r="I57" s="3"/>
      <c r="J57" s="3"/>
      <c r="K57" s="3"/>
    </row>
    <row r="58" ht="13.5" customHeight="1">
      <c r="A58" s="3"/>
      <c r="B58" s="3"/>
      <c r="C58" s="3"/>
      <c r="D58" s="3"/>
      <c r="E58" s="3"/>
      <c r="F58" s="3"/>
      <c r="G58" s="8"/>
      <c r="H58" s="3"/>
      <c r="I58" s="3"/>
      <c r="J58" s="3"/>
      <c r="K58" s="3"/>
    </row>
    <row r="59" ht="13.5" customHeight="1">
      <c r="A59" s="3"/>
      <c r="B59" s="3"/>
      <c r="C59" s="3"/>
      <c r="D59" s="3"/>
      <c r="E59" s="3"/>
      <c r="F59" s="3"/>
      <c r="G59" s="8"/>
      <c r="H59" s="3"/>
      <c r="I59" s="3"/>
      <c r="J59" s="3"/>
      <c r="K59" s="3"/>
    </row>
    <row r="60" ht="13.5" customHeight="1">
      <c r="A60" s="3"/>
      <c r="B60" s="3"/>
      <c r="C60" s="3"/>
      <c r="D60" s="3"/>
      <c r="E60" s="3"/>
      <c r="F60" s="3"/>
      <c r="G60" s="8"/>
      <c r="H60" s="3"/>
      <c r="I60" s="3"/>
      <c r="J60" s="3"/>
      <c r="K60" s="3"/>
    </row>
    <row r="61" ht="13.5" customHeight="1">
      <c r="A61" s="3"/>
      <c r="B61" s="3"/>
      <c r="C61" s="3"/>
      <c r="D61" s="3"/>
      <c r="E61" s="3"/>
      <c r="F61" s="3"/>
      <c r="G61" s="8"/>
      <c r="H61" s="3"/>
      <c r="I61" s="3"/>
      <c r="J61" s="3"/>
      <c r="K61" s="3"/>
    </row>
    <row r="62" ht="13.5" customHeight="1">
      <c r="A62" s="3"/>
      <c r="B62" s="3"/>
      <c r="C62" s="3"/>
      <c r="D62" s="3"/>
      <c r="E62" s="3"/>
      <c r="F62" s="3"/>
      <c r="G62" s="8"/>
      <c r="H62" s="3"/>
      <c r="I62" s="3"/>
      <c r="J62" s="3"/>
      <c r="K62" s="3"/>
    </row>
    <row r="63" ht="13.5" customHeight="1">
      <c r="A63" s="3"/>
      <c r="B63" s="3"/>
      <c r="C63" s="3"/>
      <c r="D63" s="3"/>
      <c r="E63" s="3"/>
      <c r="F63" s="3"/>
      <c r="G63" s="8"/>
      <c r="H63" s="3"/>
      <c r="I63" s="3"/>
      <c r="J63" s="3"/>
      <c r="K63" s="3"/>
    </row>
    <row r="64" ht="13.5" customHeight="1">
      <c r="A64" s="3"/>
      <c r="B64" s="3"/>
      <c r="C64" s="3"/>
      <c r="D64" s="3"/>
      <c r="E64" s="3"/>
      <c r="F64" s="3"/>
      <c r="G64" s="8"/>
      <c r="H64" s="3"/>
      <c r="I64" s="3"/>
      <c r="J64" s="3"/>
      <c r="K64" s="3"/>
    </row>
    <row r="65" ht="13.5" customHeight="1">
      <c r="A65" s="3"/>
      <c r="B65" s="3"/>
      <c r="C65" s="3"/>
      <c r="D65" s="3"/>
      <c r="E65" s="3"/>
      <c r="F65" s="3"/>
      <c r="G65" s="8"/>
      <c r="H65" s="3"/>
      <c r="I65" s="3"/>
      <c r="J65" s="3"/>
      <c r="K65" s="3"/>
    </row>
    <row r="66" ht="13.5" customHeight="1">
      <c r="A66" s="3"/>
      <c r="B66" s="3"/>
      <c r="C66" s="3"/>
      <c r="D66" s="3"/>
      <c r="E66" s="3"/>
      <c r="F66" s="3"/>
      <c r="G66" s="8"/>
      <c r="H66" s="3"/>
      <c r="I66" s="3"/>
      <c r="J66" s="3"/>
      <c r="K66" s="3"/>
    </row>
    <row r="67" ht="13.5" customHeight="1">
      <c r="A67" s="3"/>
      <c r="B67" s="3"/>
      <c r="C67" s="3"/>
      <c r="D67" s="3"/>
      <c r="E67" s="3"/>
      <c r="F67" s="3"/>
      <c r="G67" s="8"/>
      <c r="H67" s="3"/>
      <c r="I67" s="3"/>
      <c r="J67" s="3"/>
      <c r="K67" s="3"/>
    </row>
    <row r="68" ht="13.5" customHeight="1">
      <c r="A68" s="3"/>
      <c r="B68" s="3"/>
      <c r="C68" s="3"/>
      <c r="D68" s="3"/>
      <c r="E68" s="3"/>
      <c r="F68" s="3"/>
      <c r="G68" s="8"/>
      <c r="H68" s="3"/>
      <c r="I68" s="3"/>
      <c r="J68" s="3"/>
      <c r="K68" s="3"/>
    </row>
    <row r="69" ht="13.5" customHeight="1">
      <c r="A69" s="3"/>
      <c r="B69" s="3"/>
      <c r="C69" s="3"/>
      <c r="D69" s="3"/>
      <c r="E69" s="3"/>
      <c r="F69" s="3"/>
      <c r="G69" s="8"/>
      <c r="H69" s="3"/>
      <c r="I69" s="3"/>
      <c r="J69" s="3"/>
      <c r="K69" s="3"/>
    </row>
    <row r="70" ht="13.5" customHeight="1">
      <c r="A70" s="3"/>
      <c r="B70" s="3"/>
      <c r="C70" s="3"/>
      <c r="D70" s="3"/>
      <c r="E70" s="3"/>
      <c r="F70" s="3"/>
      <c r="G70" s="8"/>
      <c r="H70" s="3"/>
      <c r="I70" s="3"/>
      <c r="J70" s="3"/>
      <c r="K70" s="3"/>
    </row>
    <row r="71" ht="13.5" customHeight="1">
      <c r="A71" s="3"/>
      <c r="B71" s="3"/>
      <c r="C71" s="3"/>
      <c r="D71" s="3"/>
      <c r="E71" s="3"/>
      <c r="F71" s="3"/>
      <c r="G71" s="8"/>
      <c r="H71" s="3"/>
      <c r="I71" s="3"/>
      <c r="J71" s="3"/>
      <c r="K71" s="3"/>
    </row>
    <row r="72" ht="13.5" customHeight="1">
      <c r="A72" s="3"/>
      <c r="B72" s="3"/>
      <c r="C72" s="3"/>
      <c r="D72" s="3"/>
      <c r="E72" s="3"/>
      <c r="F72" s="3"/>
      <c r="G72" s="8"/>
      <c r="H72" s="3"/>
      <c r="I72" s="3"/>
      <c r="J72" s="3"/>
      <c r="K72" s="3"/>
    </row>
    <row r="73" ht="13.5" customHeight="1">
      <c r="A73" s="3"/>
      <c r="B73" s="3"/>
      <c r="C73" s="3"/>
      <c r="D73" s="3"/>
      <c r="E73" s="3"/>
      <c r="F73" s="3"/>
      <c r="G73" s="8"/>
      <c r="H73" s="3"/>
      <c r="I73" s="3"/>
      <c r="J73" s="3"/>
      <c r="K73" s="3"/>
    </row>
    <row r="74" ht="13.5" customHeight="1">
      <c r="A74" s="3"/>
      <c r="B74" s="3"/>
      <c r="C74" s="3"/>
      <c r="D74" s="3"/>
      <c r="E74" s="3"/>
      <c r="F74" s="3"/>
      <c r="G74" s="8"/>
      <c r="H74" s="3"/>
      <c r="I74" s="3"/>
      <c r="J74" s="3"/>
      <c r="K74" s="3"/>
    </row>
    <row r="75" ht="13.5" customHeight="1">
      <c r="A75" s="3"/>
      <c r="B75" s="3"/>
      <c r="C75" s="3"/>
      <c r="D75" s="3"/>
      <c r="E75" s="3"/>
      <c r="F75" s="3"/>
      <c r="G75" s="8"/>
      <c r="H75" s="3"/>
      <c r="I75" s="3"/>
      <c r="J75" s="3"/>
      <c r="K75" s="3"/>
    </row>
    <row r="76" ht="13.5" customHeight="1">
      <c r="A76" s="3"/>
      <c r="B76" s="3"/>
      <c r="C76" s="3"/>
      <c r="D76" s="3"/>
      <c r="E76" s="3"/>
      <c r="F76" s="3"/>
      <c r="G76" s="8"/>
      <c r="H76" s="3"/>
      <c r="I76" s="3"/>
      <c r="J76" s="3"/>
      <c r="K76" s="3"/>
    </row>
    <row r="77" ht="13.5" customHeight="1">
      <c r="A77" s="3"/>
      <c r="B77" s="3"/>
      <c r="C77" s="3"/>
      <c r="D77" s="3"/>
      <c r="E77" s="3"/>
      <c r="F77" s="3"/>
      <c r="G77" s="8"/>
      <c r="H77" s="3"/>
      <c r="I77" s="3"/>
      <c r="J77" s="3"/>
      <c r="K77" s="3"/>
    </row>
    <row r="78" ht="13.5" customHeight="1">
      <c r="A78" s="3"/>
      <c r="B78" s="3"/>
      <c r="C78" s="3"/>
      <c r="D78" s="3"/>
      <c r="E78" s="3"/>
      <c r="F78" s="3"/>
      <c r="G78" s="8"/>
      <c r="H78" s="3"/>
      <c r="I78" s="3"/>
      <c r="J78" s="3"/>
      <c r="K78" s="3"/>
    </row>
    <row r="79" ht="13.5" customHeight="1">
      <c r="A79" s="3"/>
      <c r="B79" s="3"/>
      <c r="C79" s="3"/>
      <c r="D79" s="3"/>
      <c r="E79" s="3"/>
      <c r="F79" s="3"/>
      <c r="G79" s="8"/>
      <c r="H79" s="3"/>
      <c r="I79" s="3"/>
      <c r="J79" s="3"/>
      <c r="K79" s="3"/>
    </row>
    <row r="80" ht="13.5" customHeight="1">
      <c r="A80" s="3"/>
      <c r="B80" s="3"/>
      <c r="C80" s="3"/>
      <c r="D80" s="3"/>
      <c r="E80" s="3"/>
      <c r="F80" s="3"/>
      <c r="G80" s="8"/>
      <c r="H80" s="3"/>
      <c r="I80" s="3"/>
      <c r="J80" s="3"/>
      <c r="K80" s="3"/>
    </row>
    <row r="81" ht="13.5" customHeight="1">
      <c r="A81" s="3"/>
      <c r="B81" s="3"/>
      <c r="C81" s="3"/>
      <c r="D81" s="3"/>
      <c r="E81" s="3"/>
      <c r="F81" s="3"/>
      <c r="G81" s="8"/>
      <c r="H81" s="3"/>
      <c r="I81" s="3"/>
      <c r="J81" s="3"/>
      <c r="K81" s="3"/>
    </row>
    <row r="82" ht="13.5" customHeight="1">
      <c r="A82" s="3"/>
      <c r="B82" s="3"/>
      <c r="C82" s="3"/>
      <c r="D82" s="3"/>
      <c r="E82" s="3"/>
      <c r="F82" s="3"/>
      <c r="G82" s="8"/>
      <c r="H82" s="3"/>
      <c r="I82" s="3"/>
      <c r="J82" s="3"/>
      <c r="K82" s="3"/>
    </row>
    <row r="83" ht="13.5" customHeight="1">
      <c r="A83" s="3"/>
      <c r="B83" s="3"/>
      <c r="C83" s="3"/>
      <c r="D83" s="3"/>
      <c r="E83" s="3"/>
      <c r="F83" s="3"/>
      <c r="G83" s="8"/>
      <c r="H83" s="3"/>
      <c r="I83" s="3"/>
      <c r="J83" s="3"/>
      <c r="K83" s="3"/>
    </row>
    <row r="84" ht="13.5" customHeight="1">
      <c r="A84" s="3"/>
      <c r="B84" s="3"/>
      <c r="C84" s="3"/>
      <c r="D84" s="3"/>
      <c r="E84" s="3"/>
      <c r="F84" s="3"/>
      <c r="G84" s="8"/>
      <c r="H84" s="3"/>
      <c r="I84" s="3"/>
      <c r="J84" s="3"/>
      <c r="K84" s="3"/>
    </row>
    <row r="85" ht="13.5" customHeight="1">
      <c r="A85" s="3"/>
      <c r="B85" s="3"/>
      <c r="C85" s="3"/>
      <c r="D85" s="3"/>
      <c r="E85" s="3"/>
      <c r="F85" s="3"/>
      <c r="G85" s="8"/>
      <c r="H85" s="3"/>
      <c r="I85" s="3"/>
      <c r="J85" s="3"/>
      <c r="K85" s="3"/>
    </row>
    <row r="86" ht="13.5" customHeight="1">
      <c r="A86" s="3"/>
      <c r="B86" s="3"/>
      <c r="C86" s="3"/>
      <c r="D86" s="3"/>
      <c r="E86" s="3"/>
      <c r="F86" s="3"/>
      <c r="G86" s="8"/>
      <c r="H86" s="3"/>
      <c r="I86" s="3"/>
      <c r="J86" s="3"/>
      <c r="K86" s="3"/>
    </row>
    <row r="87" ht="13.5" customHeight="1">
      <c r="A87" s="3"/>
      <c r="B87" s="3"/>
      <c r="C87" s="3"/>
      <c r="D87" s="3"/>
      <c r="E87" s="3"/>
      <c r="F87" s="3"/>
      <c r="G87" s="8"/>
      <c r="H87" s="3"/>
      <c r="I87" s="3"/>
      <c r="J87" s="3"/>
      <c r="K87" s="3"/>
    </row>
    <row r="88" ht="13.5" customHeight="1">
      <c r="A88" s="3"/>
      <c r="B88" s="3"/>
      <c r="C88" s="3"/>
      <c r="D88" s="3"/>
      <c r="E88" s="3"/>
      <c r="F88" s="3"/>
      <c r="G88" s="8"/>
      <c r="H88" s="3"/>
      <c r="I88" s="3"/>
      <c r="J88" s="3"/>
      <c r="K88" s="3"/>
    </row>
    <row r="89" ht="13.5" customHeight="1">
      <c r="A89" s="3"/>
      <c r="B89" s="3"/>
      <c r="C89" s="3"/>
      <c r="D89" s="3"/>
      <c r="E89" s="3"/>
      <c r="F89" s="3"/>
      <c r="G89" s="8"/>
      <c r="H89" s="3"/>
      <c r="I89" s="3"/>
      <c r="J89" s="3"/>
      <c r="K89" s="3"/>
    </row>
    <row r="90" ht="13.5" customHeight="1">
      <c r="A90" s="3"/>
      <c r="B90" s="3"/>
      <c r="C90" s="3"/>
      <c r="D90" s="3"/>
      <c r="E90" s="3"/>
      <c r="F90" s="3"/>
      <c r="G90" s="8"/>
      <c r="H90" s="3"/>
      <c r="I90" s="3"/>
      <c r="J90" s="3"/>
      <c r="K90" s="3"/>
    </row>
    <row r="91" ht="13.5" customHeight="1">
      <c r="A91" s="3"/>
      <c r="B91" s="3"/>
      <c r="C91" s="3"/>
      <c r="D91" s="3"/>
      <c r="E91" s="3"/>
      <c r="F91" s="3"/>
      <c r="G91" s="8"/>
      <c r="H91" s="3"/>
      <c r="I91" s="3"/>
      <c r="J91" s="3"/>
      <c r="K91" s="3"/>
    </row>
    <row r="92" ht="13.5" customHeight="1">
      <c r="A92" s="3"/>
      <c r="B92" s="3"/>
      <c r="C92" s="3"/>
      <c r="D92" s="3"/>
      <c r="E92" s="3"/>
      <c r="F92" s="3"/>
      <c r="G92" s="8"/>
      <c r="H92" s="3"/>
      <c r="I92" s="3"/>
      <c r="J92" s="3"/>
      <c r="K92" s="3"/>
    </row>
    <row r="93" ht="13.5" customHeight="1">
      <c r="A93" s="3"/>
      <c r="B93" s="3"/>
      <c r="C93" s="3"/>
      <c r="D93" s="3"/>
      <c r="E93" s="3"/>
      <c r="F93" s="3"/>
      <c r="G93" s="8"/>
      <c r="H93" s="3"/>
      <c r="I93" s="3"/>
      <c r="J93" s="3"/>
      <c r="K93" s="3"/>
    </row>
    <row r="94" ht="13.5" customHeight="1">
      <c r="A94" s="3"/>
      <c r="B94" s="3"/>
      <c r="C94" s="3"/>
      <c r="D94" s="3"/>
      <c r="E94" s="3"/>
      <c r="F94" s="3"/>
      <c r="G94" s="8"/>
      <c r="H94" s="3"/>
      <c r="I94" s="3"/>
      <c r="J94" s="3"/>
      <c r="K94" s="3"/>
    </row>
    <row r="95" ht="13.5" customHeight="1">
      <c r="A95" s="3"/>
      <c r="B95" s="3"/>
      <c r="C95" s="3"/>
      <c r="D95" s="3"/>
      <c r="E95" s="3"/>
      <c r="F95" s="3"/>
      <c r="G95" s="8"/>
      <c r="H95" s="3"/>
      <c r="I95" s="3"/>
      <c r="J95" s="3"/>
      <c r="K95" s="3"/>
    </row>
    <row r="96" ht="13.5" customHeight="1">
      <c r="A96" s="3"/>
      <c r="B96" s="3"/>
      <c r="C96" s="3"/>
      <c r="D96" s="3"/>
      <c r="E96" s="3"/>
      <c r="F96" s="3"/>
      <c r="G96" s="8"/>
      <c r="H96" s="3"/>
      <c r="I96" s="3"/>
      <c r="J96" s="3"/>
      <c r="K96" s="3"/>
    </row>
    <row r="97" ht="13.5" customHeight="1">
      <c r="A97" s="3"/>
      <c r="B97" s="3"/>
      <c r="C97" s="3"/>
      <c r="D97" s="3"/>
      <c r="E97" s="3"/>
      <c r="F97" s="3"/>
      <c r="G97" s="8"/>
      <c r="H97" s="3"/>
      <c r="I97" s="3"/>
      <c r="J97" s="3"/>
      <c r="K97" s="3"/>
    </row>
    <row r="98" ht="13.5" customHeight="1">
      <c r="A98" s="3"/>
      <c r="B98" s="3"/>
      <c r="C98" s="3"/>
      <c r="D98" s="3"/>
      <c r="E98" s="3"/>
      <c r="F98" s="3"/>
      <c r="G98" s="8"/>
      <c r="H98" s="3"/>
      <c r="I98" s="3"/>
      <c r="J98" s="3"/>
      <c r="K98" s="3"/>
    </row>
    <row r="99" ht="13.5" customHeight="1">
      <c r="A99" s="3"/>
      <c r="B99" s="3"/>
      <c r="C99" s="3"/>
      <c r="D99" s="3"/>
      <c r="E99" s="3"/>
      <c r="F99" s="3"/>
      <c r="G99" s="8"/>
      <c r="H99" s="3"/>
      <c r="I99" s="3"/>
      <c r="J99" s="3"/>
      <c r="K99" s="3"/>
    </row>
    <row r="100" ht="13.5" customHeight="1">
      <c r="A100" s="3"/>
      <c r="B100" s="3"/>
      <c r="C100" s="3"/>
      <c r="D100" s="3"/>
      <c r="E100" s="3"/>
      <c r="F100" s="3"/>
      <c r="G100" s="8"/>
      <c r="H100" s="3"/>
      <c r="I100" s="3"/>
      <c r="J100" s="3"/>
      <c r="K100" s="3"/>
    </row>
    <row r="101" ht="13.5" customHeight="1">
      <c r="A101" s="3"/>
      <c r="B101" s="3"/>
      <c r="C101" s="3"/>
      <c r="D101" s="3"/>
      <c r="E101" s="3"/>
      <c r="F101" s="3"/>
      <c r="G101" s="8"/>
      <c r="H101" s="3"/>
      <c r="I101" s="3"/>
      <c r="J101" s="3"/>
      <c r="K101" s="3"/>
    </row>
    <row r="102" ht="13.5" customHeight="1">
      <c r="A102" s="3"/>
      <c r="B102" s="3"/>
      <c r="C102" s="3"/>
      <c r="D102" s="3"/>
      <c r="E102" s="3"/>
      <c r="F102" s="3"/>
      <c r="G102" s="8"/>
      <c r="H102" s="3"/>
      <c r="I102" s="3"/>
      <c r="J102" s="3"/>
      <c r="K102" s="3"/>
    </row>
    <row r="103" ht="13.5" customHeight="1">
      <c r="A103" s="3"/>
      <c r="B103" s="3"/>
      <c r="C103" s="3"/>
      <c r="D103" s="3"/>
      <c r="E103" s="3"/>
      <c r="F103" s="3"/>
      <c r="G103" s="8"/>
      <c r="H103" s="3"/>
      <c r="I103" s="3"/>
      <c r="J103" s="3"/>
      <c r="K103" s="3"/>
    </row>
    <row r="104" ht="13.5" customHeight="1">
      <c r="A104" s="3"/>
      <c r="B104" s="3"/>
      <c r="C104" s="3"/>
      <c r="D104" s="3"/>
      <c r="E104" s="3"/>
      <c r="F104" s="3"/>
      <c r="G104" s="8"/>
      <c r="H104" s="3"/>
      <c r="I104" s="3"/>
      <c r="J104" s="3"/>
      <c r="K104" s="3"/>
    </row>
    <row r="105" ht="13.5" customHeight="1">
      <c r="A105" s="3"/>
      <c r="B105" s="3"/>
      <c r="C105" s="3"/>
      <c r="D105" s="3"/>
      <c r="E105" s="3"/>
      <c r="F105" s="3"/>
      <c r="G105" s="8"/>
      <c r="H105" s="3"/>
      <c r="I105" s="3"/>
      <c r="J105" s="3"/>
      <c r="K105" s="3"/>
    </row>
    <row r="106" ht="13.5" customHeight="1">
      <c r="A106" s="3"/>
      <c r="B106" s="3"/>
      <c r="C106" s="3"/>
      <c r="D106" s="3"/>
      <c r="E106" s="3"/>
      <c r="F106" s="3"/>
      <c r="G106" s="8"/>
      <c r="H106" s="3"/>
      <c r="I106" s="3"/>
      <c r="J106" s="3"/>
      <c r="K106" s="3"/>
    </row>
    <row r="107" ht="13.5" customHeight="1">
      <c r="A107" s="3"/>
      <c r="B107" s="3"/>
      <c r="C107" s="3"/>
      <c r="D107" s="3"/>
      <c r="E107" s="3"/>
      <c r="F107" s="3"/>
      <c r="G107" s="8"/>
      <c r="H107" s="3"/>
      <c r="I107" s="3"/>
      <c r="J107" s="3"/>
      <c r="K107" s="3"/>
    </row>
    <row r="108" ht="13.5" customHeight="1">
      <c r="A108" s="3"/>
      <c r="B108" s="3"/>
      <c r="C108" s="3"/>
      <c r="D108" s="3"/>
      <c r="E108" s="3"/>
      <c r="F108" s="3"/>
      <c r="G108" s="8"/>
      <c r="H108" s="3"/>
      <c r="I108" s="3"/>
      <c r="J108" s="3"/>
      <c r="K108" s="3"/>
    </row>
    <row r="109" ht="13.5" customHeight="1">
      <c r="A109" s="3"/>
      <c r="B109" s="3"/>
      <c r="C109" s="3"/>
      <c r="D109" s="3"/>
      <c r="E109" s="3"/>
      <c r="F109" s="3"/>
      <c r="G109" s="8"/>
      <c r="H109" s="3"/>
      <c r="I109" s="3"/>
      <c r="J109" s="3"/>
      <c r="K109" s="3"/>
    </row>
    <row r="110" ht="13.5" customHeight="1">
      <c r="A110" s="3"/>
      <c r="B110" s="3"/>
      <c r="C110" s="3"/>
      <c r="D110" s="3"/>
      <c r="E110" s="3"/>
      <c r="F110" s="3"/>
      <c r="G110" s="8"/>
      <c r="H110" s="3"/>
      <c r="I110" s="3"/>
      <c r="J110" s="3"/>
      <c r="K110" s="3"/>
    </row>
    <row r="111" ht="13.5" customHeight="1">
      <c r="A111" s="3"/>
      <c r="B111" s="3"/>
      <c r="C111" s="3"/>
      <c r="D111" s="3"/>
      <c r="E111" s="3"/>
      <c r="F111" s="3"/>
      <c r="G111" s="8"/>
      <c r="H111" s="3"/>
      <c r="I111" s="3"/>
      <c r="J111" s="3"/>
      <c r="K111" s="3"/>
    </row>
    <row r="112" ht="13.5" customHeight="1">
      <c r="A112" s="3"/>
      <c r="B112" s="3"/>
      <c r="C112" s="3"/>
      <c r="D112" s="3"/>
      <c r="E112" s="3"/>
      <c r="F112" s="3"/>
      <c r="G112" s="8"/>
      <c r="H112" s="3"/>
      <c r="I112" s="3"/>
      <c r="J112" s="3"/>
      <c r="K112" s="3"/>
    </row>
    <row r="113" ht="13.5" customHeight="1">
      <c r="A113" s="3"/>
      <c r="B113" s="3"/>
      <c r="C113" s="3"/>
      <c r="D113" s="3"/>
      <c r="E113" s="3"/>
      <c r="F113" s="3"/>
      <c r="G113" s="8"/>
      <c r="H113" s="3"/>
      <c r="I113" s="3"/>
      <c r="J113" s="3"/>
      <c r="K113" s="3"/>
    </row>
    <row r="114" ht="13.5" customHeight="1">
      <c r="A114" s="3"/>
      <c r="B114" s="3"/>
      <c r="C114" s="3"/>
      <c r="D114" s="3"/>
      <c r="E114" s="3"/>
      <c r="F114" s="3"/>
      <c r="G114" s="8"/>
      <c r="H114" s="3"/>
      <c r="I114" s="3"/>
      <c r="J114" s="3"/>
      <c r="K114" s="3"/>
    </row>
    <row r="115" ht="13.5" customHeight="1">
      <c r="A115" s="3"/>
      <c r="B115" s="3"/>
      <c r="C115" s="3"/>
      <c r="D115" s="3"/>
      <c r="E115" s="3"/>
      <c r="F115" s="3"/>
      <c r="G115" s="8"/>
      <c r="H115" s="3"/>
      <c r="I115" s="3"/>
      <c r="J115" s="3"/>
      <c r="K115" s="3"/>
    </row>
    <row r="116" ht="13.5" customHeight="1">
      <c r="A116" s="3"/>
      <c r="B116" s="3"/>
      <c r="C116" s="3"/>
      <c r="D116" s="3"/>
      <c r="E116" s="3"/>
      <c r="F116" s="3"/>
      <c r="G116" s="8"/>
      <c r="H116" s="3"/>
      <c r="I116" s="3"/>
      <c r="J116" s="3"/>
      <c r="K116" s="3"/>
    </row>
    <row r="117" ht="13.5" customHeight="1">
      <c r="A117" s="3"/>
      <c r="B117" s="3"/>
      <c r="C117" s="3"/>
      <c r="D117" s="3"/>
      <c r="E117" s="3"/>
      <c r="F117" s="3"/>
      <c r="G117" s="8"/>
      <c r="H117" s="3"/>
      <c r="I117" s="3"/>
      <c r="J117" s="3"/>
      <c r="K117" s="3"/>
    </row>
    <row r="118" ht="13.5" customHeight="1">
      <c r="A118" s="3"/>
      <c r="B118" s="3"/>
      <c r="C118" s="3"/>
      <c r="D118" s="3"/>
      <c r="E118" s="3"/>
      <c r="F118" s="3"/>
      <c r="G118" s="8"/>
      <c r="H118" s="3"/>
      <c r="I118" s="3"/>
      <c r="J118" s="3"/>
      <c r="K118" s="3"/>
    </row>
    <row r="119" ht="13.5" customHeight="1">
      <c r="A119" s="3"/>
      <c r="B119" s="3"/>
      <c r="C119" s="3"/>
      <c r="D119" s="3"/>
      <c r="E119" s="3"/>
      <c r="F119" s="3"/>
      <c r="G119" s="8"/>
      <c r="H119" s="3"/>
      <c r="I119" s="3"/>
      <c r="J119" s="3"/>
      <c r="K119" s="3"/>
    </row>
    <row r="120" ht="13.5" customHeight="1">
      <c r="A120" s="3"/>
      <c r="B120" s="3"/>
      <c r="C120" s="3"/>
      <c r="D120" s="3"/>
      <c r="E120" s="3"/>
      <c r="F120" s="3"/>
      <c r="G120" s="8"/>
      <c r="H120" s="3"/>
      <c r="I120" s="3"/>
      <c r="J120" s="3"/>
      <c r="K120" s="3"/>
    </row>
    <row r="121" ht="13.5" customHeight="1">
      <c r="A121" s="3"/>
      <c r="B121" s="3"/>
      <c r="C121" s="3"/>
      <c r="D121" s="3"/>
      <c r="E121" s="3"/>
      <c r="F121" s="3"/>
      <c r="G121" s="8"/>
      <c r="H121" s="3"/>
      <c r="I121" s="3"/>
      <c r="J121" s="3"/>
      <c r="K121" s="3"/>
    </row>
    <row r="122" ht="13.5" customHeight="1">
      <c r="A122" s="3"/>
      <c r="B122" s="3"/>
      <c r="C122" s="3"/>
      <c r="D122" s="3"/>
      <c r="E122" s="3"/>
      <c r="F122" s="3"/>
      <c r="G122" s="8"/>
      <c r="H122" s="3"/>
      <c r="I122" s="3"/>
      <c r="J122" s="3"/>
      <c r="K122" s="3"/>
    </row>
    <row r="123" ht="13.5" customHeight="1">
      <c r="A123" s="3"/>
      <c r="B123" s="3"/>
      <c r="C123" s="3"/>
      <c r="D123" s="3"/>
      <c r="E123" s="3"/>
      <c r="F123" s="3"/>
      <c r="G123" s="8"/>
      <c r="H123" s="3"/>
      <c r="I123" s="3"/>
      <c r="J123" s="3"/>
      <c r="K123" s="3"/>
    </row>
    <row r="124" ht="13.5" customHeight="1">
      <c r="A124" s="3"/>
      <c r="B124" s="3"/>
      <c r="C124" s="3"/>
      <c r="D124" s="3"/>
      <c r="E124" s="3"/>
      <c r="F124" s="3"/>
      <c r="G124" s="8"/>
      <c r="H124" s="3"/>
      <c r="I124" s="3"/>
      <c r="J124" s="3"/>
      <c r="K124" s="3"/>
    </row>
    <row r="125" ht="13.5" customHeight="1">
      <c r="A125" s="3"/>
      <c r="B125" s="3"/>
      <c r="C125" s="3"/>
      <c r="D125" s="3"/>
      <c r="E125" s="3"/>
      <c r="F125" s="3"/>
      <c r="G125" s="8"/>
      <c r="H125" s="3"/>
      <c r="I125" s="3"/>
      <c r="J125" s="3"/>
      <c r="K125" s="3"/>
    </row>
    <row r="126" ht="13.5" customHeight="1">
      <c r="A126" s="3"/>
      <c r="B126" s="3"/>
      <c r="C126" s="3"/>
      <c r="D126" s="3"/>
      <c r="E126" s="3"/>
      <c r="F126" s="3"/>
      <c r="G126" s="8"/>
      <c r="H126" s="3"/>
      <c r="I126" s="3"/>
      <c r="J126" s="3"/>
      <c r="K126" s="3"/>
    </row>
    <row r="127" ht="13.5" customHeight="1">
      <c r="A127" s="3"/>
      <c r="B127" s="3"/>
      <c r="C127" s="3"/>
      <c r="D127" s="3"/>
      <c r="E127" s="3"/>
      <c r="F127" s="3"/>
      <c r="G127" s="8"/>
      <c r="H127" s="3"/>
      <c r="I127" s="3"/>
      <c r="J127" s="3"/>
      <c r="K127" s="3"/>
    </row>
    <row r="128" ht="13.5" customHeight="1">
      <c r="A128" s="3"/>
      <c r="B128" s="3"/>
      <c r="C128" s="3"/>
      <c r="D128" s="3"/>
      <c r="E128" s="3"/>
      <c r="F128" s="3"/>
      <c r="G128" s="8"/>
      <c r="H128" s="3"/>
      <c r="I128" s="3"/>
      <c r="J128" s="3"/>
      <c r="K128" s="3"/>
    </row>
    <row r="129" ht="13.5" customHeight="1">
      <c r="A129" s="3"/>
      <c r="B129" s="3"/>
      <c r="C129" s="3"/>
      <c r="D129" s="3"/>
      <c r="E129" s="3"/>
      <c r="F129" s="3"/>
      <c r="G129" s="8"/>
      <c r="H129" s="3"/>
      <c r="I129" s="3"/>
      <c r="J129" s="3"/>
      <c r="K129" s="3"/>
    </row>
    <row r="130" ht="13.5" customHeight="1">
      <c r="A130" s="3"/>
      <c r="B130" s="3"/>
      <c r="C130" s="3"/>
      <c r="D130" s="3"/>
      <c r="E130" s="3"/>
      <c r="F130" s="3"/>
      <c r="G130" s="8"/>
      <c r="H130" s="3"/>
      <c r="I130" s="3"/>
      <c r="J130" s="3"/>
      <c r="K130" s="3"/>
    </row>
    <row r="131" ht="13.5" customHeight="1">
      <c r="A131" s="3"/>
      <c r="B131" s="3"/>
      <c r="C131" s="3"/>
      <c r="D131" s="3"/>
      <c r="E131" s="3"/>
      <c r="F131" s="3"/>
      <c r="G131" s="8"/>
      <c r="H131" s="3"/>
      <c r="I131" s="3"/>
      <c r="J131" s="3"/>
      <c r="K131" s="3"/>
    </row>
    <row r="132" ht="13.5" customHeight="1">
      <c r="A132" s="3"/>
      <c r="B132" s="3"/>
      <c r="C132" s="3"/>
      <c r="D132" s="3"/>
      <c r="E132" s="3"/>
      <c r="F132" s="3"/>
      <c r="G132" s="8"/>
      <c r="H132" s="3"/>
      <c r="I132" s="3"/>
      <c r="J132" s="3"/>
      <c r="K132" s="3"/>
    </row>
    <row r="133" ht="13.5" customHeight="1">
      <c r="A133" s="3"/>
      <c r="B133" s="3"/>
      <c r="C133" s="3"/>
      <c r="D133" s="3"/>
      <c r="E133" s="3"/>
      <c r="F133" s="3"/>
      <c r="G133" s="8"/>
      <c r="H133" s="3"/>
      <c r="I133" s="3"/>
      <c r="J133" s="3"/>
      <c r="K133" s="3"/>
    </row>
    <row r="134" ht="13.5" customHeight="1">
      <c r="A134" s="3"/>
      <c r="B134" s="3"/>
      <c r="C134" s="3"/>
      <c r="D134" s="3"/>
      <c r="E134" s="3"/>
      <c r="F134" s="3"/>
      <c r="G134" s="8"/>
      <c r="H134" s="3"/>
      <c r="I134" s="3"/>
      <c r="J134" s="3"/>
      <c r="K134" s="3"/>
    </row>
    <row r="135" ht="13.5" customHeight="1">
      <c r="A135" s="3"/>
      <c r="B135" s="3"/>
      <c r="C135" s="3"/>
      <c r="D135" s="3"/>
      <c r="E135" s="3"/>
      <c r="F135" s="3"/>
      <c r="G135" s="8"/>
      <c r="H135" s="3"/>
      <c r="I135" s="3"/>
      <c r="J135" s="3"/>
      <c r="K135" s="3"/>
    </row>
    <row r="136" ht="13.5" customHeight="1">
      <c r="A136" s="3"/>
      <c r="B136" s="3"/>
      <c r="C136" s="3"/>
      <c r="D136" s="3"/>
      <c r="E136" s="3"/>
      <c r="F136" s="3"/>
      <c r="G136" s="8"/>
      <c r="H136" s="3"/>
      <c r="I136" s="3"/>
      <c r="J136" s="3"/>
      <c r="K136" s="3"/>
    </row>
    <row r="137" ht="13.5" customHeight="1">
      <c r="A137" s="3"/>
      <c r="B137" s="3"/>
      <c r="C137" s="3"/>
      <c r="D137" s="3"/>
      <c r="E137" s="3"/>
      <c r="F137" s="3"/>
      <c r="G137" s="8"/>
      <c r="H137" s="3"/>
      <c r="I137" s="3"/>
      <c r="J137" s="3"/>
      <c r="K137" s="3"/>
    </row>
    <row r="138" ht="13.5" customHeight="1">
      <c r="A138" s="3"/>
      <c r="B138" s="3"/>
      <c r="C138" s="3"/>
      <c r="D138" s="3"/>
      <c r="E138" s="3"/>
      <c r="F138" s="3"/>
      <c r="G138" s="8"/>
      <c r="H138" s="3"/>
      <c r="I138" s="3"/>
      <c r="J138" s="3"/>
      <c r="K138" s="3"/>
    </row>
    <row r="139" ht="13.5" customHeight="1">
      <c r="A139" s="3"/>
      <c r="B139" s="3"/>
      <c r="C139" s="3"/>
      <c r="D139" s="3"/>
      <c r="E139" s="3"/>
      <c r="F139" s="3"/>
      <c r="G139" s="8"/>
      <c r="H139" s="3"/>
      <c r="I139" s="3"/>
      <c r="J139" s="3"/>
      <c r="K139" s="3"/>
    </row>
    <row r="140" ht="13.5" customHeight="1">
      <c r="A140" s="3"/>
      <c r="B140" s="3"/>
      <c r="C140" s="3"/>
      <c r="D140" s="3"/>
      <c r="E140" s="3"/>
      <c r="F140" s="3"/>
      <c r="G140" s="8"/>
      <c r="H140" s="3"/>
      <c r="I140" s="3"/>
      <c r="J140" s="3"/>
      <c r="K140" s="3"/>
    </row>
    <row r="141" ht="13.5" customHeight="1">
      <c r="A141" s="3"/>
      <c r="B141" s="3"/>
      <c r="C141" s="3"/>
      <c r="D141" s="3"/>
      <c r="E141" s="3"/>
      <c r="F141" s="3"/>
      <c r="G141" s="8"/>
      <c r="H141" s="3"/>
      <c r="I141" s="3"/>
      <c r="J141" s="3"/>
      <c r="K141" s="3"/>
    </row>
    <row r="142" ht="13.5" customHeight="1">
      <c r="A142" s="3"/>
      <c r="B142" s="3"/>
      <c r="C142" s="3"/>
      <c r="D142" s="3"/>
      <c r="E142" s="3"/>
      <c r="F142" s="3"/>
      <c r="G142" s="8"/>
      <c r="H142" s="3"/>
      <c r="I142" s="3"/>
      <c r="J142" s="3"/>
      <c r="K142" s="3"/>
    </row>
    <row r="143" ht="13.5" customHeight="1">
      <c r="A143" s="3"/>
      <c r="B143" s="3"/>
      <c r="C143" s="3"/>
      <c r="D143" s="3"/>
      <c r="E143" s="3"/>
      <c r="F143" s="3"/>
      <c r="G143" s="8"/>
      <c r="H143" s="3"/>
      <c r="I143" s="3"/>
      <c r="J143" s="3"/>
      <c r="K143" s="3"/>
    </row>
    <row r="144" ht="13.5" customHeight="1">
      <c r="A144" s="3"/>
      <c r="B144" s="3"/>
      <c r="C144" s="3"/>
      <c r="D144" s="3"/>
      <c r="E144" s="3"/>
      <c r="F144" s="3"/>
      <c r="G144" s="8"/>
      <c r="H144" s="3"/>
      <c r="I144" s="3"/>
      <c r="J144" s="3"/>
      <c r="K144" s="3"/>
    </row>
    <row r="145" ht="13.5" customHeight="1">
      <c r="A145" s="3"/>
      <c r="B145" s="3"/>
      <c r="C145" s="3"/>
      <c r="D145" s="3"/>
      <c r="E145" s="3"/>
      <c r="F145" s="3"/>
      <c r="G145" s="8"/>
      <c r="H145" s="3"/>
      <c r="I145" s="3"/>
      <c r="J145" s="3"/>
      <c r="K145" s="3"/>
    </row>
    <row r="146" ht="13.5" customHeight="1">
      <c r="A146" s="3"/>
      <c r="B146" s="3"/>
      <c r="C146" s="3"/>
      <c r="D146" s="3"/>
      <c r="E146" s="3"/>
      <c r="F146" s="3"/>
      <c r="G146" s="8"/>
      <c r="H146" s="3"/>
      <c r="I146" s="3"/>
      <c r="J146" s="3"/>
      <c r="K146" s="3"/>
    </row>
    <row r="147" ht="13.5" customHeight="1">
      <c r="A147" s="3"/>
      <c r="B147" s="3"/>
      <c r="C147" s="3"/>
      <c r="D147" s="3"/>
      <c r="E147" s="3"/>
      <c r="F147" s="3"/>
      <c r="G147" s="8"/>
      <c r="H147" s="3"/>
      <c r="I147" s="3"/>
      <c r="J147" s="3"/>
      <c r="K147" s="3"/>
    </row>
    <row r="148" ht="13.5" customHeight="1">
      <c r="A148" s="3"/>
      <c r="B148" s="3"/>
      <c r="C148" s="3"/>
      <c r="D148" s="3"/>
      <c r="E148" s="3"/>
      <c r="F148" s="3"/>
      <c r="G148" s="8"/>
      <c r="H148" s="3"/>
      <c r="I148" s="3"/>
      <c r="J148" s="3"/>
      <c r="K148" s="3"/>
    </row>
    <row r="149" ht="13.5" customHeight="1">
      <c r="A149" s="3"/>
      <c r="B149" s="3"/>
      <c r="C149" s="3"/>
      <c r="D149" s="3"/>
      <c r="E149" s="3"/>
      <c r="F149" s="3"/>
      <c r="G149" s="8"/>
      <c r="H149" s="3"/>
      <c r="I149" s="3"/>
      <c r="J149" s="3"/>
      <c r="K149" s="3"/>
    </row>
    <row r="150" ht="13.5" customHeight="1">
      <c r="A150" s="3"/>
      <c r="B150" s="3"/>
      <c r="C150" s="3"/>
      <c r="D150" s="3"/>
      <c r="E150" s="3"/>
      <c r="F150" s="3"/>
      <c r="G150" s="8"/>
      <c r="H150" s="3"/>
      <c r="I150" s="3"/>
      <c r="J150" s="3"/>
      <c r="K150" s="3"/>
    </row>
    <row r="151" ht="13.5" customHeight="1">
      <c r="A151" s="3"/>
      <c r="B151" s="3"/>
      <c r="C151" s="3"/>
      <c r="D151" s="3"/>
      <c r="E151" s="3"/>
      <c r="F151" s="3"/>
      <c r="G151" s="8"/>
      <c r="H151" s="3"/>
      <c r="I151" s="3"/>
      <c r="J151" s="3"/>
      <c r="K151" s="3"/>
    </row>
    <row r="152" ht="13.5" customHeight="1">
      <c r="A152" s="3"/>
      <c r="B152" s="3"/>
      <c r="C152" s="3"/>
      <c r="D152" s="3"/>
      <c r="E152" s="3"/>
      <c r="F152" s="3"/>
      <c r="G152" s="8"/>
      <c r="H152" s="3"/>
      <c r="I152" s="3"/>
      <c r="J152" s="3"/>
      <c r="K152" s="3"/>
    </row>
    <row r="153" ht="13.5" customHeight="1">
      <c r="A153" s="3"/>
      <c r="B153" s="3"/>
      <c r="C153" s="3"/>
      <c r="D153" s="3"/>
      <c r="E153" s="3"/>
      <c r="F153" s="3"/>
      <c r="G153" s="8"/>
      <c r="H153" s="3"/>
      <c r="I153" s="3"/>
      <c r="J153" s="3"/>
      <c r="K153" s="3"/>
    </row>
    <row r="154" ht="13.5" customHeight="1">
      <c r="A154" s="3"/>
      <c r="B154" s="3"/>
      <c r="C154" s="3"/>
      <c r="D154" s="3"/>
      <c r="E154" s="3"/>
      <c r="F154" s="3"/>
      <c r="G154" s="8"/>
      <c r="H154" s="3"/>
      <c r="I154" s="3"/>
      <c r="J154" s="3"/>
      <c r="K154" s="3"/>
    </row>
    <row r="155" ht="13.5" customHeight="1">
      <c r="A155" s="3"/>
      <c r="B155" s="3"/>
      <c r="C155" s="3"/>
      <c r="D155" s="3"/>
      <c r="E155" s="3"/>
      <c r="F155" s="3"/>
      <c r="G155" s="8"/>
      <c r="H155" s="3"/>
      <c r="I155" s="3"/>
      <c r="J155" s="3"/>
      <c r="K155" s="3"/>
    </row>
    <row r="156" ht="13.5" customHeight="1">
      <c r="A156" s="3"/>
      <c r="B156" s="3"/>
      <c r="C156" s="3"/>
      <c r="D156" s="3"/>
      <c r="E156" s="3"/>
      <c r="F156" s="3"/>
      <c r="G156" s="8"/>
      <c r="H156" s="3"/>
      <c r="I156" s="3"/>
      <c r="J156" s="3"/>
      <c r="K156" s="3"/>
    </row>
    <row r="157" ht="13.5" customHeight="1">
      <c r="A157" s="3"/>
      <c r="B157" s="3"/>
      <c r="C157" s="3"/>
      <c r="D157" s="3"/>
      <c r="E157" s="3"/>
      <c r="F157" s="3"/>
      <c r="G157" s="8"/>
      <c r="H157" s="3"/>
      <c r="I157" s="3"/>
      <c r="J157" s="3"/>
      <c r="K157" s="3"/>
    </row>
    <row r="158" ht="13.5" customHeight="1">
      <c r="A158" s="3"/>
      <c r="B158" s="3"/>
      <c r="C158" s="3"/>
      <c r="D158" s="3"/>
      <c r="E158" s="3"/>
      <c r="F158" s="3"/>
      <c r="G158" s="8"/>
      <c r="H158" s="3"/>
      <c r="I158" s="3"/>
      <c r="J158" s="3"/>
      <c r="K158" s="3"/>
    </row>
    <row r="159" ht="13.5" customHeight="1">
      <c r="A159" s="3"/>
      <c r="B159" s="3"/>
      <c r="C159" s="3"/>
      <c r="D159" s="3"/>
      <c r="E159" s="3"/>
      <c r="F159" s="3"/>
      <c r="G159" s="8"/>
      <c r="H159" s="3"/>
      <c r="I159" s="3"/>
      <c r="J159" s="3"/>
      <c r="K159" s="3"/>
    </row>
    <row r="160" ht="13.5" customHeight="1">
      <c r="A160" s="3"/>
      <c r="B160" s="3"/>
      <c r="C160" s="3"/>
      <c r="D160" s="3"/>
      <c r="E160" s="3"/>
      <c r="F160" s="3"/>
      <c r="G160" s="8"/>
      <c r="H160" s="3"/>
      <c r="I160" s="3"/>
      <c r="J160" s="3"/>
      <c r="K160" s="3"/>
    </row>
    <row r="161" ht="13.5" customHeight="1">
      <c r="A161" s="3"/>
      <c r="B161" s="3"/>
      <c r="C161" s="3"/>
      <c r="D161" s="3"/>
      <c r="E161" s="3"/>
      <c r="F161" s="3"/>
      <c r="G161" s="8"/>
      <c r="H161" s="3"/>
      <c r="I161" s="3"/>
      <c r="J161" s="3"/>
      <c r="K161" s="3"/>
    </row>
    <row r="162" ht="13.5" customHeight="1">
      <c r="A162" s="3"/>
      <c r="B162" s="3"/>
      <c r="C162" s="3"/>
      <c r="D162" s="3"/>
      <c r="E162" s="3"/>
      <c r="F162" s="3"/>
      <c r="G162" s="8"/>
      <c r="H162" s="3"/>
      <c r="I162" s="3"/>
      <c r="J162" s="3"/>
      <c r="K162" s="3"/>
    </row>
    <row r="163" ht="13.5" customHeight="1">
      <c r="A163" s="3"/>
      <c r="B163" s="3"/>
      <c r="C163" s="3"/>
      <c r="D163" s="3"/>
      <c r="E163" s="3"/>
      <c r="F163" s="3"/>
      <c r="G163" s="8"/>
      <c r="H163" s="3"/>
      <c r="I163" s="3"/>
      <c r="J163" s="3"/>
      <c r="K163" s="3"/>
    </row>
    <row r="164" ht="13.5" customHeight="1">
      <c r="A164" s="3"/>
      <c r="B164" s="3"/>
      <c r="C164" s="3"/>
      <c r="D164" s="3"/>
      <c r="E164" s="3"/>
      <c r="F164" s="3"/>
      <c r="G164" s="8"/>
      <c r="H164" s="3"/>
      <c r="I164" s="3"/>
      <c r="J164" s="3"/>
      <c r="K164" s="3"/>
    </row>
    <row r="165" ht="13.5" customHeight="1">
      <c r="A165" s="3"/>
      <c r="B165" s="3"/>
      <c r="C165" s="3"/>
      <c r="D165" s="3"/>
      <c r="E165" s="3"/>
      <c r="F165" s="3"/>
      <c r="G165" s="8"/>
      <c r="H165" s="3"/>
      <c r="I165" s="3"/>
      <c r="J165" s="3"/>
      <c r="K165" s="3"/>
    </row>
    <row r="166" ht="13.5" customHeight="1">
      <c r="A166" s="3"/>
      <c r="B166" s="3"/>
      <c r="C166" s="3"/>
      <c r="D166" s="3"/>
      <c r="E166" s="3"/>
      <c r="F166" s="3"/>
      <c r="G166" s="8"/>
      <c r="H166" s="3"/>
      <c r="I166" s="3"/>
      <c r="J166" s="3"/>
      <c r="K166" s="3"/>
    </row>
    <row r="167" ht="13.5" customHeight="1">
      <c r="A167" s="3"/>
      <c r="B167" s="3"/>
      <c r="C167" s="3"/>
      <c r="D167" s="3"/>
      <c r="E167" s="3"/>
      <c r="F167" s="3"/>
      <c r="G167" s="8"/>
      <c r="H167" s="3"/>
      <c r="I167" s="3"/>
      <c r="J167" s="3"/>
      <c r="K167" s="3"/>
    </row>
    <row r="168" ht="13.5" customHeight="1">
      <c r="A168" s="3"/>
      <c r="B168" s="3"/>
      <c r="C168" s="3"/>
      <c r="D168" s="3"/>
      <c r="E168" s="3"/>
      <c r="F168" s="3"/>
      <c r="G168" s="8"/>
      <c r="H168" s="3"/>
      <c r="I168" s="3"/>
      <c r="J168" s="3"/>
      <c r="K168" s="3"/>
    </row>
    <row r="169" ht="13.5" customHeight="1">
      <c r="A169" s="3"/>
      <c r="B169" s="3"/>
      <c r="C169" s="3"/>
      <c r="D169" s="3"/>
      <c r="E169" s="3"/>
      <c r="F169" s="3"/>
      <c r="G169" s="8"/>
      <c r="H169" s="3"/>
      <c r="I169" s="3"/>
      <c r="J169" s="3"/>
      <c r="K169" s="3"/>
    </row>
    <row r="170" ht="13.5" customHeight="1">
      <c r="A170" s="3"/>
      <c r="B170" s="3"/>
      <c r="C170" s="3"/>
      <c r="D170" s="3"/>
      <c r="E170" s="3"/>
      <c r="F170" s="3"/>
      <c r="G170" s="8"/>
      <c r="H170" s="3"/>
      <c r="I170" s="3"/>
      <c r="J170" s="3"/>
      <c r="K170" s="3"/>
    </row>
    <row r="171" ht="13.5" customHeight="1">
      <c r="A171" s="3"/>
      <c r="B171" s="3"/>
      <c r="C171" s="3"/>
      <c r="D171" s="3"/>
      <c r="E171" s="3"/>
      <c r="F171" s="3"/>
      <c r="G171" s="8"/>
      <c r="H171" s="3"/>
      <c r="I171" s="3"/>
      <c r="J171" s="3"/>
      <c r="K171" s="3"/>
    </row>
    <row r="172" ht="13.5" customHeight="1">
      <c r="A172" s="3"/>
      <c r="B172" s="3"/>
      <c r="C172" s="3"/>
      <c r="D172" s="3"/>
      <c r="E172" s="3"/>
      <c r="F172" s="3"/>
      <c r="G172" s="8"/>
      <c r="H172" s="3"/>
      <c r="I172" s="3"/>
      <c r="J172" s="3"/>
      <c r="K172" s="3"/>
    </row>
    <row r="173" ht="13.5" customHeight="1">
      <c r="A173" s="3"/>
      <c r="B173" s="3"/>
      <c r="C173" s="3"/>
      <c r="D173" s="3"/>
      <c r="E173" s="3"/>
      <c r="F173" s="3"/>
      <c r="G173" s="8"/>
      <c r="H173" s="3"/>
      <c r="I173" s="3"/>
      <c r="J173" s="3"/>
      <c r="K173" s="3"/>
    </row>
    <row r="174" ht="13.5" customHeight="1">
      <c r="A174" s="3"/>
      <c r="B174" s="3"/>
      <c r="C174" s="3"/>
      <c r="D174" s="3"/>
      <c r="E174" s="3"/>
      <c r="F174" s="3"/>
      <c r="G174" s="8"/>
      <c r="H174" s="3"/>
      <c r="I174" s="3"/>
      <c r="J174" s="3"/>
      <c r="K174" s="3"/>
    </row>
    <row r="175" ht="13.5" customHeight="1">
      <c r="A175" s="3"/>
      <c r="B175" s="3"/>
      <c r="C175" s="3"/>
      <c r="D175" s="3"/>
      <c r="E175" s="3"/>
      <c r="F175" s="3"/>
      <c r="G175" s="8"/>
      <c r="H175" s="3"/>
      <c r="I175" s="3"/>
      <c r="J175" s="3"/>
      <c r="K175" s="3"/>
    </row>
    <row r="176" ht="13.5" customHeight="1">
      <c r="A176" s="3"/>
      <c r="B176" s="3"/>
      <c r="C176" s="3"/>
      <c r="D176" s="3"/>
      <c r="E176" s="3"/>
      <c r="F176" s="3"/>
      <c r="G176" s="8"/>
      <c r="H176" s="3"/>
      <c r="I176" s="3"/>
      <c r="J176" s="3"/>
      <c r="K176" s="3"/>
    </row>
    <row r="177" ht="13.5" customHeight="1">
      <c r="A177" s="3"/>
      <c r="B177" s="3"/>
      <c r="C177" s="3"/>
      <c r="D177" s="3"/>
      <c r="E177" s="3"/>
      <c r="F177" s="3"/>
      <c r="G177" s="8"/>
      <c r="H177" s="3"/>
      <c r="I177" s="3"/>
      <c r="J177" s="3"/>
      <c r="K177" s="3"/>
    </row>
    <row r="178" ht="13.5" customHeight="1">
      <c r="A178" s="3"/>
      <c r="B178" s="3"/>
      <c r="C178" s="3"/>
      <c r="D178" s="3"/>
      <c r="E178" s="3"/>
      <c r="F178" s="3"/>
      <c r="G178" s="8"/>
      <c r="H178" s="3"/>
      <c r="I178" s="3"/>
      <c r="J178" s="3"/>
      <c r="K178" s="3"/>
    </row>
    <row r="179" ht="13.5" customHeight="1">
      <c r="A179" s="3"/>
      <c r="B179" s="3"/>
      <c r="C179" s="3"/>
      <c r="D179" s="3"/>
      <c r="E179" s="3"/>
      <c r="F179" s="3"/>
      <c r="G179" s="8"/>
      <c r="H179" s="3"/>
      <c r="I179" s="3"/>
      <c r="J179" s="3"/>
      <c r="K179" s="3"/>
    </row>
    <row r="180" ht="13.5" customHeight="1">
      <c r="A180" s="3"/>
      <c r="B180" s="3"/>
      <c r="C180" s="3"/>
      <c r="D180" s="3"/>
      <c r="E180" s="3"/>
      <c r="F180" s="3"/>
      <c r="G180" s="8"/>
      <c r="H180" s="3"/>
      <c r="I180" s="3"/>
      <c r="J180" s="3"/>
      <c r="K180" s="3"/>
    </row>
    <row r="181" ht="13.5" customHeight="1">
      <c r="A181" s="3"/>
      <c r="B181" s="3"/>
      <c r="C181" s="3"/>
      <c r="D181" s="3"/>
      <c r="E181" s="3"/>
      <c r="F181" s="3"/>
      <c r="G181" s="8"/>
      <c r="H181" s="3"/>
      <c r="I181" s="3"/>
      <c r="J181" s="3"/>
      <c r="K181" s="3"/>
    </row>
    <row r="182" ht="13.5" customHeight="1">
      <c r="A182" s="3"/>
      <c r="B182" s="3"/>
      <c r="C182" s="3"/>
      <c r="D182" s="3"/>
      <c r="E182" s="3"/>
      <c r="F182" s="3"/>
      <c r="G182" s="8"/>
      <c r="H182" s="3"/>
      <c r="I182" s="3"/>
      <c r="J182" s="3"/>
      <c r="K182" s="3"/>
    </row>
    <row r="183" ht="13.5" customHeight="1">
      <c r="A183" s="3"/>
      <c r="B183" s="3"/>
      <c r="C183" s="3"/>
      <c r="D183" s="3"/>
      <c r="E183" s="3"/>
      <c r="F183" s="3"/>
      <c r="G183" s="8"/>
      <c r="H183" s="3"/>
      <c r="I183" s="3"/>
      <c r="J183" s="3"/>
      <c r="K183" s="3"/>
    </row>
    <row r="184" ht="13.5" customHeight="1">
      <c r="A184" s="3"/>
      <c r="B184" s="3"/>
      <c r="C184" s="3"/>
      <c r="D184" s="3"/>
      <c r="E184" s="3"/>
      <c r="F184" s="3"/>
      <c r="G184" s="8"/>
      <c r="H184" s="3"/>
      <c r="I184" s="3"/>
      <c r="J184" s="3"/>
      <c r="K184" s="3"/>
    </row>
    <row r="185" ht="13.5" customHeight="1">
      <c r="A185" s="3"/>
      <c r="B185" s="3"/>
      <c r="C185" s="3"/>
      <c r="D185" s="3"/>
      <c r="E185" s="3"/>
      <c r="F185" s="3"/>
      <c r="G185" s="8"/>
      <c r="H185" s="3"/>
      <c r="I185" s="3"/>
      <c r="J185" s="3"/>
      <c r="K185" s="3"/>
    </row>
    <row r="186" ht="13.5" customHeight="1">
      <c r="A186" s="3"/>
      <c r="B186" s="3"/>
      <c r="C186" s="3"/>
      <c r="D186" s="3"/>
      <c r="E186" s="3"/>
      <c r="F186" s="3"/>
      <c r="G186" s="8"/>
      <c r="H186" s="3"/>
      <c r="I186" s="3"/>
      <c r="J186" s="3"/>
      <c r="K186" s="3"/>
    </row>
    <row r="187" ht="13.5" customHeight="1">
      <c r="A187" s="3"/>
      <c r="B187" s="3"/>
      <c r="C187" s="3"/>
      <c r="D187" s="3"/>
      <c r="E187" s="3"/>
      <c r="F187" s="3"/>
      <c r="G187" s="8"/>
      <c r="H187" s="3"/>
      <c r="I187" s="3"/>
      <c r="J187" s="3"/>
      <c r="K187" s="3"/>
    </row>
    <row r="188" ht="13.5" customHeight="1">
      <c r="A188" s="3"/>
      <c r="B188" s="3"/>
      <c r="C188" s="3"/>
      <c r="D188" s="3"/>
      <c r="E188" s="3"/>
      <c r="F188" s="3"/>
      <c r="G188" s="8"/>
      <c r="H188" s="3"/>
      <c r="I188" s="3"/>
      <c r="J188" s="3"/>
      <c r="K188" s="3"/>
    </row>
    <row r="189" ht="13.5" customHeight="1">
      <c r="A189" s="3"/>
      <c r="B189" s="3"/>
      <c r="C189" s="3"/>
      <c r="D189" s="3"/>
      <c r="E189" s="3"/>
      <c r="F189" s="3"/>
      <c r="G189" s="8"/>
      <c r="H189" s="3"/>
      <c r="I189" s="3"/>
      <c r="J189" s="3"/>
      <c r="K189" s="3"/>
    </row>
    <row r="190" ht="13.5" customHeight="1">
      <c r="A190" s="3"/>
      <c r="B190" s="3"/>
      <c r="C190" s="3"/>
      <c r="D190" s="3"/>
      <c r="E190" s="3"/>
      <c r="F190" s="3"/>
      <c r="G190" s="8"/>
      <c r="H190" s="3"/>
      <c r="I190" s="3"/>
      <c r="J190" s="3"/>
      <c r="K190" s="3"/>
    </row>
    <row r="191" ht="13.5" customHeight="1">
      <c r="A191" s="3"/>
      <c r="B191" s="3"/>
      <c r="C191" s="3"/>
      <c r="D191" s="3"/>
      <c r="E191" s="3"/>
      <c r="F191" s="3"/>
      <c r="G191" s="8"/>
      <c r="H191" s="3"/>
      <c r="I191" s="3"/>
      <c r="J191" s="3"/>
      <c r="K191" s="3"/>
    </row>
    <row r="192" ht="13.5" customHeight="1">
      <c r="A192" s="3"/>
      <c r="B192" s="3"/>
      <c r="C192" s="3"/>
      <c r="D192" s="3"/>
      <c r="E192" s="3"/>
      <c r="F192" s="3"/>
      <c r="G192" s="8"/>
      <c r="H192" s="3"/>
      <c r="I192" s="3"/>
      <c r="J192" s="3"/>
      <c r="K192" s="3"/>
    </row>
    <row r="193" ht="13.5" customHeight="1">
      <c r="A193" s="3"/>
      <c r="B193" s="3"/>
      <c r="C193" s="3"/>
      <c r="D193" s="3"/>
      <c r="E193" s="3"/>
      <c r="F193" s="3"/>
      <c r="G193" s="8"/>
      <c r="H193" s="3"/>
      <c r="I193" s="3"/>
      <c r="J193" s="3"/>
      <c r="K193" s="3"/>
    </row>
    <row r="194" ht="13.5" customHeight="1">
      <c r="A194" s="3"/>
      <c r="B194" s="3"/>
      <c r="C194" s="3"/>
      <c r="D194" s="3"/>
      <c r="E194" s="3"/>
      <c r="F194" s="3"/>
      <c r="G194" s="8"/>
      <c r="H194" s="3"/>
      <c r="I194" s="3"/>
      <c r="J194" s="3"/>
      <c r="K194" s="3"/>
    </row>
    <row r="195" ht="13.5" customHeight="1">
      <c r="A195" s="3"/>
      <c r="B195" s="3"/>
      <c r="C195" s="3"/>
      <c r="D195" s="3"/>
      <c r="E195" s="3"/>
      <c r="F195" s="3"/>
      <c r="G195" s="8"/>
      <c r="H195" s="3"/>
      <c r="I195" s="3"/>
      <c r="J195" s="3"/>
      <c r="K195" s="3"/>
    </row>
    <row r="196" ht="13.5" customHeight="1">
      <c r="A196" s="3"/>
      <c r="B196" s="3"/>
      <c r="C196" s="3"/>
      <c r="D196" s="3"/>
      <c r="E196" s="3"/>
      <c r="F196" s="3"/>
      <c r="G196" s="8"/>
      <c r="H196" s="3"/>
      <c r="I196" s="3"/>
      <c r="J196" s="3"/>
      <c r="K196" s="3"/>
    </row>
    <row r="197" ht="13.5" customHeight="1">
      <c r="A197" s="3"/>
      <c r="B197" s="3"/>
      <c r="C197" s="3"/>
      <c r="D197" s="3"/>
      <c r="E197" s="3"/>
      <c r="F197" s="3"/>
      <c r="G197" s="8"/>
      <c r="H197" s="3"/>
      <c r="I197" s="3"/>
      <c r="J197" s="3"/>
      <c r="K197" s="3"/>
    </row>
    <row r="198" ht="13.5" customHeight="1">
      <c r="A198" s="3"/>
      <c r="B198" s="3"/>
      <c r="C198" s="3"/>
      <c r="D198" s="3"/>
      <c r="E198" s="3"/>
      <c r="F198" s="3"/>
      <c r="G198" s="8"/>
      <c r="H198" s="3"/>
      <c r="I198" s="3"/>
      <c r="J198" s="3"/>
      <c r="K198" s="3"/>
    </row>
    <row r="199" ht="13.5" customHeight="1">
      <c r="A199" s="3"/>
      <c r="B199" s="3"/>
      <c r="C199" s="3"/>
      <c r="D199" s="3"/>
      <c r="E199" s="3"/>
      <c r="F199" s="3"/>
      <c r="G199" s="8"/>
      <c r="H199" s="3"/>
      <c r="I199" s="3"/>
      <c r="J199" s="3"/>
      <c r="K199" s="3"/>
    </row>
    <row r="200" ht="13.5" customHeight="1">
      <c r="A200" s="3"/>
      <c r="B200" s="3"/>
      <c r="C200" s="3"/>
      <c r="D200" s="3"/>
      <c r="E200" s="3"/>
      <c r="F200" s="3"/>
      <c r="G200" s="8"/>
      <c r="H200" s="3"/>
      <c r="I200" s="3"/>
      <c r="J200" s="3"/>
      <c r="K200" s="3"/>
    </row>
    <row r="201" ht="13.5" customHeight="1">
      <c r="A201" s="3"/>
      <c r="B201" s="3"/>
      <c r="C201" s="3"/>
      <c r="D201" s="3"/>
      <c r="E201" s="3"/>
      <c r="F201" s="3"/>
      <c r="G201" s="8"/>
      <c r="H201" s="3"/>
      <c r="I201" s="3"/>
      <c r="J201" s="3"/>
      <c r="K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D2:D201">
      <formula1>"Project,RKAP,CAPEX,OPEX"</formula1>
    </dataValidation>
    <dataValidation type="list" allowBlank="1" sqref="J2:J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2.0" topLeftCell="F3" activePane="bottomRight" state="frozen"/>
      <selection activeCell="F1" sqref="F1" pane="topRight"/>
      <selection activeCell="A3" sqref="A3" pane="bottomLeft"/>
      <selection activeCell="F3" sqref="F3" pane="bottomRight"/>
    </sheetView>
  </sheetViews>
  <sheetFormatPr customHeight="1" defaultColWidth="12.63" defaultRowHeight="15.0"/>
  <cols>
    <col customWidth="1" min="1" max="1" width="8.25"/>
    <col customWidth="1" min="2" max="2" width="12.0"/>
    <col customWidth="1" min="3" max="3" width="14.0"/>
    <col customWidth="1" min="4" max="4" width="12.0"/>
    <col customWidth="1" min="5" max="5" width="17.88"/>
    <col customWidth="1" min="6" max="6" width="74.5"/>
    <col customWidth="1" min="7" max="7" width="21.0"/>
    <col customWidth="1" min="8" max="9" width="12.0"/>
    <col customWidth="1" min="10" max="10" width="17.0"/>
    <col customWidth="1" min="11" max="11" width="12.0"/>
    <col customWidth="1" min="12" max="12" width="18.0"/>
    <col customWidth="1" min="13" max="13" width="30.0"/>
    <col customWidth="1" min="14" max="26" width="8.63"/>
  </cols>
  <sheetData>
    <row r="1" ht="18.0" customHeight="1">
      <c r="A1" s="2" t="s">
        <v>1</v>
      </c>
      <c r="B1" s="4" t="s">
        <v>6</v>
      </c>
      <c r="C1" s="4" t="s">
        <v>19</v>
      </c>
      <c r="D1" s="4" t="s">
        <v>20</v>
      </c>
      <c r="E1" s="4" t="s">
        <v>22</v>
      </c>
      <c r="F1" s="2" t="s">
        <v>25</v>
      </c>
      <c r="G1" s="2" t="s">
        <v>27</v>
      </c>
      <c r="H1" s="2" t="s">
        <v>15</v>
      </c>
      <c r="I1" s="2" t="s">
        <v>30</v>
      </c>
      <c r="J1" s="2" t="s">
        <v>32</v>
      </c>
      <c r="K1" s="2" t="s">
        <v>3</v>
      </c>
      <c r="L1" s="2" t="s">
        <v>35</v>
      </c>
      <c r="M1" s="2" t="s">
        <v>17</v>
      </c>
    </row>
    <row r="2" ht="13.5" customHeight="1">
      <c r="A2" s="7">
        <v>1.0</v>
      </c>
      <c r="B2" s="9">
        <v>46232.0</v>
      </c>
      <c r="C2" s="5" t="s">
        <v>44</v>
      </c>
      <c r="D2" s="5" t="s">
        <v>46</v>
      </c>
      <c r="E2" s="13" t="s">
        <v>49</v>
      </c>
      <c r="F2" s="13" t="s">
        <v>51</v>
      </c>
      <c r="G2" s="8"/>
      <c r="H2" s="7" t="s">
        <v>53</v>
      </c>
      <c r="I2" s="3"/>
      <c r="J2" s="14">
        <v>900.0</v>
      </c>
      <c r="K2" s="5" t="s">
        <v>21</v>
      </c>
      <c r="L2" s="8"/>
      <c r="M2" s="3"/>
    </row>
    <row r="3" ht="13.5" customHeight="1">
      <c r="A3" s="3"/>
      <c r="B3" s="15">
        <v>46214.0</v>
      </c>
      <c r="C3" s="5" t="s">
        <v>70</v>
      </c>
      <c r="D3" s="5" t="s">
        <v>71</v>
      </c>
      <c r="E3" s="5" t="s">
        <v>49</v>
      </c>
      <c r="F3" s="5" t="s">
        <v>72</v>
      </c>
      <c r="G3" s="8"/>
      <c r="H3" s="3"/>
      <c r="I3" s="3"/>
      <c r="J3" s="3"/>
      <c r="K3" s="5" t="s">
        <v>21</v>
      </c>
      <c r="L3" s="8"/>
      <c r="M3" s="5" t="s">
        <v>74</v>
      </c>
    </row>
    <row r="4" ht="15.75" customHeight="1">
      <c r="A4" s="3"/>
      <c r="B4" s="16">
        <v>46118.0</v>
      </c>
      <c r="C4" s="5" t="s">
        <v>76</v>
      </c>
      <c r="D4" s="5" t="s">
        <v>77</v>
      </c>
      <c r="E4" s="5" t="s">
        <v>78</v>
      </c>
      <c r="F4" s="5" t="s">
        <v>80</v>
      </c>
      <c r="G4" s="8"/>
      <c r="H4" s="3"/>
      <c r="I4" s="3"/>
      <c r="J4" s="3"/>
      <c r="K4" s="5" t="s">
        <v>21</v>
      </c>
      <c r="L4" s="8"/>
      <c r="M4" s="3"/>
    </row>
    <row r="5" ht="15.75" customHeight="1">
      <c r="A5" s="3"/>
      <c r="B5" s="16">
        <v>46118.0</v>
      </c>
      <c r="C5" s="5" t="s">
        <v>76</v>
      </c>
      <c r="D5" s="5" t="s">
        <v>77</v>
      </c>
      <c r="E5" s="5" t="s">
        <v>78</v>
      </c>
      <c r="F5" s="5" t="s">
        <v>82</v>
      </c>
      <c r="G5" s="8"/>
      <c r="H5" s="3"/>
      <c r="I5" s="3"/>
      <c r="J5" s="3"/>
      <c r="K5" s="5" t="s">
        <v>21</v>
      </c>
      <c r="L5" s="8"/>
      <c r="M5" s="3"/>
    </row>
    <row r="6" ht="13.5" customHeight="1">
      <c r="A6" s="3"/>
      <c r="B6" s="16">
        <v>46115.0</v>
      </c>
      <c r="C6" s="5" t="s">
        <v>76</v>
      </c>
      <c r="D6" s="5" t="s">
        <v>77</v>
      </c>
      <c r="E6" s="5" t="s">
        <v>85</v>
      </c>
      <c r="F6" s="5" t="s">
        <v>86</v>
      </c>
      <c r="G6" s="8"/>
      <c r="H6" s="3"/>
      <c r="I6" s="3"/>
      <c r="J6" s="3"/>
      <c r="K6" s="5" t="s">
        <v>21</v>
      </c>
      <c r="L6" s="8"/>
      <c r="M6" s="3"/>
    </row>
    <row r="7" ht="13.5" customHeight="1">
      <c r="A7" s="3"/>
      <c r="B7" s="16">
        <v>46119.0</v>
      </c>
      <c r="C7" s="5" t="s">
        <v>76</v>
      </c>
      <c r="D7" s="5" t="s">
        <v>77</v>
      </c>
      <c r="E7" s="5" t="s">
        <v>89</v>
      </c>
      <c r="F7" s="5" t="s">
        <v>90</v>
      </c>
      <c r="G7" s="8"/>
      <c r="H7" s="3"/>
      <c r="I7" s="3"/>
      <c r="J7" s="3"/>
      <c r="K7" s="3"/>
      <c r="L7" s="8"/>
      <c r="M7" s="3"/>
    </row>
    <row r="8" ht="13.5" customHeight="1">
      <c r="A8" s="3"/>
      <c r="B8" s="16">
        <v>46115.0</v>
      </c>
      <c r="C8" s="5" t="s">
        <v>92</v>
      </c>
      <c r="D8" s="5" t="s">
        <v>77</v>
      </c>
      <c r="E8" s="5" t="s">
        <v>85</v>
      </c>
      <c r="F8" s="5" t="s">
        <v>94</v>
      </c>
      <c r="G8" s="8"/>
      <c r="H8" s="3"/>
      <c r="I8" s="3"/>
      <c r="J8" s="3"/>
      <c r="K8" s="5" t="s">
        <v>21</v>
      </c>
      <c r="L8" s="8"/>
      <c r="M8" s="3"/>
    </row>
    <row r="9">
      <c r="A9" s="3"/>
      <c r="B9" s="17">
        <v>46085.0</v>
      </c>
      <c r="C9" s="5" t="s">
        <v>92</v>
      </c>
      <c r="D9" s="5" t="s">
        <v>77</v>
      </c>
      <c r="E9" s="5" t="s">
        <v>96</v>
      </c>
      <c r="F9" s="5" t="s">
        <v>97</v>
      </c>
      <c r="G9" s="8"/>
      <c r="H9" s="3"/>
      <c r="I9" s="3"/>
      <c r="J9" s="3"/>
      <c r="K9" s="5" t="s">
        <v>21</v>
      </c>
      <c r="L9" s="8"/>
      <c r="M9" s="3"/>
    </row>
    <row r="10" ht="13.5" customHeight="1">
      <c r="A10" s="3"/>
      <c r="B10" s="15">
        <v>46214.0</v>
      </c>
      <c r="C10" s="5" t="s">
        <v>99</v>
      </c>
      <c r="D10" s="5" t="s">
        <v>71</v>
      </c>
      <c r="E10" s="5" t="s">
        <v>100</v>
      </c>
      <c r="F10" s="5" t="s">
        <v>72</v>
      </c>
      <c r="G10" s="8"/>
      <c r="H10" s="3"/>
      <c r="I10" s="3"/>
      <c r="J10" s="3"/>
      <c r="K10" s="5" t="s">
        <v>21</v>
      </c>
      <c r="L10" s="8"/>
      <c r="M10" s="18" t="s">
        <v>74</v>
      </c>
    </row>
    <row r="11" ht="13.5" customHeight="1">
      <c r="A11" s="3"/>
      <c r="B11" s="15">
        <v>46228.0</v>
      </c>
      <c r="C11" s="5" t="s">
        <v>99</v>
      </c>
      <c r="D11" s="5" t="s">
        <v>71</v>
      </c>
      <c r="E11" s="5" t="s">
        <v>100</v>
      </c>
      <c r="F11" s="5" t="s">
        <v>72</v>
      </c>
      <c r="G11" s="8"/>
      <c r="H11" s="3"/>
      <c r="I11" s="3"/>
      <c r="J11" s="3"/>
      <c r="K11" s="5" t="s">
        <v>21</v>
      </c>
      <c r="L11" s="8"/>
      <c r="M11" s="18" t="s">
        <v>74</v>
      </c>
    </row>
    <row r="12" ht="13.5" customHeight="1">
      <c r="A12" s="3"/>
      <c r="B12" s="15">
        <v>46228.0</v>
      </c>
      <c r="C12" s="5" t="s">
        <v>99</v>
      </c>
      <c r="D12" s="5" t="s">
        <v>71</v>
      </c>
      <c r="E12" s="5" t="s">
        <v>103</v>
      </c>
      <c r="F12" s="5" t="s">
        <v>72</v>
      </c>
      <c r="G12" s="8"/>
      <c r="H12" s="3"/>
      <c r="I12" s="3"/>
      <c r="J12" s="3"/>
      <c r="K12" s="5" t="s">
        <v>21</v>
      </c>
      <c r="L12" s="8"/>
      <c r="M12" s="19" t="s">
        <v>105</v>
      </c>
    </row>
    <row r="13" ht="13.5" customHeight="1">
      <c r="A13" s="3"/>
      <c r="B13" s="15">
        <v>46217.0</v>
      </c>
      <c r="C13" s="5" t="s">
        <v>99</v>
      </c>
      <c r="D13" s="5" t="s">
        <v>71</v>
      </c>
      <c r="E13" s="5" t="s">
        <v>107</v>
      </c>
      <c r="F13" s="5" t="s">
        <v>72</v>
      </c>
      <c r="G13" s="8"/>
      <c r="H13" s="3"/>
      <c r="I13" s="3"/>
      <c r="J13" s="3"/>
      <c r="K13" s="5" t="s">
        <v>21</v>
      </c>
      <c r="L13" s="8"/>
      <c r="M13" s="18" t="s">
        <v>74</v>
      </c>
    </row>
    <row r="14">
      <c r="A14" s="3"/>
      <c r="B14" s="15">
        <v>46231.0</v>
      </c>
      <c r="C14" s="5" t="s">
        <v>99</v>
      </c>
      <c r="D14" s="5" t="s">
        <v>71</v>
      </c>
      <c r="E14" s="5" t="s">
        <v>107</v>
      </c>
      <c r="F14" s="5" t="s">
        <v>72</v>
      </c>
      <c r="G14" s="8"/>
      <c r="H14" s="3"/>
      <c r="I14" s="3"/>
      <c r="J14" s="3"/>
      <c r="K14" s="5" t="s">
        <v>21</v>
      </c>
      <c r="L14" s="8"/>
      <c r="M14" s="18"/>
    </row>
    <row r="15" ht="13.5" customHeight="1">
      <c r="A15" s="3"/>
      <c r="B15" s="15">
        <v>46205.0</v>
      </c>
      <c r="C15" s="5" t="s">
        <v>99</v>
      </c>
      <c r="D15" s="5" t="s">
        <v>71</v>
      </c>
      <c r="E15" s="5" t="s">
        <v>110</v>
      </c>
      <c r="F15" s="5" t="s">
        <v>72</v>
      </c>
      <c r="G15" s="8"/>
      <c r="H15" s="3"/>
      <c r="I15" s="3"/>
      <c r="J15" s="3"/>
      <c r="K15" s="5" t="s">
        <v>21</v>
      </c>
      <c r="L15" s="8"/>
      <c r="M15" s="5" t="s">
        <v>112</v>
      </c>
    </row>
    <row r="16" ht="13.5" customHeight="1">
      <c r="B16" s="15">
        <v>46205.0</v>
      </c>
      <c r="C16" s="20" t="s">
        <v>99</v>
      </c>
      <c r="D16" s="5" t="s">
        <v>71</v>
      </c>
      <c r="E16" s="20" t="s">
        <v>114</v>
      </c>
      <c r="F16" s="5" t="s">
        <v>72</v>
      </c>
      <c r="K16" s="5" t="s">
        <v>21</v>
      </c>
      <c r="M16" s="5" t="s">
        <v>112</v>
      </c>
    </row>
    <row r="17" ht="13.5" customHeight="1">
      <c r="A17" s="3"/>
      <c r="B17" s="15">
        <v>46210.0</v>
      </c>
      <c r="C17" s="5" t="s">
        <v>116</v>
      </c>
      <c r="D17" s="5" t="s">
        <v>117</v>
      </c>
      <c r="E17" s="5" t="s">
        <v>103</v>
      </c>
      <c r="F17" s="5" t="s">
        <v>118</v>
      </c>
      <c r="G17" s="8"/>
      <c r="H17" s="3"/>
      <c r="I17" s="3"/>
      <c r="J17" s="3"/>
      <c r="K17" s="5" t="s">
        <v>21</v>
      </c>
      <c r="L17" s="8"/>
      <c r="M17" s="3"/>
    </row>
    <row r="18" ht="13.5" customHeight="1">
      <c r="A18" s="3"/>
      <c r="B18" s="15">
        <v>46204.0</v>
      </c>
      <c r="C18" s="5" t="s">
        <v>116</v>
      </c>
      <c r="D18" s="5" t="s">
        <v>117</v>
      </c>
      <c r="E18" s="5" t="s">
        <v>120</v>
      </c>
      <c r="F18" s="5" t="s">
        <v>122</v>
      </c>
      <c r="G18" s="8"/>
      <c r="H18" s="3"/>
      <c r="I18" s="3"/>
      <c r="J18" s="3"/>
      <c r="K18" s="5" t="s">
        <v>21</v>
      </c>
      <c r="L18" s="8"/>
      <c r="M18" s="3"/>
    </row>
    <row r="19" ht="13.5" customHeight="1">
      <c r="A19" s="3"/>
      <c r="B19" s="15">
        <v>46205.0</v>
      </c>
      <c r="C19" s="5" t="s">
        <v>116</v>
      </c>
      <c r="D19" s="5" t="s">
        <v>117</v>
      </c>
      <c r="E19" s="5" t="s">
        <v>78</v>
      </c>
      <c r="F19" s="5" t="s">
        <v>123</v>
      </c>
      <c r="G19" s="8"/>
      <c r="H19" s="3"/>
      <c r="I19" s="3"/>
      <c r="J19" s="3"/>
      <c r="K19" s="5" t="s">
        <v>21</v>
      </c>
      <c r="L19" s="8"/>
      <c r="M19" s="3"/>
    </row>
    <row r="20" ht="13.5" customHeight="1">
      <c r="B20" s="21">
        <v>46226.0</v>
      </c>
      <c r="C20" s="20" t="s">
        <v>116</v>
      </c>
      <c r="D20" s="20" t="s">
        <v>117</v>
      </c>
      <c r="E20" s="20" t="s">
        <v>126</v>
      </c>
      <c r="F20" s="20" t="s">
        <v>127</v>
      </c>
      <c r="K20" s="5" t="s">
        <v>21</v>
      </c>
    </row>
    <row r="21" ht="13.5" customHeight="1">
      <c r="A21" s="3"/>
      <c r="B21" s="3"/>
      <c r="C21" s="3"/>
      <c r="D21" s="3"/>
      <c r="E21" s="3"/>
      <c r="F21" s="3"/>
      <c r="G21" s="8"/>
      <c r="H21" s="3"/>
      <c r="I21" s="3"/>
      <c r="J21" s="3"/>
      <c r="K21" s="3"/>
      <c r="L21" s="8"/>
      <c r="M21" s="3"/>
    </row>
    <row r="22" ht="13.5" customHeight="1">
      <c r="A22" s="3"/>
      <c r="B22" s="3"/>
      <c r="C22" s="3"/>
      <c r="D22" s="3"/>
      <c r="E22" s="3"/>
      <c r="F22" s="3"/>
      <c r="G22" s="8"/>
      <c r="H22" s="3"/>
      <c r="I22" s="3"/>
      <c r="J22" s="3"/>
      <c r="K22" s="3"/>
      <c r="L22" s="8"/>
      <c r="M22" s="3"/>
    </row>
    <row r="23" ht="13.5" customHeight="1">
      <c r="A23" s="3"/>
      <c r="B23" s="3"/>
      <c r="C23" s="3"/>
      <c r="D23" s="3"/>
      <c r="E23" s="3"/>
      <c r="F23" s="3"/>
      <c r="G23" s="8"/>
      <c r="H23" s="3"/>
      <c r="I23" s="3"/>
      <c r="J23" s="3"/>
      <c r="K23" s="3"/>
      <c r="L23" s="8"/>
      <c r="M23" s="3"/>
    </row>
    <row r="24" ht="13.5" customHeight="1">
      <c r="A24" s="3"/>
      <c r="B24" s="3"/>
      <c r="C24" s="3"/>
      <c r="D24" s="3"/>
      <c r="E24" s="3"/>
      <c r="F24" s="3"/>
      <c r="G24" s="8"/>
      <c r="H24" s="3"/>
      <c r="I24" s="3"/>
      <c r="J24" s="3"/>
      <c r="K24" s="3"/>
      <c r="L24" s="8"/>
      <c r="M24" s="3"/>
    </row>
    <row r="25" ht="13.5" customHeight="1">
      <c r="A25" s="3"/>
      <c r="B25" s="3"/>
      <c r="C25" s="3"/>
      <c r="D25" s="3"/>
      <c r="E25" s="3"/>
      <c r="F25" s="3"/>
      <c r="G25" s="8"/>
      <c r="H25" s="3"/>
      <c r="I25" s="3"/>
      <c r="J25" s="3"/>
      <c r="K25" s="3"/>
      <c r="L25" s="8"/>
      <c r="M25" s="3"/>
    </row>
    <row r="26" ht="13.5" customHeight="1">
      <c r="A26" s="3"/>
      <c r="B26" s="3"/>
      <c r="C26" s="3"/>
      <c r="D26" s="3"/>
      <c r="E26" s="3"/>
      <c r="F26" s="3"/>
      <c r="G26" s="8"/>
      <c r="H26" s="3"/>
      <c r="I26" s="3"/>
      <c r="J26" s="3"/>
      <c r="K26" s="3"/>
      <c r="L26" s="8"/>
      <c r="M26" s="3"/>
    </row>
    <row r="27" ht="13.5" customHeight="1">
      <c r="A27" s="3"/>
      <c r="B27" s="3"/>
      <c r="C27" s="3"/>
      <c r="D27" s="3"/>
      <c r="E27" s="3"/>
      <c r="F27" s="3"/>
      <c r="G27" s="8"/>
      <c r="H27" s="3"/>
      <c r="I27" s="3"/>
      <c r="J27" s="3"/>
      <c r="K27" s="3"/>
      <c r="L27" s="8"/>
      <c r="M27" s="3"/>
    </row>
    <row r="28" ht="13.5" customHeight="1">
      <c r="A28" s="3"/>
      <c r="B28" s="3"/>
      <c r="C28" s="3"/>
      <c r="D28" s="3"/>
      <c r="E28" s="3"/>
      <c r="F28" s="3"/>
      <c r="G28" s="8"/>
      <c r="H28" s="3"/>
      <c r="I28" s="3"/>
      <c r="J28" s="3"/>
      <c r="K28" s="3"/>
      <c r="L28" s="8"/>
      <c r="M28" s="3"/>
    </row>
    <row r="29" ht="13.5" customHeight="1">
      <c r="A29" s="3"/>
      <c r="B29" s="3"/>
      <c r="C29" s="3"/>
      <c r="D29" s="3"/>
      <c r="E29" s="3"/>
      <c r="F29" s="3"/>
      <c r="G29" s="8"/>
      <c r="H29" s="3"/>
      <c r="I29" s="3"/>
      <c r="J29" s="3"/>
      <c r="K29" s="3"/>
      <c r="L29" s="8"/>
      <c r="M29" s="3"/>
    </row>
    <row r="30" ht="13.5" customHeight="1">
      <c r="A30" s="3"/>
      <c r="B30" s="3"/>
      <c r="C30" s="3"/>
      <c r="D30" s="3"/>
      <c r="E30" s="3"/>
      <c r="F30" s="3"/>
      <c r="G30" s="8"/>
      <c r="H30" s="3"/>
      <c r="I30" s="3"/>
      <c r="J30" s="3"/>
      <c r="K30" s="3"/>
      <c r="L30" s="8"/>
      <c r="M30" s="3"/>
    </row>
    <row r="31" ht="13.5" customHeight="1">
      <c r="A31" s="3"/>
      <c r="B31" s="3"/>
      <c r="C31" s="3"/>
      <c r="D31" s="3"/>
      <c r="E31" s="3"/>
      <c r="F31" s="3"/>
      <c r="G31" s="8"/>
      <c r="H31" s="3"/>
      <c r="I31" s="3"/>
      <c r="J31" s="3"/>
      <c r="K31" s="3"/>
      <c r="L31" s="8"/>
      <c r="M31" s="3"/>
    </row>
    <row r="32" ht="13.5" customHeight="1">
      <c r="A32" s="3"/>
      <c r="B32" s="3"/>
      <c r="C32" s="3"/>
      <c r="D32" s="3"/>
      <c r="E32" s="3"/>
      <c r="F32" s="3"/>
      <c r="G32" s="8"/>
      <c r="H32" s="3"/>
      <c r="I32" s="3"/>
      <c r="J32" s="3"/>
      <c r="K32" s="3"/>
      <c r="L32" s="8"/>
      <c r="M32" s="3"/>
    </row>
    <row r="33" ht="13.5" customHeight="1">
      <c r="A33" s="3"/>
      <c r="B33" s="3"/>
      <c r="C33" s="3"/>
      <c r="D33" s="3"/>
      <c r="E33" s="3"/>
      <c r="F33" s="3"/>
      <c r="G33" s="8"/>
      <c r="H33" s="3"/>
      <c r="I33" s="3"/>
      <c r="J33" s="3"/>
      <c r="K33" s="3"/>
      <c r="L33" s="8"/>
      <c r="M33" s="3"/>
    </row>
    <row r="34" ht="13.5" customHeight="1">
      <c r="A34" s="3"/>
      <c r="B34" s="3"/>
      <c r="C34" s="3"/>
      <c r="D34" s="3"/>
      <c r="E34" s="3"/>
      <c r="F34" s="3"/>
      <c r="G34" s="8"/>
      <c r="H34" s="3"/>
      <c r="I34" s="3"/>
      <c r="J34" s="3"/>
      <c r="K34" s="3"/>
      <c r="L34" s="8"/>
      <c r="M34" s="3"/>
    </row>
    <row r="35" ht="13.5" customHeight="1">
      <c r="A35" s="3"/>
      <c r="B35" s="3"/>
      <c r="C35" s="3"/>
      <c r="D35" s="3"/>
      <c r="E35" s="3"/>
      <c r="F35" s="3"/>
      <c r="G35" s="8"/>
      <c r="H35" s="3"/>
      <c r="I35" s="3"/>
      <c r="J35" s="3"/>
      <c r="K35" s="3"/>
      <c r="L35" s="8"/>
      <c r="M35" s="3"/>
    </row>
    <row r="36" ht="13.5" customHeight="1">
      <c r="A36" s="3"/>
      <c r="B36" s="3"/>
      <c r="C36" s="3"/>
      <c r="D36" s="3"/>
      <c r="E36" s="3"/>
      <c r="F36" s="3"/>
      <c r="G36" s="8"/>
      <c r="H36" s="3"/>
      <c r="I36" s="3"/>
      <c r="J36" s="3"/>
      <c r="K36" s="3"/>
      <c r="L36" s="8"/>
      <c r="M36" s="3"/>
    </row>
    <row r="37" ht="13.5" customHeight="1">
      <c r="A37" s="3"/>
      <c r="B37" s="3"/>
      <c r="C37" s="3"/>
      <c r="D37" s="3"/>
      <c r="E37" s="3"/>
      <c r="F37" s="3"/>
      <c r="G37" s="8"/>
      <c r="H37" s="3"/>
      <c r="I37" s="3"/>
      <c r="J37" s="3"/>
      <c r="K37" s="3"/>
      <c r="L37" s="8"/>
      <c r="M37" s="3"/>
    </row>
    <row r="38" ht="13.5" customHeight="1">
      <c r="A38" s="3"/>
      <c r="B38" s="3"/>
      <c r="C38" s="3"/>
      <c r="D38" s="3"/>
      <c r="E38" s="3"/>
      <c r="F38" s="3"/>
      <c r="G38" s="8"/>
      <c r="H38" s="3"/>
      <c r="I38" s="3"/>
      <c r="J38" s="3"/>
      <c r="K38" s="3"/>
      <c r="L38" s="8"/>
      <c r="M38" s="3"/>
    </row>
    <row r="39" ht="13.5" customHeight="1">
      <c r="A39" s="3"/>
      <c r="B39" s="3"/>
      <c r="C39" s="3"/>
      <c r="D39" s="3"/>
      <c r="E39" s="3"/>
      <c r="F39" s="3"/>
      <c r="G39" s="8"/>
      <c r="H39" s="3"/>
      <c r="I39" s="3"/>
      <c r="J39" s="3"/>
      <c r="K39" s="3"/>
      <c r="L39" s="8"/>
      <c r="M39" s="3"/>
    </row>
    <row r="40" ht="13.5" customHeight="1">
      <c r="A40" s="3"/>
      <c r="B40" s="3"/>
      <c r="C40" s="3"/>
      <c r="D40" s="3"/>
      <c r="E40" s="3"/>
      <c r="F40" s="3"/>
      <c r="G40" s="8"/>
      <c r="H40" s="3"/>
      <c r="I40" s="3"/>
      <c r="J40" s="3"/>
      <c r="K40" s="3"/>
      <c r="L40" s="8"/>
      <c r="M40" s="3"/>
    </row>
    <row r="41" ht="13.5" customHeight="1">
      <c r="A41" s="3"/>
      <c r="B41" s="3"/>
      <c r="C41" s="3"/>
      <c r="D41" s="3"/>
      <c r="E41" s="3"/>
      <c r="F41" s="3"/>
      <c r="G41" s="8"/>
      <c r="H41" s="3"/>
      <c r="I41" s="3"/>
      <c r="J41" s="3"/>
      <c r="K41" s="3"/>
      <c r="L41" s="8"/>
      <c r="M41" s="3"/>
    </row>
    <row r="42" ht="13.5" customHeight="1">
      <c r="A42" s="3"/>
      <c r="B42" s="3"/>
      <c r="C42" s="3"/>
      <c r="D42" s="3"/>
      <c r="E42" s="3"/>
      <c r="F42" s="3"/>
      <c r="G42" s="8"/>
      <c r="H42" s="3"/>
      <c r="I42" s="3"/>
      <c r="J42" s="3"/>
      <c r="K42" s="3"/>
      <c r="L42" s="8"/>
      <c r="M42" s="3"/>
    </row>
    <row r="43" ht="13.5" customHeight="1">
      <c r="A43" s="3"/>
      <c r="B43" s="3"/>
      <c r="C43" s="3"/>
      <c r="D43" s="3"/>
      <c r="E43" s="3"/>
      <c r="F43" s="3"/>
      <c r="G43" s="8"/>
      <c r="H43" s="3"/>
      <c r="I43" s="3"/>
      <c r="J43" s="3"/>
      <c r="K43" s="3"/>
      <c r="L43" s="8"/>
      <c r="M43" s="3"/>
    </row>
    <row r="44" ht="13.5" customHeight="1">
      <c r="A44" s="3"/>
      <c r="B44" s="3"/>
      <c r="C44" s="3"/>
      <c r="D44" s="3"/>
      <c r="E44" s="3"/>
      <c r="F44" s="3"/>
      <c r="G44" s="8"/>
      <c r="H44" s="3"/>
      <c r="I44" s="3"/>
      <c r="J44" s="3"/>
      <c r="K44" s="3"/>
      <c r="L44" s="8"/>
      <c r="M44" s="3"/>
    </row>
    <row r="45" ht="13.5" customHeight="1">
      <c r="A45" s="3"/>
      <c r="B45" s="3"/>
      <c r="C45" s="3"/>
      <c r="D45" s="3"/>
      <c r="E45" s="3"/>
      <c r="F45" s="3"/>
      <c r="G45" s="8"/>
      <c r="H45" s="3"/>
      <c r="I45" s="3"/>
      <c r="J45" s="3"/>
      <c r="K45" s="3"/>
      <c r="L45" s="8"/>
      <c r="M45" s="3"/>
    </row>
    <row r="46" ht="13.5" customHeight="1">
      <c r="A46" s="3"/>
      <c r="B46" s="3"/>
      <c r="C46" s="3"/>
      <c r="D46" s="3"/>
      <c r="E46" s="3"/>
      <c r="F46" s="3"/>
      <c r="G46" s="8"/>
      <c r="H46" s="3"/>
      <c r="I46" s="3"/>
      <c r="J46" s="3"/>
      <c r="K46" s="3"/>
      <c r="L46" s="8"/>
      <c r="M46" s="3"/>
    </row>
    <row r="47" ht="13.5" customHeight="1">
      <c r="A47" s="3"/>
      <c r="B47" s="3"/>
      <c r="C47" s="3"/>
      <c r="D47" s="3"/>
      <c r="E47" s="3"/>
      <c r="F47" s="3"/>
      <c r="G47" s="8"/>
      <c r="H47" s="3"/>
      <c r="I47" s="3"/>
      <c r="J47" s="3"/>
      <c r="K47" s="3"/>
      <c r="L47" s="8"/>
      <c r="M47" s="3"/>
    </row>
    <row r="48" ht="13.5" customHeight="1">
      <c r="A48" s="3"/>
      <c r="B48" s="3"/>
      <c r="C48" s="3"/>
      <c r="D48" s="3"/>
      <c r="E48" s="3"/>
      <c r="F48" s="3"/>
      <c r="G48" s="8"/>
      <c r="H48" s="3"/>
      <c r="I48" s="3"/>
      <c r="J48" s="3"/>
      <c r="K48" s="3"/>
      <c r="L48" s="8"/>
      <c r="M48" s="3"/>
    </row>
    <row r="49" ht="13.5" customHeight="1">
      <c r="A49" s="3"/>
      <c r="B49" s="3"/>
      <c r="C49" s="3"/>
      <c r="D49" s="3"/>
      <c r="E49" s="3"/>
      <c r="F49" s="3"/>
      <c r="G49" s="8"/>
      <c r="H49" s="3"/>
      <c r="I49" s="3"/>
      <c r="J49" s="3"/>
      <c r="K49" s="3"/>
      <c r="L49" s="8"/>
      <c r="M49" s="3"/>
    </row>
    <row r="50" ht="13.5" customHeight="1">
      <c r="A50" s="3"/>
      <c r="B50" s="3"/>
      <c r="C50" s="3"/>
      <c r="D50" s="3"/>
      <c r="E50" s="3"/>
      <c r="F50" s="3"/>
      <c r="G50" s="8"/>
      <c r="H50" s="3"/>
      <c r="I50" s="3"/>
      <c r="J50" s="3"/>
      <c r="K50" s="3"/>
      <c r="L50" s="8"/>
      <c r="M50" s="3"/>
    </row>
    <row r="51" ht="13.5" customHeight="1">
      <c r="A51" s="3"/>
      <c r="B51" s="3"/>
      <c r="C51" s="3"/>
      <c r="D51" s="3"/>
      <c r="E51" s="3"/>
      <c r="F51" s="3"/>
      <c r="G51" s="8"/>
      <c r="H51" s="3"/>
      <c r="I51" s="3"/>
      <c r="J51" s="3"/>
      <c r="K51" s="3"/>
      <c r="L51" s="8"/>
      <c r="M51" s="3"/>
    </row>
    <row r="52" ht="13.5" customHeight="1">
      <c r="A52" s="3"/>
      <c r="B52" s="3"/>
      <c r="C52" s="3"/>
      <c r="D52" s="3"/>
      <c r="E52" s="3"/>
      <c r="F52" s="3"/>
      <c r="G52" s="8"/>
      <c r="H52" s="3"/>
      <c r="I52" s="3"/>
      <c r="J52" s="3"/>
      <c r="K52" s="3"/>
      <c r="L52" s="8"/>
      <c r="M52" s="3"/>
    </row>
    <row r="53" ht="13.5" customHeight="1">
      <c r="A53" s="3"/>
      <c r="B53" s="3"/>
      <c r="C53" s="3"/>
      <c r="D53" s="3"/>
      <c r="E53" s="3"/>
      <c r="F53" s="3"/>
      <c r="G53" s="8"/>
      <c r="H53" s="3"/>
      <c r="I53" s="3"/>
      <c r="J53" s="3"/>
      <c r="K53" s="3"/>
      <c r="L53" s="8"/>
      <c r="M53" s="3"/>
    </row>
    <row r="54" ht="13.5" customHeight="1">
      <c r="A54" s="3"/>
      <c r="B54" s="3"/>
      <c r="C54" s="3"/>
      <c r="D54" s="3"/>
      <c r="E54" s="3"/>
      <c r="F54" s="3"/>
      <c r="G54" s="8"/>
      <c r="H54" s="3"/>
      <c r="I54" s="3"/>
      <c r="J54" s="3"/>
      <c r="K54" s="3"/>
      <c r="L54" s="8"/>
      <c r="M54" s="3"/>
    </row>
    <row r="55" ht="13.5" customHeight="1">
      <c r="A55" s="3"/>
      <c r="B55" s="3"/>
      <c r="C55" s="3"/>
      <c r="D55" s="3"/>
      <c r="E55" s="3"/>
      <c r="F55" s="3"/>
      <c r="G55" s="8"/>
      <c r="H55" s="3"/>
      <c r="I55" s="3"/>
      <c r="J55" s="3"/>
      <c r="K55" s="3"/>
      <c r="L55" s="8"/>
      <c r="M55" s="3"/>
    </row>
    <row r="56" ht="13.5" customHeight="1">
      <c r="A56" s="3"/>
      <c r="B56" s="3"/>
      <c r="C56" s="3"/>
      <c r="D56" s="3"/>
      <c r="E56" s="3"/>
      <c r="F56" s="3"/>
      <c r="G56" s="8"/>
      <c r="H56" s="3"/>
      <c r="I56" s="3"/>
      <c r="J56" s="3"/>
      <c r="K56" s="3"/>
      <c r="L56" s="8"/>
      <c r="M56" s="3"/>
    </row>
    <row r="57" ht="13.5" customHeight="1">
      <c r="A57" s="3"/>
      <c r="B57" s="3"/>
      <c r="C57" s="3"/>
      <c r="D57" s="3"/>
      <c r="E57" s="3"/>
      <c r="F57" s="3"/>
      <c r="G57" s="8"/>
      <c r="H57" s="3"/>
      <c r="I57" s="3"/>
      <c r="J57" s="3"/>
      <c r="K57" s="3"/>
      <c r="L57" s="8"/>
      <c r="M57" s="3"/>
    </row>
    <row r="58" ht="13.5" customHeight="1">
      <c r="A58" s="3"/>
      <c r="B58" s="3"/>
      <c r="C58" s="3"/>
      <c r="D58" s="3"/>
      <c r="E58" s="3"/>
      <c r="F58" s="3"/>
      <c r="G58" s="8"/>
      <c r="H58" s="3"/>
      <c r="I58" s="3"/>
      <c r="J58" s="3"/>
      <c r="K58" s="3"/>
      <c r="L58" s="8"/>
      <c r="M58" s="3"/>
    </row>
    <row r="59" ht="13.5" customHeight="1">
      <c r="A59" s="3"/>
      <c r="B59" s="3"/>
      <c r="C59" s="3"/>
      <c r="D59" s="3"/>
      <c r="E59" s="3"/>
      <c r="F59" s="3"/>
      <c r="G59" s="8"/>
      <c r="H59" s="3"/>
      <c r="I59" s="3"/>
      <c r="J59" s="3"/>
      <c r="K59" s="3"/>
      <c r="L59" s="8"/>
      <c r="M59" s="3"/>
    </row>
    <row r="60" ht="13.5" customHeight="1">
      <c r="A60" s="3"/>
      <c r="B60" s="3"/>
      <c r="C60" s="3"/>
      <c r="D60" s="3"/>
      <c r="E60" s="3"/>
      <c r="F60" s="3"/>
      <c r="G60" s="8"/>
      <c r="H60" s="3"/>
      <c r="I60" s="3"/>
      <c r="J60" s="3"/>
      <c r="K60" s="3"/>
      <c r="L60" s="8"/>
      <c r="M60" s="3"/>
    </row>
    <row r="61" ht="13.5" customHeight="1">
      <c r="A61" s="3"/>
      <c r="B61" s="3"/>
      <c r="C61" s="3"/>
      <c r="D61" s="3"/>
      <c r="E61" s="3"/>
      <c r="F61" s="3"/>
      <c r="G61" s="8"/>
      <c r="H61" s="3"/>
      <c r="I61" s="3"/>
      <c r="J61" s="3"/>
      <c r="K61" s="3"/>
      <c r="L61" s="8"/>
      <c r="M61" s="3"/>
    </row>
    <row r="62" ht="13.5" customHeight="1">
      <c r="A62" s="3"/>
      <c r="B62" s="3"/>
      <c r="C62" s="3"/>
      <c r="D62" s="3"/>
      <c r="E62" s="3"/>
      <c r="F62" s="3"/>
      <c r="G62" s="8"/>
      <c r="H62" s="3"/>
      <c r="I62" s="3"/>
      <c r="J62" s="3"/>
      <c r="K62" s="3"/>
      <c r="L62" s="8"/>
      <c r="M62" s="3"/>
    </row>
    <row r="63" ht="13.5" customHeight="1">
      <c r="A63" s="3"/>
      <c r="B63" s="3"/>
      <c r="C63" s="3"/>
      <c r="D63" s="3"/>
      <c r="E63" s="3"/>
      <c r="F63" s="3"/>
      <c r="G63" s="8"/>
      <c r="H63" s="3"/>
      <c r="I63" s="3"/>
      <c r="J63" s="3"/>
      <c r="K63" s="3"/>
      <c r="L63" s="8"/>
      <c r="M63" s="3"/>
    </row>
    <row r="64" ht="13.5" customHeight="1">
      <c r="A64" s="3"/>
      <c r="B64" s="3"/>
      <c r="C64" s="3"/>
      <c r="D64" s="3"/>
      <c r="E64" s="3"/>
      <c r="F64" s="3"/>
      <c r="G64" s="8"/>
      <c r="H64" s="3"/>
      <c r="I64" s="3"/>
      <c r="J64" s="3"/>
      <c r="K64" s="3"/>
      <c r="L64" s="8"/>
      <c r="M64" s="3"/>
    </row>
    <row r="65" ht="13.5" customHeight="1">
      <c r="A65" s="3"/>
      <c r="B65" s="3"/>
      <c r="C65" s="3"/>
      <c r="D65" s="3"/>
      <c r="E65" s="3"/>
      <c r="F65" s="3"/>
      <c r="G65" s="8"/>
      <c r="H65" s="3"/>
      <c r="I65" s="3"/>
      <c r="J65" s="3"/>
      <c r="K65" s="3"/>
      <c r="L65" s="8"/>
      <c r="M65" s="3"/>
    </row>
    <row r="66" ht="13.5" customHeight="1">
      <c r="A66" s="3"/>
      <c r="B66" s="3"/>
      <c r="C66" s="3"/>
      <c r="D66" s="3"/>
      <c r="E66" s="3"/>
      <c r="F66" s="3"/>
      <c r="G66" s="8"/>
      <c r="H66" s="3"/>
      <c r="I66" s="3"/>
      <c r="J66" s="3"/>
      <c r="K66" s="3"/>
      <c r="L66" s="8"/>
      <c r="M66" s="3"/>
    </row>
    <row r="67" ht="13.5" customHeight="1">
      <c r="A67" s="3"/>
      <c r="B67" s="3"/>
      <c r="C67" s="3"/>
      <c r="D67" s="3"/>
      <c r="E67" s="3"/>
      <c r="F67" s="3"/>
      <c r="G67" s="8"/>
      <c r="H67" s="3"/>
      <c r="I67" s="3"/>
      <c r="J67" s="3"/>
      <c r="K67" s="3"/>
      <c r="L67" s="8"/>
      <c r="M67" s="3"/>
    </row>
    <row r="68" ht="13.5" customHeight="1">
      <c r="A68" s="3"/>
      <c r="B68" s="3"/>
      <c r="C68" s="3"/>
      <c r="D68" s="3"/>
      <c r="E68" s="3"/>
      <c r="F68" s="3"/>
      <c r="G68" s="8"/>
      <c r="H68" s="3"/>
      <c r="I68" s="3"/>
      <c r="J68" s="3"/>
      <c r="K68" s="3"/>
      <c r="L68" s="8"/>
      <c r="M68" s="3"/>
    </row>
    <row r="69" ht="13.5" customHeight="1">
      <c r="A69" s="3"/>
      <c r="B69" s="3"/>
      <c r="C69" s="3"/>
      <c r="D69" s="3"/>
      <c r="E69" s="3"/>
      <c r="F69" s="3"/>
      <c r="G69" s="8"/>
      <c r="H69" s="3"/>
      <c r="I69" s="3"/>
      <c r="J69" s="3"/>
      <c r="K69" s="3"/>
      <c r="L69" s="8"/>
      <c r="M69" s="3"/>
    </row>
    <row r="70" ht="13.5" customHeight="1">
      <c r="A70" s="3"/>
      <c r="B70" s="3"/>
      <c r="C70" s="3"/>
      <c r="D70" s="3"/>
      <c r="E70" s="3"/>
      <c r="F70" s="3"/>
      <c r="G70" s="8"/>
      <c r="H70" s="3"/>
      <c r="I70" s="3"/>
      <c r="J70" s="3"/>
      <c r="K70" s="3"/>
      <c r="L70" s="8"/>
      <c r="M70" s="3"/>
    </row>
    <row r="71" ht="13.5" customHeight="1">
      <c r="A71" s="3"/>
      <c r="B71" s="3"/>
      <c r="C71" s="3"/>
      <c r="D71" s="3"/>
      <c r="E71" s="3"/>
      <c r="F71" s="3"/>
      <c r="G71" s="8"/>
      <c r="H71" s="3"/>
      <c r="I71" s="3"/>
      <c r="J71" s="3"/>
      <c r="K71" s="3"/>
      <c r="L71" s="8"/>
      <c r="M71" s="3"/>
    </row>
    <row r="72" ht="13.5" customHeight="1">
      <c r="A72" s="3"/>
      <c r="B72" s="3"/>
      <c r="C72" s="3"/>
      <c r="D72" s="3"/>
      <c r="E72" s="3"/>
      <c r="F72" s="3"/>
      <c r="G72" s="8"/>
      <c r="H72" s="3"/>
      <c r="I72" s="3"/>
      <c r="J72" s="3"/>
      <c r="K72" s="3"/>
      <c r="L72" s="8"/>
      <c r="M72" s="3"/>
    </row>
    <row r="73" ht="13.5" customHeight="1">
      <c r="A73" s="3"/>
      <c r="B73" s="3"/>
      <c r="C73" s="3"/>
      <c r="D73" s="3"/>
      <c r="E73" s="3"/>
      <c r="F73" s="3"/>
      <c r="G73" s="8"/>
      <c r="H73" s="3"/>
      <c r="I73" s="3"/>
      <c r="J73" s="3"/>
      <c r="K73" s="3"/>
      <c r="L73" s="8"/>
      <c r="M73" s="3"/>
    </row>
    <row r="74" ht="13.5" customHeight="1">
      <c r="A74" s="3"/>
      <c r="B74" s="3"/>
      <c r="C74" s="3"/>
      <c r="D74" s="3"/>
      <c r="E74" s="3"/>
      <c r="F74" s="3"/>
      <c r="G74" s="8"/>
      <c r="H74" s="3"/>
      <c r="I74" s="3"/>
      <c r="J74" s="3"/>
      <c r="K74" s="3"/>
      <c r="L74" s="8"/>
      <c r="M74" s="3"/>
    </row>
    <row r="75" ht="13.5" customHeight="1">
      <c r="A75" s="3"/>
      <c r="B75" s="3"/>
      <c r="C75" s="3"/>
      <c r="D75" s="3"/>
      <c r="E75" s="3"/>
      <c r="F75" s="3"/>
      <c r="G75" s="8"/>
      <c r="H75" s="3"/>
      <c r="I75" s="3"/>
      <c r="J75" s="3"/>
      <c r="K75" s="3"/>
      <c r="L75" s="8"/>
      <c r="M75" s="3"/>
    </row>
    <row r="76" ht="13.5" customHeight="1">
      <c r="A76" s="3"/>
      <c r="B76" s="3"/>
      <c r="C76" s="3"/>
      <c r="D76" s="3"/>
      <c r="E76" s="3"/>
      <c r="F76" s="3"/>
      <c r="G76" s="8"/>
      <c r="H76" s="3"/>
      <c r="I76" s="3"/>
      <c r="J76" s="3"/>
      <c r="K76" s="3"/>
      <c r="L76" s="8"/>
      <c r="M76" s="3"/>
    </row>
    <row r="77" ht="13.5" customHeight="1">
      <c r="A77" s="3"/>
      <c r="B77" s="3"/>
      <c r="C77" s="3"/>
      <c r="D77" s="3"/>
      <c r="E77" s="3"/>
      <c r="F77" s="3"/>
      <c r="G77" s="8"/>
      <c r="H77" s="3"/>
      <c r="I77" s="3"/>
      <c r="J77" s="3"/>
      <c r="K77" s="3"/>
      <c r="L77" s="8"/>
      <c r="M77" s="3"/>
    </row>
    <row r="78" ht="13.5" customHeight="1">
      <c r="A78" s="3"/>
      <c r="B78" s="3"/>
      <c r="C78" s="3"/>
      <c r="D78" s="3"/>
      <c r="E78" s="3"/>
      <c r="F78" s="3"/>
      <c r="G78" s="8"/>
      <c r="H78" s="3"/>
      <c r="I78" s="3"/>
      <c r="J78" s="3"/>
      <c r="K78" s="3"/>
      <c r="L78" s="8"/>
      <c r="M78" s="3"/>
    </row>
    <row r="79" ht="13.5" customHeight="1">
      <c r="A79" s="3"/>
      <c r="B79" s="3"/>
      <c r="C79" s="3"/>
      <c r="D79" s="3"/>
      <c r="E79" s="3"/>
      <c r="F79" s="3"/>
      <c r="G79" s="8"/>
      <c r="H79" s="3"/>
      <c r="I79" s="3"/>
      <c r="J79" s="3"/>
      <c r="K79" s="3"/>
      <c r="L79" s="8"/>
      <c r="M79" s="3"/>
    </row>
    <row r="80" ht="13.5" customHeight="1">
      <c r="A80" s="3"/>
      <c r="B80" s="3"/>
      <c r="C80" s="3"/>
      <c r="D80" s="3"/>
      <c r="E80" s="3"/>
      <c r="F80" s="3"/>
      <c r="G80" s="8"/>
      <c r="H80" s="3"/>
      <c r="I80" s="3"/>
      <c r="J80" s="3"/>
      <c r="K80" s="3"/>
      <c r="L80" s="8"/>
      <c r="M80" s="3"/>
    </row>
    <row r="81" ht="13.5" customHeight="1">
      <c r="A81" s="3"/>
      <c r="B81" s="3"/>
      <c r="C81" s="3"/>
      <c r="D81" s="3"/>
      <c r="E81" s="3"/>
      <c r="F81" s="3"/>
      <c r="G81" s="8"/>
      <c r="H81" s="3"/>
      <c r="I81" s="3"/>
      <c r="J81" s="3"/>
      <c r="K81" s="3"/>
      <c r="L81" s="8"/>
      <c r="M81" s="3"/>
    </row>
    <row r="82" ht="13.5" customHeight="1">
      <c r="A82" s="3"/>
      <c r="B82" s="3"/>
      <c r="C82" s="3"/>
      <c r="D82" s="3"/>
      <c r="E82" s="3"/>
      <c r="F82" s="3"/>
      <c r="G82" s="8"/>
      <c r="H82" s="3"/>
      <c r="I82" s="3"/>
      <c r="J82" s="3"/>
      <c r="K82" s="3"/>
      <c r="L82" s="8"/>
      <c r="M82" s="3"/>
    </row>
    <row r="83" ht="13.5" customHeight="1">
      <c r="A83" s="3"/>
      <c r="B83" s="3"/>
      <c r="C83" s="3"/>
      <c r="D83" s="3"/>
      <c r="E83" s="3"/>
      <c r="F83" s="3"/>
      <c r="G83" s="8"/>
      <c r="H83" s="3"/>
      <c r="I83" s="3"/>
      <c r="J83" s="3"/>
      <c r="K83" s="3"/>
      <c r="L83" s="8"/>
      <c r="M83" s="3"/>
    </row>
    <row r="84" ht="13.5" customHeight="1">
      <c r="A84" s="3"/>
      <c r="B84" s="3"/>
      <c r="C84" s="3"/>
      <c r="D84" s="3"/>
      <c r="E84" s="3"/>
      <c r="F84" s="3"/>
      <c r="G84" s="8"/>
      <c r="H84" s="3"/>
      <c r="I84" s="3"/>
      <c r="J84" s="3"/>
      <c r="K84" s="3"/>
      <c r="L84" s="8"/>
      <c r="M84" s="3"/>
    </row>
    <row r="85" ht="13.5" customHeight="1">
      <c r="A85" s="3"/>
      <c r="B85" s="3"/>
      <c r="C85" s="3"/>
      <c r="D85" s="3"/>
      <c r="E85" s="3"/>
      <c r="F85" s="3"/>
      <c r="G85" s="8"/>
      <c r="H85" s="3"/>
      <c r="I85" s="3"/>
      <c r="J85" s="3"/>
      <c r="K85" s="3"/>
      <c r="L85" s="8"/>
      <c r="M85" s="3"/>
    </row>
    <row r="86" ht="13.5" customHeight="1">
      <c r="A86" s="3"/>
      <c r="B86" s="3"/>
      <c r="C86" s="3"/>
      <c r="D86" s="3"/>
      <c r="E86" s="3"/>
      <c r="F86" s="3"/>
      <c r="G86" s="8"/>
      <c r="H86" s="3"/>
      <c r="I86" s="3"/>
      <c r="J86" s="3"/>
      <c r="K86" s="3"/>
      <c r="L86" s="8"/>
      <c r="M86" s="3"/>
    </row>
    <row r="87" ht="13.5" customHeight="1">
      <c r="A87" s="3"/>
      <c r="B87" s="3"/>
      <c r="C87" s="3"/>
      <c r="D87" s="3"/>
      <c r="E87" s="3"/>
      <c r="F87" s="3"/>
      <c r="G87" s="8"/>
      <c r="H87" s="3"/>
      <c r="I87" s="3"/>
      <c r="J87" s="3"/>
      <c r="K87" s="3"/>
      <c r="L87" s="8"/>
      <c r="M87" s="3"/>
    </row>
    <row r="88" ht="13.5" customHeight="1">
      <c r="A88" s="3"/>
      <c r="B88" s="3"/>
      <c r="C88" s="3"/>
      <c r="D88" s="3"/>
      <c r="E88" s="3"/>
      <c r="F88" s="3"/>
      <c r="G88" s="8"/>
      <c r="H88" s="3"/>
      <c r="I88" s="3"/>
      <c r="J88" s="3"/>
      <c r="K88" s="3"/>
      <c r="L88" s="8"/>
      <c r="M88" s="3"/>
    </row>
    <row r="89" ht="13.5" customHeight="1">
      <c r="A89" s="3"/>
      <c r="B89" s="3"/>
      <c r="C89" s="3"/>
      <c r="D89" s="3"/>
      <c r="E89" s="3"/>
      <c r="F89" s="3"/>
      <c r="G89" s="8"/>
      <c r="H89" s="3"/>
      <c r="I89" s="3"/>
      <c r="J89" s="3"/>
      <c r="K89" s="3"/>
      <c r="L89" s="8"/>
      <c r="M89" s="3"/>
    </row>
    <row r="90" ht="13.5" customHeight="1">
      <c r="A90" s="3"/>
      <c r="B90" s="3"/>
      <c r="C90" s="3"/>
      <c r="D90" s="3"/>
      <c r="E90" s="3"/>
      <c r="F90" s="3"/>
      <c r="G90" s="8"/>
      <c r="H90" s="3"/>
      <c r="I90" s="3"/>
      <c r="J90" s="3"/>
      <c r="K90" s="3"/>
      <c r="L90" s="8"/>
      <c r="M90" s="3"/>
    </row>
    <row r="91" ht="13.5" customHeight="1">
      <c r="A91" s="3"/>
      <c r="B91" s="3"/>
      <c r="C91" s="3"/>
      <c r="D91" s="3"/>
      <c r="E91" s="3"/>
      <c r="F91" s="3"/>
      <c r="G91" s="8"/>
      <c r="H91" s="3"/>
      <c r="I91" s="3"/>
      <c r="J91" s="3"/>
      <c r="K91" s="3"/>
      <c r="L91" s="8"/>
      <c r="M91" s="3"/>
    </row>
    <row r="92" ht="13.5" customHeight="1">
      <c r="A92" s="3"/>
      <c r="B92" s="3"/>
      <c r="C92" s="3"/>
      <c r="D92" s="3"/>
      <c r="E92" s="3"/>
      <c r="F92" s="3"/>
      <c r="G92" s="8"/>
      <c r="H92" s="3"/>
      <c r="I92" s="3"/>
      <c r="J92" s="3"/>
      <c r="K92" s="3"/>
      <c r="L92" s="8"/>
      <c r="M92" s="3"/>
    </row>
    <row r="93" ht="13.5" customHeight="1">
      <c r="A93" s="3"/>
      <c r="B93" s="3"/>
      <c r="C93" s="3"/>
      <c r="D93" s="3"/>
      <c r="E93" s="3"/>
      <c r="F93" s="3"/>
      <c r="G93" s="8"/>
      <c r="H93" s="3"/>
      <c r="I93" s="3"/>
      <c r="J93" s="3"/>
      <c r="K93" s="3"/>
      <c r="L93" s="8"/>
      <c r="M93" s="3"/>
    </row>
    <row r="94" ht="13.5" customHeight="1">
      <c r="A94" s="3"/>
      <c r="B94" s="3"/>
      <c r="C94" s="3"/>
      <c r="D94" s="3"/>
      <c r="E94" s="3"/>
      <c r="F94" s="3"/>
      <c r="G94" s="8"/>
      <c r="H94" s="3"/>
      <c r="I94" s="3"/>
      <c r="J94" s="3"/>
      <c r="K94" s="3"/>
      <c r="L94" s="8"/>
      <c r="M94" s="3"/>
    </row>
    <row r="95" ht="13.5" customHeight="1">
      <c r="A95" s="3"/>
      <c r="B95" s="3"/>
      <c r="C95" s="3"/>
      <c r="D95" s="3"/>
      <c r="E95" s="3"/>
      <c r="F95" s="3"/>
      <c r="G95" s="8"/>
      <c r="H95" s="3"/>
      <c r="I95" s="3"/>
      <c r="J95" s="3"/>
      <c r="K95" s="3"/>
      <c r="L95" s="8"/>
      <c r="M95" s="3"/>
    </row>
    <row r="96" ht="13.5" customHeight="1">
      <c r="A96" s="3"/>
      <c r="B96" s="3"/>
      <c r="C96" s="3"/>
      <c r="D96" s="3"/>
      <c r="E96" s="3"/>
      <c r="F96" s="3"/>
      <c r="G96" s="8"/>
      <c r="H96" s="3"/>
      <c r="I96" s="3"/>
      <c r="J96" s="3"/>
      <c r="K96" s="3"/>
      <c r="L96" s="8"/>
      <c r="M96" s="3"/>
    </row>
    <row r="97" ht="13.5" customHeight="1">
      <c r="A97" s="3"/>
      <c r="B97" s="3"/>
      <c r="C97" s="3"/>
      <c r="D97" s="3"/>
      <c r="E97" s="3"/>
      <c r="F97" s="3"/>
      <c r="G97" s="8"/>
      <c r="H97" s="3"/>
      <c r="I97" s="3"/>
      <c r="J97" s="3"/>
      <c r="K97" s="3"/>
      <c r="L97" s="8"/>
      <c r="M97" s="3"/>
    </row>
    <row r="98" ht="13.5" customHeight="1">
      <c r="A98" s="3"/>
      <c r="B98" s="3"/>
      <c r="C98" s="3"/>
      <c r="D98" s="3"/>
      <c r="E98" s="3"/>
      <c r="F98" s="3"/>
      <c r="G98" s="8"/>
      <c r="H98" s="3"/>
      <c r="I98" s="3"/>
      <c r="J98" s="3"/>
      <c r="K98" s="3"/>
      <c r="L98" s="8"/>
      <c r="M98" s="3"/>
    </row>
    <row r="99" ht="13.5" customHeight="1">
      <c r="A99" s="3"/>
      <c r="B99" s="3"/>
      <c r="C99" s="3"/>
      <c r="D99" s="3"/>
      <c r="E99" s="3"/>
      <c r="F99" s="3"/>
      <c r="G99" s="8"/>
      <c r="H99" s="3"/>
      <c r="I99" s="3"/>
      <c r="J99" s="3"/>
      <c r="K99" s="3"/>
      <c r="L99" s="8"/>
      <c r="M99" s="3"/>
    </row>
    <row r="100" ht="13.5" customHeight="1">
      <c r="A100" s="3"/>
      <c r="B100" s="3"/>
      <c r="C100" s="3"/>
      <c r="D100" s="3"/>
      <c r="E100" s="3"/>
      <c r="F100" s="3"/>
      <c r="G100" s="8"/>
      <c r="H100" s="3"/>
      <c r="I100" s="3"/>
      <c r="J100" s="3"/>
      <c r="K100" s="3"/>
      <c r="L100" s="8"/>
      <c r="M100" s="3"/>
    </row>
    <row r="101" ht="13.5" customHeight="1">
      <c r="A101" s="3"/>
      <c r="B101" s="3"/>
      <c r="C101" s="3"/>
      <c r="D101" s="3"/>
      <c r="E101" s="3"/>
      <c r="F101" s="3"/>
      <c r="G101" s="8"/>
      <c r="H101" s="3"/>
      <c r="I101" s="3"/>
      <c r="J101" s="3"/>
      <c r="K101" s="3"/>
      <c r="L101" s="8"/>
      <c r="M101" s="3"/>
    </row>
    <row r="102" ht="13.5" customHeight="1">
      <c r="A102" s="3"/>
      <c r="B102" s="3"/>
      <c r="C102" s="3"/>
      <c r="D102" s="3"/>
      <c r="E102" s="3"/>
      <c r="F102" s="3"/>
      <c r="G102" s="8"/>
      <c r="H102" s="3"/>
      <c r="I102" s="3"/>
      <c r="J102" s="3"/>
      <c r="K102" s="3"/>
      <c r="L102" s="8"/>
      <c r="M102" s="3"/>
    </row>
    <row r="103" ht="13.5" customHeight="1">
      <c r="A103" s="3"/>
      <c r="B103" s="3"/>
      <c r="C103" s="3"/>
      <c r="D103" s="3"/>
      <c r="E103" s="3"/>
      <c r="F103" s="3"/>
      <c r="G103" s="8"/>
      <c r="H103" s="3"/>
      <c r="I103" s="3"/>
      <c r="J103" s="3"/>
      <c r="K103" s="3"/>
      <c r="L103" s="8"/>
      <c r="M103" s="3"/>
    </row>
    <row r="104" ht="13.5" customHeight="1">
      <c r="A104" s="3"/>
      <c r="B104" s="3"/>
      <c r="C104" s="3"/>
      <c r="D104" s="3"/>
      <c r="E104" s="3"/>
      <c r="F104" s="3"/>
      <c r="G104" s="8"/>
      <c r="H104" s="3"/>
      <c r="I104" s="3"/>
      <c r="J104" s="3"/>
      <c r="K104" s="3"/>
      <c r="L104" s="8"/>
      <c r="M104" s="3"/>
    </row>
    <row r="105" ht="13.5" customHeight="1">
      <c r="A105" s="3"/>
      <c r="B105" s="3"/>
      <c r="C105" s="3"/>
      <c r="D105" s="3"/>
      <c r="E105" s="3"/>
      <c r="F105" s="3"/>
      <c r="G105" s="8"/>
      <c r="H105" s="3"/>
      <c r="I105" s="3"/>
      <c r="J105" s="3"/>
      <c r="K105" s="3"/>
      <c r="L105" s="8"/>
      <c r="M105" s="3"/>
    </row>
    <row r="106" ht="13.5" customHeight="1">
      <c r="A106" s="3"/>
      <c r="B106" s="3"/>
      <c r="C106" s="3"/>
      <c r="D106" s="3"/>
      <c r="E106" s="3"/>
      <c r="F106" s="3"/>
      <c r="G106" s="8"/>
      <c r="H106" s="3"/>
      <c r="I106" s="3"/>
      <c r="J106" s="3"/>
      <c r="K106" s="3"/>
      <c r="L106" s="8"/>
      <c r="M106" s="3"/>
    </row>
    <row r="107" ht="13.5" customHeight="1">
      <c r="A107" s="3"/>
      <c r="B107" s="3"/>
      <c r="C107" s="3"/>
      <c r="D107" s="3"/>
      <c r="E107" s="3"/>
      <c r="F107" s="3"/>
      <c r="G107" s="8"/>
      <c r="H107" s="3"/>
      <c r="I107" s="3"/>
      <c r="J107" s="3"/>
      <c r="K107" s="3"/>
      <c r="L107" s="8"/>
      <c r="M107" s="3"/>
    </row>
    <row r="108" ht="13.5" customHeight="1">
      <c r="A108" s="3"/>
      <c r="B108" s="3"/>
      <c r="C108" s="3"/>
      <c r="D108" s="3"/>
      <c r="E108" s="3"/>
      <c r="F108" s="3"/>
      <c r="G108" s="8"/>
      <c r="H108" s="3"/>
      <c r="I108" s="3"/>
      <c r="J108" s="3"/>
      <c r="K108" s="3"/>
      <c r="L108" s="8"/>
      <c r="M108" s="3"/>
    </row>
    <row r="109" ht="13.5" customHeight="1">
      <c r="A109" s="3"/>
      <c r="B109" s="3"/>
      <c r="C109" s="3"/>
      <c r="D109" s="3"/>
      <c r="E109" s="3"/>
      <c r="F109" s="3"/>
      <c r="G109" s="8"/>
      <c r="H109" s="3"/>
      <c r="I109" s="3"/>
      <c r="J109" s="3"/>
      <c r="K109" s="3"/>
      <c r="L109" s="8"/>
      <c r="M109" s="3"/>
    </row>
    <row r="110" ht="13.5" customHeight="1">
      <c r="A110" s="3"/>
      <c r="B110" s="3"/>
      <c r="C110" s="3"/>
      <c r="D110" s="3"/>
      <c r="E110" s="3"/>
      <c r="F110" s="3"/>
      <c r="G110" s="8"/>
      <c r="H110" s="3"/>
      <c r="I110" s="3"/>
      <c r="J110" s="3"/>
      <c r="K110" s="3"/>
      <c r="L110" s="8"/>
      <c r="M110" s="3"/>
    </row>
    <row r="111" ht="13.5" customHeight="1">
      <c r="A111" s="3"/>
      <c r="B111" s="3"/>
      <c r="C111" s="3"/>
      <c r="D111" s="3"/>
      <c r="E111" s="3"/>
      <c r="F111" s="3"/>
      <c r="G111" s="8"/>
      <c r="H111" s="3"/>
      <c r="I111" s="3"/>
      <c r="J111" s="3"/>
      <c r="K111" s="3"/>
      <c r="L111" s="8"/>
      <c r="M111" s="3"/>
    </row>
    <row r="112" ht="13.5" customHeight="1">
      <c r="A112" s="3"/>
      <c r="B112" s="3"/>
      <c r="C112" s="3"/>
      <c r="D112" s="3"/>
      <c r="E112" s="3"/>
      <c r="F112" s="3"/>
      <c r="G112" s="8"/>
      <c r="H112" s="3"/>
      <c r="I112" s="3"/>
      <c r="J112" s="3"/>
      <c r="K112" s="3"/>
      <c r="L112" s="8"/>
      <c r="M112" s="3"/>
    </row>
    <row r="113" ht="13.5" customHeight="1">
      <c r="A113" s="3"/>
      <c r="B113" s="3"/>
      <c r="C113" s="3"/>
      <c r="D113" s="3"/>
      <c r="E113" s="3"/>
      <c r="F113" s="3"/>
      <c r="G113" s="8"/>
      <c r="H113" s="3"/>
      <c r="I113" s="3"/>
      <c r="J113" s="3"/>
      <c r="K113" s="3"/>
      <c r="L113" s="8"/>
      <c r="M113" s="3"/>
    </row>
    <row r="114" ht="13.5" customHeight="1">
      <c r="A114" s="3"/>
      <c r="B114" s="3"/>
      <c r="C114" s="3"/>
      <c r="D114" s="3"/>
      <c r="E114" s="3"/>
      <c r="F114" s="3"/>
      <c r="G114" s="8"/>
      <c r="H114" s="3"/>
      <c r="I114" s="3"/>
      <c r="J114" s="3"/>
      <c r="K114" s="3"/>
      <c r="L114" s="8"/>
      <c r="M114" s="3"/>
    </row>
    <row r="115" ht="13.5" customHeight="1">
      <c r="A115" s="3"/>
      <c r="B115" s="3"/>
      <c r="C115" s="3"/>
      <c r="D115" s="3"/>
      <c r="E115" s="3"/>
      <c r="F115" s="3"/>
      <c r="G115" s="8"/>
      <c r="H115" s="3"/>
      <c r="I115" s="3"/>
      <c r="J115" s="3"/>
      <c r="K115" s="3"/>
      <c r="L115" s="8"/>
      <c r="M115" s="3"/>
    </row>
    <row r="116" ht="13.5" customHeight="1">
      <c r="A116" s="3"/>
      <c r="B116" s="3"/>
      <c r="C116" s="3"/>
      <c r="D116" s="3"/>
      <c r="E116" s="3"/>
      <c r="F116" s="3"/>
      <c r="G116" s="8"/>
      <c r="H116" s="3"/>
      <c r="I116" s="3"/>
      <c r="J116" s="3"/>
      <c r="K116" s="3"/>
      <c r="L116" s="8"/>
      <c r="M116" s="3"/>
    </row>
    <row r="117" ht="13.5" customHeight="1">
      <c r="A117" s="3"/>
      <c r="B117" s="3"/>
      <c r="C117" s="3"/>
      <c r="D117" s="3"/>
      <c r="E117" s="3"/>
      <c r="F117" s="3"/>
      <c r="G117" s="8"/>
      <c r="H117" s="3"/>
      <c r="I117" s="3"/>
      <c r="J117" s="3"/>
      <c r="K117" s="3"/>
      <c r="L117" s="8"/>
      <c r="M117" s="3"/>
    </row>
    <row r="118" ht="13.5" customHeight="1">
      <c r="A118" s="3"/>
      <c r="B118" s="3"/>
      <c r="C118" s="3"/>
      <c r="D118" s="3"/>
      <c r="E118" s="3"/>
      <c r="F118" s="3"/>
      <c r="G118" s="8"/>
      <c r="H118" s="3"/>
      <c r="I118" s="3"/>
      <c r="J118" s="3"/>
      <c r="K118" s="3"/>
      <c r="L118" s="8"/>
      <c r="M118" s="3"/>
    </row>
    <row r="119" ht="13.5" customHeight="1">
      <c r="A119" s="3"/>
      <c r="B119" s="3"/>
      <c r="C119" s="3"/>
      <c r="D119" s="3"/>
      <c r="E119" s="3"/>
      <c r="F119" s="3"/>
      <c r="G119" s="8"/>
      <c r="H119" s="3"/>
      <c r="I119" s="3"/>
      <c r="J119" s="3"/>
      <c r="K119" s="3"/>
      <c r="L119" s="8"/>
      <c r="M119" s="3"/>
    </row>
    <row r="120" ht="13.5" customHeight="1">
      <c r="A120" s="3"/>
      <c r="B120" s="3"/>
      <c r="C120" s="3"/>
      <c r="D120" s="3"/>
      <c r="E120" s="3"/>
      <c r="F120" s="3"/>
      <c r="G120" s="8"/>
      <c r="H120" s="3"/>
      <c r="I120" s="3"/>
      <c r="J120" s="3"/>
      <c r="K120" s="3"/>
      <c r="L120" s="8"/>
      <c r="M120" s="3"/>
    </row>
    <row r="121" ht="13.5" customHeight="1">
      <c r="A121" s="3"/>
      <c r="B121" s="3"/>
      <c r="C121" s="3"/>
      <c r="D121" s="3"/>
      <c r="E121" s="3"/>
      <c r="F121" s="3"/>
      <c r="G121" s="8"/>
      <c r="H121" s="3"/>
      <c r="I121" s="3"/>
      <c r="J121" s="3"/>
      <c r="K121" s="3"/>
      <c r="L121" s="8"/>
      <c r="M121" s="3"/>
    </row>
    <row r="122" ht="13.5" customHeight="1">
      <c r="A122" s="3"/>
      <c r="B122" s="3"/>
      <c r="C122" s="3"/>
      <c r="D122" s="3"/>
      <c r="E122" s="3"/>
      <c r="F122" s="3"/>
      <c r="G122" s="8"/>
      <c r="H122" s="3"/>
      <c r="I122" s="3"/>
      <c r="J122" s="3"/>
      <c r="K122" s="3"/>
      <c r="L122" s="8"/>
      <c r="M122" s="3"/>
    </row>
    <row r="123" ht="13.5" customHeight="1">
      <c r="A123" s="3"/>
      <c r="B123" s="3"/>
      <c r="C123" s="3"/>
      <c r="D123" s="3"/>
      <c r="E123" s="3"/>
      <c r="F123" s="3"/>
      <c r="G123" s="8"/>
      <c r="H123" s="3"/>
      <c r="I123" s="3"/>
      <c r="J123" s="3"/>
      <c r="K123" s="3"/>
      <c r="L123" s="8"/>
      <c r="M123" s="3"/>
    </row>
    <row r="124" ht="13.5" customHeight="1">
      <c r="A124" s="3"/>
      <c r="B124" s="3"/>
      <c r="C124" s="3"/>
      <c r="D124" s="3"/>
      <c r="E124" s="3"/>
      <c r="F124" s="3"/>
      <c r="G124" s="8"/>
      <c r="H124" s="3"/>
      <c r="I124" s="3"/>
      <c r="J124" s="3"/>
      <c r="K124" s="3"/>
      <c r="L124" s="8"/>
      <c r="M124" s="3"/>
    </row>
    <row r="125" ht="13.5" customHeight="1">
      <c r="A125" s="3"/>
      <c r="B125" s="3"/>
      <c r="C125" s="3"/>
      <c r="D125" s="3"/>
      <c r="E125" s="3"/>
      <c r="F125" s="3"/>
      <c r="G125" s="8"/>
      <c r="H125" s="3"/>
      <c r="I125" s="3"/>
      <c r="J125" s="3"/>
      <c r="K125" s="3"/>
      <c r="L125" s="8"/>
      <c r="M125" s="3"/>
    </row>
    <row r="126" ht="13.5" customHeight="1">
      <c r="A126" s="3"/>
      <c r="B126" s="3"/>
      <c r="C126" s="3"/>
      <c r="D126" s="3"/>
      <c r="E126" s="3"/>
      <c r="F126" s="3"/>
      <c r="G126" s="8"/>
      <c r="H126" s="3"/>
      <c r="I126" s="3"/>
      <c r="J126" s="3"/>
      <c r="K126" s="3"/>
      <c r="L126" s="8"/>
      <c r="M126" s="3"/>
    </row>
    <row r="127" ht="13.5" customHeight="1">
      <c r="A127" s="3"/>
      <c r="B127" s="3"/>
      <c r="C127" s="3"/>
      <c r="D127" s="3"/>
      <c r="E127" s="3"/>
      <c r="F127" s="3"/>
      <c r="G127" s="8"/>
      <c r="H127" s="3"/>
      <c r="I127" s="3"/>
      <c r="J127" s="3"/>
      <c r="K127" s="3"/>
      <c r="L127" s="8"/>
      <c r="M127" s="3"/>
    </row>
    <row r="128" ht="13.5" customHeight="1">
      <c r="A128" s="3"/>
      <c r="B128" s="3"/>
      <c r="C128" s="3"/>
      <c r="D128" s="3"/>
      <c r="E128" s="3"/>
      <c r="F128" s="3"/>
      <c r="G128" s="8"/>
      <c r="H128" s="3"/>
      <c r="I128" s="3"/>
      <c r="J128" s="3"/>
      <c r="K128" s="3"/>
      <c r="L128" s="8"/>
      <c r="M128" s="3"/>
    </row>
    <row r="129" ht="13.5" customHeight="1">
      <c r="A129" s="3"/>
      <c r="B129" s="3"/>
      <c r="C129" s="3"/>
      <c r="D129" s="3"/>
      <c r="E129" s="3"/>
      <c r="F129" s="3"/>
      <c r="G129" s="8"/>
      <c r="H129" s="3"/>
      <c r="I129" s="3"/>
      <c r="J129" s="3"/>
      <c r="K129" s="3"/>
      <c r="L129" s="8"/>
      <c r="M129" s="3"/>
    </row>
    <row r="130" ht="13.5" customHeight="1">
      <c r="A130" s="3"/>
      <c r="B130" s="3"/>
      <c r="C130" s="3"/>
      <c r="D130" s="3"/>
      <c r="E130" s="3"/>
      <c r="F130" s="3"/>
      <c r="G130" s="8"/>
      <c r="H130" s="3"/>
      <c r="I130" s="3"/>
      <c r="J130" s="3"/>
      <c r="K130" s="3"/>
      <c r="L130" s="8"/>
      <c r="M130" s="3"/>
    </row>
    <row r="131" ht="13.5" customHeight="1">
      <c r="A131" s="3"/>
      <c r="B131" s="3"/>
      <c r="C131" s="3"/>
      <c r="D131" s="3"/>
      <c r="E131" s="3"/>
      <c r="F131" s="3"/>
      <c r="G131" s="8"/>
      <c r="H131" s="3"/>
      <c r="I131" s="3"/>
      <c r="J131" s="3"/>
      <c r="K131" s="3"/>
      <c r="L131" s="8"/>
      <c r="M131" s="3"/>
    </row>
    <row r="132" ht="13.5" customHeight="1">
      <c r="A132" s="3"/>
      <c r="B132" s="3"/>
      <c r="C132" s="3"/>
      <c r="D132" s="3"/>
      <c r="E132" s="3"/>
      <c r="F132" s="3"/>
      <c r="G132" s="8"/>
      <c r="H132" s="3"/>
      <c r="I132" s="3"/>
      <c r="J132" s="3"/>
      <c r="K132" s="3"/>
      <c r="L132" s="8"/>
      <c r="M132" s="3"/>
    </row>
    <row r="133" ht="13.5" customHeight="1">
      <c r="A133" s="3"/>
      <c r="B133" s="3"/>
      <c r="C133" s="3"/>
      <c r="D133" s="3"/>
      <c r="E133" s="3"/>
      <c r="F133" s="3"/>
      <c r="G133" s="8"/>
      <c r="H133" s="3"/>
      <c r="I133" s="3"/>
      <c r="J133" s="3"/>
      <c r="K133" s="3"/>
      <c r="L133" s="8"/>
      <c r="M133" s="3"/>
    </row>
    <row r="134" ht="13.5" customHeight="1">
      <c r="A134" s="3"/>
      <c r="B134" s="3"/>
      <c r="C134" s="3"/>
      <c r="D134" s="3"/>
      <c r="E134" s="3"/>
      <c r="F134" s="3"/>
      <c r="G134" s="8"/>
      <c r="H134" s="3"/>
      <c r="I134" s="3"/>
      <c r="J134" s="3"/>
      <c r="K134" s="3"/>
      <c r="L134" s="8"/>
      <c r="M134" s="3"/>
    </row>
    <row r="135" ht="13.5" customHeight="1">
      <c r="A135" s="3"/>
      <c r="B135" s="3"/>
      <c r="C135" s="3"/>
      <c r="D135" s="3"/>
      <c r="E135" s="3"/>
      <c r="F135" s="3"/>
      <c r="G135" s="8"/>
      <c r="H135" s="3"/>
      <c r="I135" s="3"/>
      <c r="J135" s="3"/>
      <c r="K135" s="3"/>
      <c r="L135" s="8"/>
      <c r="M135" s="3"/>
    </row>
    <row r="136" ht="13.5" customHeight="1">
      <c r="A136" s="3"/>
      <c r="B136" s="3"/>
      <c r="C136" s="3"/>
      <c r="D136" s="3"/>
      <c r="E136" s="3"/>
      <c r="F136" s="3"/>
      <c r="G136" s="8"/>
      <c r="H136" s="3"/>
      <c r="I136" s="3"/>
      <c r="J136" s="3"/>
      <c r="K136" s="3"/>
      <c r="L136" s="8"/>
      <c r="M136" s="3"/>
    </row>
    <row r="137" ht="13.5" customHeight="1">
      <c r="A137" s="3"/>
      <c r="B137" s="3"/>
      <c r="C137" s="3"/>
      <c r="D137" s="3"/>
      <c r="E137" s="3"/>
      <c r="F137" s="3"/>
      <c r="G137" s="8"/>
      <c r="H137" s="3"/>
      <c r="I137" s="3"/>
      <c r="J137" s="3"/>
      <c r="K137" s="3"/>
      <c r="L137" s="8"/>
      <c r="M137" s="3"/>
    </row>
    <row r="138" ht="13.5" customHeight="1">
      <c r="A138" s="3"/>
      <c r="B138" s="3"/>
      <c r="C138" s="3"/>
      <c r="D138" s="3"/>
      <c r="E138" s="3"/>
      <c r="F138" s="3"/>
      <c r="G138" s="8"/>
      <c r="H138" s="3"/>
      <c r="I138" s="3"/>
      <c r="J138" s="3"/>
      <c r="K138" s="3"/>
      <c r="L138" s="8"/>
      <c r="M138" s="3"/>
    </row>
    <row r="139" ht="13.5" customHeight="1">
      <c r="A139" s="3"/>
      <c r="B139" s="3"/>
      <c r="C139" s="3"/>
      <c r="D139" s="3"/>
      <c r="E139" s="3"/>
      <c r="F139" s="3"/>
      <c r="G139" s="8"/>
      <c r="H139" s="3"/>
      <c r="I139" s="3"/>
      <c r="J139" s="3"/>
      <c r="K139" s="3"/>
      <c r="L139" s="8"/>
      <c r="M139" s="3"/>
    </row>
    <row r="140" ht="13.5" customHeight="1">
      <c r="A140" s="3"/>
      <c r="B140" s="3"/>
      <c r="C140" s="3"/>
      <c r="D140" s="3"/>
      <c r="E140" s="3"/>
      <c r="F140" s="3"/>
      <c r="G140" s="8"/>
      <c r="H140" s="3"/>
      <c r="I140" s="3"/>
      <c r="J140" s="3"/>
      <c r="K140" s="3"/>
      <c r="L140" s="8"/>
      <c r="M140" s="3"/>
    </row>
    <row r="141" ht="13.5" customHeight="1">
      <c r="A141" s="3"/>
      <c r="B141" s="3"/>
      <c r="C141" s="3"/>
      <c r="D141" s="3"/>
      <c r="E141" s="3"/>
      <c r="F141" s="3"/>
      <c r="G141" s="8"/>
      <c r="H141" s="3"/>
      <c r="I141" s="3"/>
      <c r="J141" s="3"/>
      <c r="K141" s="3"/>
      <c r="L141" s="8"/>
      <c r="M141" s="3"/>
    </row>
    <row r="142" ht="13.5" customHeight="1">
      <c r="A142" s="3"/>
      <c r="B142" s="3"/>
      <c r="C142" s="3"/>
      <c r="D142" s="3"/>
      <c r="E142" s="3"/>
      <c r="F142" s="3"/>
      <c r="G142" s="8"/>
      <c r="H142" s="3"/>
      <c r="I142" s="3"/>
      <c r="J142" s="3"/>
      <c r="K142" s="3"/>
      <c r="L142" s="8"/>
      <c r="M142" s="3"/>
    </row>
    <row r="143" ht="13.5" customHeight="1">
      <c r="A143" s="3"/>
      <c r="B143" s="3"/>
      <c r="C143" s="3"/>
      <c r="D143" s="3"/>
      <c r="E143" s="3"/>
      <c r="F143" s="3"/>
      <c r="G143" s="8"/>
      <c r="H143" s="3"/>
      <c r="I143" s="3"/>
      <c r="J143" s="3"/>
      <c r="K143" s="3"/>
      <c r="L143" s="8"/>
      <c r="M143" s="3"/>
    </row>
    <row r="144" ht="13.5" customHeight="1">
      <c r="A144" s="3"/>
      <c r="B144" s="3"/>
      <c r="C144" s="3"/>
      <c r="D144" s="3"/>
      <c r="E144" s="3"/>
      <c r="F144" s="3"/>
      <c r="G144" s="8"/>
      <c r="H144" s="3"/>
      <c r="I144" s="3"/>
      <c r="J144" s="3"/>
      <c r="K144" s="3"/>
      <c r="L144" s="8"/>
      <c r="M144" s="3"/>
    </row>
    <row r="145" ht="13.5" customHeight="1">
      <c r="A145" s="3"/>
      <c r="B145" s="3"/>
      <c r="C145" s="3"/>
      <c r="D145" s="3"/>
      <c r="E145" s="3"/>
      <c r="F145" s="3"/>
      <c r="G145" s="8"/>
      <c r="H145" s="3"/>
      <c r="I145" s="3"/>
      <c r="J145" s="3"/>
      <c r="K145" s="3"/>
      <c r="L145" s="8"/>
      <c r="M145" s="3"/>
    </row>
    <row r="146" ht="13.5" customHeight="1">
      <c r="A146" s="3"/>
      <c r="B146" s="3"/>
      <c r="C146" s="3"/>
      <c r="D146" s="3"/>
      <c r="E146" s="3"/>
      <c r="F146" s="3"/>
      <c r="G146" s="8"/>
      <c r="H146" s="3"/>
      <c r="I146" s="3"/>
      <c r="J146" s="3"/>
      <c r="K146" s="3"/>
      <c r="L146" s="8"/>
      <c r="M146" s="3"/>
    </row>
    <row r="147" ht="13.5" customHeight="1">
      <c r="A147" s="3"/>
      <c r="B147" s="3"/>
      <c r="C147" s="3"/>
      <c r="D147" s="3"/>
      <c r="E147" s="3"/>
      <c r="F147" s="3"/>
      <c r="G147" s="8"/>
      <c r="H147" s="3"/>
      <c r="I147" s="3"/>
      <c r="J147" s="3"/>
      <c r="K147" s="3"/>
      <c r="L147" s="8"/>
      <c r="M147" s="3"/>
    </row>
    <row r="148" ht="13.5" customHeight="1">
      <c r="A148" s="3"/>
      <c r="B148" s="3"/>
      <c r="C148" s="3"/>
      <c r="D148" s="3"/>
      <c r="E148" s="3"/>
      <c r="F148" s="3"/>
      <c r="G148" s="8"/>
      <c r="H148" s="3"/>
      <c r="I148" s="3"/>
      <c r="J148" s="3"/>
      <c r="K148" s="3"/>
      <c r="L148" s="8"/>
      <c r="M148" s="3"/>
    </row>
    <row r="149" ht="13.5" customHeight="1">
      <c r="A149" s="3"/>
      <c r="B149" s="3"/>
      <c r="C149" s="3"/>
      <c r="D149" s="3"/>
      <c r="E149" s="3"/>
      <c r="F149" s="3"/>
      <c r="G149" s="8"/>
      <c r="H149" s="3"/>
      <c r="I149" s="3"/>
      <c r="J149" s="3"/>
      <c r="K149" s="3"/>
      <c r="L149" s="8"/>
      <c r="M149" s="3"/>
    </row>
    <row r="150" ht="13.5" customHeight="1">
      <c r="A150" s="3"/>
      <c r="B150" s="3"/>
      <c r="C150" s="3"/>
      <c r="D150" s="3"/>
      <c r="E150" s="3"/>
      <c r="F150" s="3"/>
      <c r="G150" s="8"/>
      <c r="H150" s="3"/>
      <c r="I150" s="3"/>
      <c r="J150" s="3"/>
      <c r="K150" s="3"/>
      <c r="L150" s="8"/>
      <c r="M150" s="3"/>
    </row>
    <row r="151" ht="13.5" customHeight="1">
      <c r="A151" s="3"/>
      <c r="B151" s="3"/>
      <c r="C151" s="3"/>
      <c r="D151" s="3"/>
      <c r="E151" s="3"/>
      <c r="F151" s="3"/>
      <c r="G151" s="8"/>
      <c r="H151" s="3"/>
      <c r="I151" s="3"/>
      <c r="J151" s="3"/>
      <c r="K151" s="3"/>
      <c r="L151" s="8"/>
      <c r="M151" s="3"/>
    </row>
    <row r="152" ht="13.5" customHeight="1">
      <c r="A152" s="3"/>
      <c r="B152" s="3"/>
      <c r="C152" s="3"/>
      <c r="D152" s="3"/>
      <c r="E152" s="3"/>
      <c r="F152" s="3"/>
      <c r="G152" s="8"/>
      <c r="H152" s="3"/>
      <c r="I152" s="3"/>
      <c r="J152" s="3"/>
      <c r="K152" s="3"/>
      <c r="L152" s="8"/>
      <c r="M152" s="3"/>
    </row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</sheetData>
  <autoFilter ref="$A$1:$Z$20">
    <sortState ref="A1:Z20">
      <sortCondition ref="C1:C20"/>
    </sortState>
  </autoFilter>
  <dataValidations>
    <dataValidation type="list" allowBlank="1" sqref="K2:K152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6.63"/>
    <col customWidth="1" min="3" max="3" width="25.5"/>
    <col customWidth="1" min="4" max="4" width="12.0"/>
    <col customWidth="1" min="5" max="5" width="61.88"/>
    <col customWidth="1" min="6" max="6" width="26.38"/>
    <col customWidth="1" min="7" max="7" width="12.0"/>
    <col customWidth="1" min="8" max="8" width="16.0"/>
    <col customWidth="1" min="9" max="10" width="30.0"/>
    <col customWidth="1" min="11" max="11" width="15.5"/>
    <col customWidth="1" min="12" max="12" width="22.0"/>
    <col customWidth="1" min="13" max="13" width="12.0"/>
    <col customWidth="1" min="14" max="14" width="17.0"/>
    <col customWidth="1" min="15" max="15" width="30.0"/>
    <col customWidth="1" min="16" max="25" width="8.63"/>
  </cols>
  <sheetData>
    <row r="1" ht="18.0" customHeight="1">
      <c r="B1" s="2" t="s">
        <v>134</v>
      </c>
      <c r="C1" s="2" t="s">
        <v>19</v>
      </c>
      <c r="D1" s="2" t="s">
        <v>135</v>
      </c>
      <c r="E1" s="2" t="s">
        <v>136</v>
      </c>
      <c r="F1" s="2" t="s">
        <v>137</v>
      </c>
      <c r="G1" s="2" t="s">
        <v>40</v>
      </c>
      <c r="H1" s="2" t="s">
        <v>138</v>
      </c>
      <c r="I1" s="2" t="s">
        <v>139</v>
      </c>
      <c r="J1" s="2" t="s">
        <v>140</v>
      </c>
      <c r="K1" s="2" t="s">
        <v>15</v>
      </c>
      <c r="L1" s="2" t="s">
        <v>141</v>
      </c>
      <c r="M1" s="2" t="s">
        <v>3</v>
      </c>
      <c r="N1" s="2" t="s">
        <v>142</v>
      </c>
      <c r="O1" s="2" t="s">
        <v>17</v>
      </c>
    </row>
    <row r="2" ht="13.5" customHeight="1">
      <c r="A2" s="7">
        <v>1.0</v>
      </c>
      <c r="B2" s="15"/>
      <c r="C2" s="5" t="s">
        <v>143</v>
      </c>
      <c r="D2" s="5" t="s">
        <v>117</v>
      </c>
      <c r="E2" s="22" t="s">
        <v>144</v>
      </c>
      <c r="F2" s="5" t="s">
        <v>145</v>
      </c>
      <c r="G2" s="5"/>
      <c r="H2" s="3"/>
      <c r="I2" s="3"/>
      <c r="J2" s="3"/>
      <c r="K2" s="5" t="s">
        <v>146</v>
      </c>
      <c r="L2" s="8"/>
      <c r="M2" s="5"/>
      <c r="N2" s="15"/>
      <c r="O2" s="3"/>
    </row>
    <row r="3" ht="13.5" customHeight="1">
      <c r="A3" s="7">
        <v>2.0</v>
      </c>
      <c r="B3" s="15"/>
      <c r="C3" s="5" t="s">
        <v>143</v>
      </c>
      <c r="D3" s="5" t="s">
        <v>117</v>
      </c>
      <c r="E3" s="23" t="s">
        <v>147</v>
      </c>
      <c r="F3" s="5" t="s">
        <v>145</v>
      </c>
      <c r="G3" s="5"/>
      <c r="H3" s="3"/>
      <c r="I3" s="3"/>
      <c r="J3" s="3"/>
      <c r="K3" s="5" t="s">
        <v>146</v>
      </c>
      <c r="L3" s="8"/>
      <c r="M3" s="5"/>
      <c r="N3" s="15"/>
      <c r="O3" s="3"/>
    </row>
    <row r="4" ht="13.5" customHeight="1">
      <c r="A4" s="7">
        <v>3.0</v>
      </c>
      <c r="B4" s="15"/>
      <c r="C4" s="5" t="s">
        <v>143</v>
      </c>
      <c r="D4" s="5" t="s">
        <v>117</v>
      </c>
      <c r="E4" s="23" t="s">
        <v>148</v>
      </c>
      <c r="F4" s="5" t="s">
        <v>145</v>
      </c>
      <c r="G4" s="3"/>
      <c r="H4" s="3"/>
      <c r="I4" s="3"/>
      <c r="J4" s="3"/>
      <c r="K4" s="5" t="s">
        <v>146</v>
      </c>
      <c r="L4" s="8"/>
      <c r="M4" s="3"/>
      <c r="N4" s="8"/>
      <c r="O4" s="3"/>
    </row>
    <row r="5" ht="13.5" customHeight="1">
      <c r="A5" s="10">
        <f t="shared" ref="A5:A64" si="1">A4+1</f>
        <v>4</v>
      </c>
      <c r="B5" s="16"/>
      <c r="C5" s="5" t="s">
        <v>143</v>
      </c>
      <c r="D5" s="5" t="s">
        <v>117</v>
      </c>
      <c r="E5" s="23" t="s">
        <v>149</v>
      </c>
      <c r="F5" s="5" t="s">
        <v>145</v>
      </c>
      <c r="G5" s="5"/>
      <c r="H5" s="3"/>
      <c r="I5" s="3"/>
      <c r="J5" s="3"/>
      <c r="K5" s="5"/>
      <c r="L5" s="8"/>
      <c r="M5" s="5"/>
      <c r="N5" s="8"/>
      <c r="O5" s="3"/>
    </row>
    <row r="6" ht="13.5" customHeight="1">
      <c r="A6" s="10">
        <f t="shared" si="1"/>
        <v>5</v>
      </c>
      <c r="B6" s="16"/>
      <c r="C6" s="5" t="s">
        <v>143</v>
      </c>
      <c r="D6" s="5" t="s">
        <v>117</v>
      </c>
      <c r="E6" s="23" t="s">
        <v>150</v>
      </c>
      <c r="F6" s="5" t="s">
        <v>145</v>
      </c>
      <c r="G6" s="5"/>
      <c r="H6" s="3"/>
      <c r="I6" s="3"/>
      <c r="J6" s="3"/>
      <c r="K6" s="5"/>
      <c r="L6" s="8"/>
      <c r="M6" s="5"/>
      <c r="N6" s="8"/>
      <c r="O6" s="3"/>
    </row>
    <row r="7" ht="13.5" customHeight="1">
      <c r="A7" s="10">
        <f t="shared" si="1"/>
        <v>6</v>
      </c>
      <c r="B7" s="16"/>
      <c r="C7" s="5" t="s">
        <v>143</v>
      </c>
      <c r="D7" s="5" t="s">
        <v>117</v>
      </c>
      <c r="E7" s="23" t="s">
        <v>151</v>
      </c>
      <c r="F7" s="5" t="s">
        <v>152</v>
      </c>
      <c r="G7" s="5"/>
      <c r="H7" s="3"/>
      <c r="I7" s="3"/>
      <c r="J7" s="3"/>
      <c r="K7" s="5"/>
      <c r="L7" s="8"/>
      <c r="M7" s="5"/>
      <c r="N7" s="8"/>
      <c r="O7" s="3"/>
    </row>
    <row r="8" ht="13.5" customHeight="1">
      <c r="A8" s="10">
        <f t="shared" si="1"/>
        <v>7</v>
      </c>
      <c r="B8" s="17"/>
      <c r="C8" s="5" t="s">
        <v>153</v>
      </c>
      <c r="D8" s="5" t="s">
        <v>154</v>
      </c>
      <c r="E8" s="23" t="s">
        <v>155</v>
      </c>
      <c r="F8" s="5" t="s">
        <v>145</v>
      </c>
      <c r="G8" s="5"/>
      <c r="H8" s="3"/>
      <c r="I8" s="3"/>
      <c r="J8" s="3"/>
      <c r="K8" s="5"/>
      <c r="L8" s="8"/>
      <c r="M8" s="5"/>
      <c r="N8" s="8"/>
      <c r="O8" s="3"/>
    </row>
    <row r="9" ht="13.5" customHeight="1">
      <c r="A9" s="10">
        <f t="shared" si="1"/>
        <v>8</v>
      </c>
      <c r="B9" s="16"/>
      <c r="C9" s="5" t="s">
        <v>153</v>
      </c>
      <c r="D9" s="5" t="s">
        <v>154</v>
      </c>
      <c r="E9" s="23" t="s">
        <v>156</v>
      </c>
      <c r="F9" s="5" t="s">
        <v>145</v>
      </c>
      <c r="G9" s="5"/>
      <c r="H9" s="3"/>
      <c r="I9" s="3"/>
      <c r="J9" s="3"/>
      <c r="K9" s="5"/>
      <c r="L9" s="8"/>
      <c r="M9" s="5"/>
      <c r="N9" s="8"/>
      <c r="O9" s="3"/>
    </row>
    <row r="10" ht="13.5" customHeight="1">
      <c r="A10" s="10">
        <f t="shared" si="1"/>
        <v>9</v>
      </c>
      <c r="B10" s="16"/>
      <c r="C10" s="5" t="s">
        <v>153</v>
      </c>
      <c r="D10" s="5" t="s">
        <v>154</v>
      </c>
      <c r="E10" s="23" t="s">
        <v>157</v>
      </c>
      <c r="F10" s="5" t="s">
        <v>145</v>
      </c>
      <c r="G10" s="5"/>
      <c r="H10" s="3"/>
      <c r="I10" s="3"/>
      <c r="J10" s="3"/>
      <c r="K10" s="5"/>
      <c r="L10" s="8"/>
      <c r="M10" s="5"/>
      <c r="N10" s="8"/>
      <c r="O10" s="3"/>
    </row>
    <row r="11" ht="13.5" customHeight="1">
      <c r="A11" s="10">
        <f t="shared" si="1"/>
        <v>10</v>
      </c>
      <c r="B11" s="8"/>
      <c r="C11" s="5" t="s">
        <v>153</v>
      </c>
      <c r="D11" s="5" t="s">
        <v>154</v>
      </c>
      <c r="E11" s="24" t="s">
        <v>158</v>
      </c>
      <c r="F11" s="5" t="s">
        <v>152</v>
      </c>
      <c r="G11" s="3"/>
      <c r="H11" s="3"/>
      <c r="I11" s="3"/>
      <c r="J11" s="3"/>
      <c r="K11" s="3"/>
      <c r="L11" s="8"/>
      <c r="M11" s="3"/>
      <c r="N11" s="8"/>
      <c r="O11" s="3"/>
    </row>
    <row r="12" ht="13.5" customHeight="1">
      <c r="A12" s="10">
        <f t="shared" si="1"/>
        <v>11</v>
      </c>
      <c r="B12" s="8"/>
      <c r="C12" s="5" t="s">
        <v>159</v>
      </c>
      <c r="D12" s="5" t="s">
        <v>160</v>
      </c>
      <c r="E12" s="24" t="s">
        <v>161</v>
      </c>
      <c r="F12" s="5" t="s">
        <v>152</v>
      </c>
      <c r="G12" s="3"/>
      <c r="H12" s="3"/>
      <c r="I12" s="3"/>
      <c r="J12" s="3"/>
      <c r="K12" s="3"/>
      <c r="L12" s="8"/>
      <c r="M12" s="3"/>
      <c r="N12" s="8"/>
      <c r="O12" s="3"/>
    </row>
    <row r="13" ht="13.5" customHeight="1">
      <c r="A13" s="10">
        <f t="shared" si="1"/>
        <v>12</v>
      </c>
      <c r="B13" s="8"/>
      <c r="C13" s="5" t="s">
        <v>159</v>
      </c>
      <c r="D13" s="5" t="s">
        <v>160</v>
      </c>
      <c r="E13" s="24" t="s">
        <v>162</v>
      </c>
      <c r="F13" s="5" t="s">
        <v>163</v>
      </c>
      <c r="G13" s="3"/>
      <c r="H13" s="3"/>
      <c r="I13" s="3"/>
      <c r="J13" s="3"/>
      <c r="K13" s="3"/>
      <c r="L13" s="8"/>
      <c r="M13" s="3"/>
      <c r="N13" s="8"/>
      <c r="O13" s="3"/>
    </row>
    <row r="14" ht="13.5" customHeight="1">
      <c r="A14" s="10">
        <f t="shared" si="1"/>
        <v>13</v>
      </c>
      <c r="B14" s="8"/>
      <c r="C14" s="5" t="s">
        <v>159</v>
      </c>
      <c r="D14" s="5" t="s">
        <v>160</v>
      </c>
      <c r="E14" s="24" t="s">
        <v>164</v>
      </c>
      <c r="F14" s="5" t="s">
        <v>163</v>
      </c>
      <c r="G14" s="3"/>
      <c r="H14" s="3"/>
      <c r="I14" s="3"/>
      <c r="J14" s="3"/>
      <c r="K14" s="3"/>
      <c r="L14" s="8"/>
      <c r="M14" s="3"/>
      <c r="N14" s="8"/>
      <c r="O14" s="3"/>
    </row>
    <row r="15" ht="13.5" customHeight="1">
      <c r="A15" s="10">
        <f t="shared" si="1"/>
        <v>14</v>
      </c>
      <c r="B15" s="8"/>
      <c r="C15" s="5" t="s">
        <v>159</v>
      </c>
      <c r="D15" s="5" t="s">
        <v>160</v>
      </c>
      <c r="E15" s="24" t="s">
        <v>165</v>
      </c>
      <c r="F15" s="5" t="s">
        <v>163</v>
      </c>
      <c r="G15" s="3"/>
      <c r="H15" s="3"/>
      <c r="I15" s="3"/>
      <c r="J15" s="3"/>
      <c r="K15" s="3"/>
      <c r="L15" s="8"/>
      <c r="M15" s="3"/>
      <c r="N15" s="8"/>
      <c r="O15" s="3"/>
    </row>
    <row r="16" ht="13.5" customHeight="1">
      <c r="A16" s="10">
        <f t="shared" si="1"/>
        <v>15</v>
      </c>
      <c r="B16" s="8"/>
      <c r="C16" s="5" t="s">
        <v>159</v>
      </c>
      <c r="D16" s="5" t="s">
        <v>160</v>
      </c>
      <c r="E16" s="24" t="s">
        <v>166</v>
      </c>
      <c r="F16" s="5" t="s">
        <v>163</v>
      </c>
      <c r="G16" s="3"/>
      <c r="H16" s="3"/>
      <c r="I16" s="3"/>
      <c r="J16" s="3"/>
      <c r="K16" s="3"/>
      <c r="L16" s="8"/>
      <c r="M16" s="3"/>
      <c r="N16" s="8"/>
      <c r="O16" s="3"/>
    </row>
    <row r="17" ht="13.5" customHeight="1">
      <c r="A17" s="10">
        <f t="shared" si="1"/>
        <v>16</v>
      </c>
      <c r="B17" s="8"/>
      <c r="C17" s="5" t="s">
        <v>159</v>
      </c>
      <c r="D17" s="5" t="s">
        <v>160</v>
      </c>
      <c r="E17" s="24" t="s">
        <v>167</v>
      </c>
      <c r="F17" s="5" t="s">
        <v>163</v>
      </c>
      <c r="G17" s="3"/>
      <c r="H17" s="3"/>
      <c r="I17" s="3"/>
      <c r="J17" s="3"/>
      <c r="K17" s="3"/>
      <c r="L17" s="8"/>
      <c r="M17" s="3"/>
      <c r="N17" s="8"/>
      <c r="O17" s="3"/>
    </row>
    <row r="18" ht="13.5" customHeight="1">
      <c r="A18" s="10">
        <f t="shared" si="1"/>
        <v>17</v>
      </c>
      <c r="B18" s="8"/>
      <c r="C18" s="5" t="s">
        <v>159</v>
      </c>
      <c r="D18" s="5" t="s">
        <v>160</v>
      </c>
      <c r="E18" s="24" t="s">
        <v>168</v>
      </c>
      <c r="F18" s="5" t="s">
        <v>163</v>
      </c>
      <c r="G18" s="3"/>
      <c r="H18" s="3"/>
      <c r="I18" s="3"/>
      <c r="J18" s="3"/>
      <c r="K18" s="3"/>
      <c r="L18" s="8"/>
      <c r="M18" s="3"/>
      <c r="N18" s="8"/>
      <c r="O18" s="3"/>
    </row>
    <row r="19" ht="13.5" customHeight="1">
      <c r="A19" s="10">
        <f t="shared" si="1"/>
        <v>18</v>
      </c>
      <c r="B19" s="8"/>
      <c r="C19" s="5" t="s">
        <v>169</v>
      </c>
      <c r="D19" s="5" t="s">
        <v>170</v>
      </c>
      <c r="E19" s="24" t="s">
        <v>171</v>
      </c>
      <c r="F19" s="5" t="s">
        <v>145</v>
      </c>
      <c r="G19" s="3"/>
      <c r="H19" s="3"/>
      <c r="I19" s="3"/>
      <c r="J19" s="3"/>
      <c r="K19" s="3"/>
      <c r="L19" s="8"/>
      <c r="M19" s="3"/>
      <c r="N19" s="8"/>
      <c r="O19" s="3"/>
    </row>
    <row r="20" ht="13.5" customHeight="1">
      <c r="A20" s="10">
        <f t="shared" si="1"/>
        <v>19</v>
      </c>
      <c r="B20" s="8"/>
      <c r="C20" s="5" t="s">
        <v>169</v>
      </c>
      <c r="D20" s="5" t="s">
        <v>170</v>
      </c>
      <c r="E20" s="24" t="s">
        <v>172</v>
      </c>
      <c r="F20" s="5" t="s">
        <v>145</v>
      </c>
      <c r="G20" s="3"/>
      <c r="H20" s="3"/>
      <c r="I20" s="3"/>
      <c r="J20" s="3"/>
      <c r="K20" s="3"/>
      <c r="L20" s="8"/>
      <c r="M20" s="3"/>
      <c r="N20" s="8"/>
      <c r="O20" s="3"/>
    </row>
    <row r="21" ht="13.5" customHeight="1">
      <c r="A21" s="10">
        <f t="shared" si="1"/>
        <v>20</v>
      </c>
      <c r="B21" s="8"/>
      <c r="C21" s="5" t="s">
        <v>169</v>
      </c>
      <c r="D21" s="5" t="s">
        <v>170</v>
      </c>
      <c r="E21" s="24" t="s">
        <v>173</v>
      </c>
      <c r="F21" s="5" t="s">
        <v>145</v>
      </c>
      <c r="G21" s="3"/>
      <c r="H21" s="3"/>
      <c r="I21" s="3"/>
      <c r="J21" s="3"/>
      <c r="K21" s="3"/>
      <c r="L21" s="8"/>
      <c r="M21" s="3"/>
      <c r="N21" s="8"/>
      <c r="O21" s="3"/>
    </row>
    <row r="22" ht="13.5" customHeight="1">
      <c r="A22" s="10">
        <f t="shared" si="1"/>
        <v>21</v>
      </c>
      <c r="B22" s="8"/>
      <c r="C22" s="5" t="s">
        <v>169</v>
      </c>
      <c r="D22" s="5" t="s">
        <v>170</v>
      </c>
      <c r="E22" s="24" t="s">
        <v>174</v>
      </c>
      <c r="F22" s="5" t="s">
        <v>145</v>
      </c>
      <c r="G22" s="3"/>
      <c r="H22" s="3"/>
      <c r="I22" s="3"/>
      <c r="J22" s="3"/>
      <c r="K22" s="3"/>
      <c r="L22" s="8"/>
      <c r="M22" s="3"/>
      <c r="N22" s="8"/>
      <c r="O22" s="3"/>
    </row>
    <row r="23" ht="13.5" customHeight="1">
      <c r="A23" s="10">
        <f t="shared" si="1"/>
        <v>22</v>
      </c>
      <c r="B23" s="8"/>
      <c r="C23" s="5" t="s">
        <v>169</v>
      </c>
      <c r="D23" s="5" t="s">
        <v>170</v>
      </c>
      <c r="E23" s="24" t="s">
        <v>175</v>
      </c>
      <c r="F23" s="5" t="s">
        <v>145</v>
      </c>
      <c r="G23" s="3"/>
      <c r="H23" s="3"/>
      <c r="I23" s="3"/>
      <c r="J23" s="3"/>
      <c r="K23" s="3"/>
      <c r="L23" s="8"/>
      <c r="M23" s="3"/>
      <c r="N23" s="8"/>
      <c r="O23" s="3"/>
    </row>
    <row r="24" ht="13.5" customHeight="1">
      <c r="A24" s="10">
        <f t="shared" si="1"/>
        <v>23</v>
      </c>
      <c r="B24" s="8"/>
      <c r="C24" s="5" t="s">
        <v>169</v>
      </c>
      <c r="D24" s="5" t="s">
        <v>170</v>
      </c>
      <c r="E24" s="24" t="s">
        <v>176</v>
      </c>
      <c r="F24" s="5" t="s">
        <v>145</v>
      </c>
      <c r="G24" s="3"/>
      <c r="H24" s="3"/>
      <c r="I24" s="3"/>
      <c r="J24" s="3"/>
      <c r="K24" s="3"/>
      <c r="L24" s="8"/>
      <c r="M24" s="3"/>
      <c r="N24" s="8"/>
      <c r="O24" s="3"/>
    </row>
    <row r="25" ht="13.5" customHeight="1">
      <c r="A25" s="10">
        <f t="shared" si="1"/>
        <v>24</v>
      </c>
      <c r="B25" s="8"/>
      <c r="C25" s="5" t="s">
        <v>169</v>
      </c>
      <c r="D25" s="5" t="s">
        <v>170</v>
      </c>
      <c r="E25" s="24" t="s">
        <v>177</v>
      </c>
      <c r="F25" s="5" t="s">
        <v>145</v>
      </c>
      <c r="G25" s="3"/>
      <c r="H25" s="3"/>
      <c r="I25" s="3"/>
      <c r="J25" s="3"/>
      <c r="K25" s="3"/>
      <c r="L25" s="8"/>
      <c r="M25" s="3"/>
      <c r="N25" s="8"/>
      <c r="O25" s="3"/>
    </row>
    <row r="26" ht="13.5" customHeight="1">
      <c r="A26" s="10">
        <f t="shared" si="1"/>
        <v>25</v>
      </c>
      <c r="B26" s="8"/>
      <c r="C26" s="5" t="s">
        <v>169</v>
      </c>
      <c r="D26" s="5" t="s">
        <v>170</v>
      </c>
      <c r="E26" s="24" t="s">
        <v>178</v>
      </c>
      <c r="F26" s="5" t="s">
        <v>145</v>
      </c>
      <c r="G26" s="3"/>
      <c r="H26" s="3"/>
      <c r="I26" s="3"/>
      <c r="J26" s="3"/>
      <c r="K26" s="3"/>
      <c r="L26" s="8"/>
      <c r="M26" s="3"/>
      <c r="N26" s="8"/>
      <c r="O26" s="3"/>
    </row>
    <row r="27" ht="13.5" customHeight="1">
      <c r="A27" s="10">
        <f t="shared" si="1"/>
        <v>26</v>
      </c>
      <c r="B27" s="8"/>
      <c r="C27" s="5" t="s">
        <v>169</v>
      </c>
      <c r="D27" s="5" t="s">
        <v>170</v>
      </c>
      <c r="E27" s="24" t="s">
        <v>179</v>
      </c>
      <c r="F27" s="5" t="s">
        <v>145</v>
      </c>
      <c r="G27" s="3"/>
      <c r="H27" s="3"/>
      <c r="I27" s="3"/>
      <c r="J27" s="3"/>
      <c r="K27" s="3"/>
      <c r="L27" s="8"/>
      <c r="M27" s="3"/>
      <c r="N27" s="8"/>
      <c r="O27" s="3"/>
    </row>
    <row r="28" ht="13.5" customHeight="1">
      <c r="A28" s="10">
        <f t="shared" si="1"/>
        <v>27</v>
      </c>
      <c r="B28" s="8"/>
      <c r="C28" s="5" t="s">
        <v>169</v>
      </c>
      <c r="D28" s="5" t="s">
        <v>170</v>
      </c>
      <c r="E28" s="24" t="s">
        <v>180</v>
      </c>
      <c r="F28" s="5" t="s">
        <v>145</v>
      </c>
      <c r="G28" s="3"/>
      <c r="H28" s="3"/>
      <c r="I28" s="3"/>
      <c r="J28" s="3"/>
      <c r="K28" s="3"/>
      <c r="L28" s="8"/>
      <c r="M28" s="3"/>
      <c r="N28" s="8"/>
      <c r="O28" s="3"/>
    </row>
    <row r="29" ht="13.5" customHeight="1">
      <c r="A29" s="10">
        <f t="shared" si="1"/>
        <v>28</v>
      </c>
      <c r="B29" s="8"/>
      <c r="C29" s="5" t="s">
        <v>169</v>
      </c>
      <c r="D29" s="5" t="s">
        <v>170</v>
      </c>
      <c r="E29" s="24" t="s">
        <v>181</v>
      </c>
      <c r="F29" s="5" t="s">
        <v>145</v>
      </c>
      <c r="G29" s="3"/>
      <c r="H29" s="3"/>
      <c r="I29" s="3"/>
      <c r="J29" s="3"/>
      <c r="K29" s="3"/>
      <c r="L29" s="8"/>
      <c r="M29" s="3"/>
      <c r="N29" s="8"/>
      <c r="O29" s="3"/>
    </row>
    <row r="30" ht="13.5" customHeight="1">
      <c r="A30" s="10">
        <f t="shared" si="1"/>
        <v>29</v>
      </c>
      <c r="B30" s="8"/>
      <c r="C30" s="5" t="s">
        <v>169</v>
      </c>
      <c r="D30" s="5" t="s">
        <v>170</v>
      </c>
      <c r="E30" s="24" t="s">
        <v>182</v>
      </c>
      <c r="F30" s="5" t="s">
        <v>145</v>
      </c>
      <c r="G30" s="3"/>
      <c r="H30" s="3"/>
      <c r="I30" s="3"/>
      <c r="J30" s="3"/>
      <c r="K30" s="3"/>
      <c r="L30" s="8"/>
      <c r="M30" s="3"/>
      <c r="N30" s="8"/>
      <c r="O30" s="3"/>
    </row>
    <row r="31" ht="13.5" customHeight="1">
      <c r="A31" s="10">
        <f t="shared" si="1"/>
        <v>30</v>
      </c>
      <c r="B31" s="8"/>
      <c r="C31" s="5" t="s">
        <v>183</v>
      </c>
      <c r="D31" s="5" t="s">
        <v>71</v>
      </c>
      <c r="E31" s="24" t="s">
        <v>184</v>
      </c>
      <c r="F31" s="5" t="s">
        <v>185</v>
      </c>
      <c r="G31" s="3"/>
      <c r="H31" s="3"/>
      <c r="I31" s="3"/>
      <c r="J31" s="3"/>
      <c r="K31" s="3"/>
      <c r="L31" s="8"/>
      <c r="M31" s="3"/>
      <c r="N31" s="8"/>
      <c r="O31" s="3"/>
    </row>
    <row r="32" ht="13.5" customHeight="1">
      <c r="A32" s="10">
        <f t="shared" si="1"/>
        <v>31</v>
      </c>
      <c r="B32" s="8"/>
      <c r="C32" s="5" t="s">
        <v>183</v>
      </c>
      <c r="D32" s="5" t="s">
        <v>71</v>
      </c>
      <c r="E32" s="24" t="s">
        <v>186</v>
      </c>
      <c r="F32" s="5" t="s">
        <v>185</v>
      </c>
      <c r="G32" s="3"/>
      <c r="H32" s="3"/>
      <c r="I32" s="3"/>
      <c r="J32" s="3"/>
      <c r="K32" s="3"/>
      <c r="L32" s="8"/>
      <c r="M32" s="3"/>
      <c r="N32" s="8"/>
      <c r="O32" s="3"/>
    </row>
    <row r="33" ht="13.5" customHeight="1">
      <c r="A33" s="10">
        <f t="shared" si="1"/>
        <v>32</v>
      </c>
      <c r="B33" s="8"/>
      <c r="C33" s="5" t="s">
        <v>183</v>
      </c>
      <c r="D33" s="5" t="s">
        <v>71</v>
      </c>
      <c r="E33" s="24" t="s">
        <v>187</v>
      </c>
      <c r="F33" s="5" t="s">
        <v>185</v>
      </c>
      <c r="G33" s="3"/>
      <c r="H33" s="3"/>
      <c r="I33" s="3"/>
      <c r="J33" s="3"/>
      <c r="K33" s="3"/>
      <c r="L33" s="8"/>
      <c r="M33" s="3"/>
      <c r="N33" s="8"/>
      <c r="O33" s="3"/>
    </row>
    <row r="34" ht="13.5" customHeight="1">
      <c r="A34" s="10">
        <f t="shared" si="1"/>
        <v>33</v>
      </c>
      <c r="B34" s="8"/>
      <c r="C34" s="5" t="s">
        <v>183</v>
      </c>
      <c r="D34" s="5" t="s">
        <v>71</v>
      </c>
      <c r="E34" s="24" t="s">
        <v>188</v>
      </c>
      <c r="F34" s="5" t="s">
        <v>185</v>
      </c>
      <c r="G34" s="3"/>
      <c r="H34" s="3"/>
      <c r="I34" s="3"/>
      <c r="J34" s="3"/>
      <c r="K34" s="3"/>
      <c r="L34" s="8"/>
      <c r="M34" s="3"/>
      <c r="N34" s="8"/>
      <c r="O34" s="3"/>
    </row>
    <row r="35" ht="13.5" customHeight="1">
      <c r="A35" s="10">
        <f t="shared" si="1"/>
        <v>34</v>
      </c>
      <c r="B35" s="8"/>
      <c r="C35" s="5" t="s">
        <v>183</v>
      </c>
      <c r="D35" s="5" t="s">
        <v>71</v>
      </c>
      <c r="E35" s="24" t="s">
        <v>189</v>
      </c>
      <c r="F35" s="5" t="s">
        <v>185</v>
      </c>
      <c r="G35" s="3"/>
      <c r="H35" s="3"/>
      <c r="I35" s="3"/>
      <c r="J35" s="3"/>
      <c r="K35" s="3"/>
      <c r="L35" s="8"/>
      <c r="M35" s="3"/>
      <c r="N35" s="8"/>
      <c r="O35" s="3"/>
    </row>
    <row r="36" ht="13.5" customHeight="1">
      <c r="A36" s="10">
        <f t="shared" si="1"/>
        <v>35</v>
      </c>
      <c r="B36" s="8"/>
      <c r="C36" s="5" t="s">
        <v>183</v>
      </c>
      <c r="D36" s="5" t="s">
        <v>71</v>
      </c>
      <c r="E36" s="24" t="s">
        <v>190</v>
      </c>
      <c r="F36" s="5" t="s">
        <v>185</v>
      </c>
      <c r="G36" s="3"/>
      <c r="H36" s="3"/>
      <c r="I36" s="3"/>
      <c r="J36" s="3"/>
      <c r="K36" s="3"/>
      <c r="L36" s="8"/>
      <c r="M36" s="3"/>
      <c r="N36" s="8"/>
      <c r="O36" s="3"/>
    </row>
    <row r="37" ht="13.5" customHeight="1">
      <c r="A37" s="10">
        <f t="shared" si="1"/>
        <v>36</v>
      </c>
      <c r="B37" s="8"/>
      <c r="C37" s="5" t="s">
        <v>183</v>
      </c>
      <c r="D37" s="5" t="s">
        <v>71</v>
      </c>
      <c r="E37" s="24" t="s">
        <v>191</v>
      </c>
      <c r="F37" s="5" t="s">
        <v>185</v>
      </c>
      <c r="G37" s="3"/>
      <c r="H37" s="3"/>
      <c r="I37" s="3"/>
      <c r="J37" s="3"/>
      <c r="K37" s="3"/>
      <c r="L37" s="8"/>
      <c r="M37" s="3"/>
      <c r="N37" s="8"/>
      <c r="O37" s="3"/>
    </row>
    <row r="38" ht="13.5" customHeight="1">
      <c r="A38" s="10">
        <f t="shared" si="1"/>
        <v>37</v>
      </c>
      <c r="B38" s="8"/>
      <c r="C38" s="5" t="s">
        <v>183</v>
      </c>
      <c r="D38" s="5" t="s">
        <v>71</v>
      </c>
      <c r="E38" s="24" t="s">
        <v>192</v>
      </c>
      <c r="F38" s="5" t="s">
        <v>185</v>
      </c>
      <c r="G38" s="3"/>
      <c r="H38" s="3"/>
      <c r="I38" s="3"/>
      <c r="J38" s="3"/>
      <c r="K38" s="3"/>
      <c r="L38" s="8"/>
      <c r="M38" s="3"/>
      <c r="N38" s="8"/>
      <c r="O38" s="3"/>
    </row>
    <row r="39" ht="13.5" customHeight="1">
      <c r="A39" s="10">
        <f t="shared" si="1"/>
        <v>38</v>
      </c>
      <c r="B39" s="8"/>
      <c r="C39" s="5" t="s">
        <v>183</v>
      </c>
      <c r="D39" s="5" t="s">
        <v>71</v>
      </c>
      <c r="E39" s="24" t="s">
        <v>193</v>
      </c>
      <c r="F39" s="5" t="s">
        <v>185</v>
      </c>
      <c r="G39" s="3"/>
      <c r="H39" s="3"/>
      <c r="I39" s="3"/>
      <c r="J39" s="3"/>
      <c r="K39" s="3"/>
      <c r="L39" s="8"/>
      <c r="M39" s="3"/>
      <c r="N39" s="8"/>
      <c r="O39" s="3"/>
    </row>
    <row r="40" ht="13.5" customHeight="1">
      <c r="A40" s="10">
        <f t="shared" si="1"/>
        <v>39</v>
      </c>
      <c r="B40" s="8"/>
      <c r="C40" s="5" t="s">
        <v>183</v>
      </c>
      <c r="D40" s="5" t="s">
        <v>71</v>
      </c>
      <c r="E40" s="24" t="s">
        <v>194</v>
      </c>
      <c r="F40" s="5" t="s">
        <v>185</v>
      </c>
      <c r="G40" s="3"/>
      <c r="H40" s="3"/>
      <c r="I40" s="3"/>
      <c r="J40" s="3"/>
      <c r="K40" s="3"/>
      <c r="L40" s="8"/>
      <c r="M40" s="3"/>
      <c r="N40" s="8"/>
      <c r="O40" s="3"/>
    </row>
    <row r="41" ht="13.5" customHeight="1">
      <c r="A41" s="10">
        <f t="shared" si="1"/>
        <v>40</v>
      </c>
      <c r="B41" s="8"/>
      <c r="C41" s="5" t="s">
        <v>183</v>
      </c>
      <c r="D41" s="5" t="s">
        <v>71</v>
      </c>
      <c r="E41" s="24" t="s">
        <v>195</v>
      </c>
      <c r="F41" s="5" t="s">
        <v>185</v>
      </c>
      <c r="G41" s="3"/>
      <c r="H41" s="3"/>
      <c r="I41" s="3"/>
      <c r="J41" s="3"/>
      <c r="K41" s="3"/>
      <c r="L41" s="8"/>
      <c r="M41" s="3"/>
      <c r="N41" s="8"/>
      <c r="O41" s="3"/>
    </row>
    <row r="42" ht="13.5" customHeight="1">
      <c r="A42" s="10">
        <f t="shared" si="1"/>
        <v>41</v>
      </c>
      <c r="B42" s="8"/>
      <c r="C42" s="5" t="s">
        <v>183</v>
      </c>
      <c r="D42" s="5" t="s">
        <v>71</v>
      </c>
      <c r="E42" s="24" t="s">
        <v>196</v>
      </c>
      <c r="F42" s="5" t="s">
        <v>185</v>
      </c>
      <c r="G42" s="3"/>
      <c r="H42" s="3"/>
      <c r="I42" s="3"/>
      <c r="J42" s="3"/>
      <c r="K42" s="3"/>
      <c r="L42" s="8"/>
      <c r="M42" s="3"/>
      <c r="N42" s="8"/>
      <c r="O42" s="3"/>
    </row>
    <row r="43" ht="13.5" customHeight="1">
      <c r="A43" s="10">
        <f t="shared" si="1"/>
        <v>42</v>
      </c>
      <c r="B43" s="8"/>
      <c r="C43" s="5" t="s">
        <v>183</v>
      </c>
      <c r="D43" s="5" t="s">
        <v>71</v>
      </c>
      <c r="E43" s="24" t="s">
        <v>197</v>
      </c>
      <c r="F43" s="5" t="s">
        <v>185</v>
      </c>
      <c r="G43" s="3"/>
      <c r="H43" s="3"/>
      <c r="I43" s="3"/>
      <c r="J43" s="3"/>
      <c r="K43" s="3"/>
      <c r="L43" s="8"/>
      <c r="M43" s="3"/>
      <c r="N43" s="8"/>
      <c r="O43" s="3"/>
    </row>
    <row r="44" ht="13.5" customHeight="1">
      <c r="A44" s="10">
        <f t="shared" si="1"/>
        <v>43</v>
      </c>
      <c r="B44" s="8"/>
      <c r="C44" s="5" t="s">
        <v>183</v>
      </c>
      <c r="D44" s="5" t="s">
        <v>71</v>
      </c>
      <c r="E44" s="24" t="s">
        <v>198</v>
      </c>
      <c r="F44" s="5" t="s">
        <v>185</v>
      </c>
      <c r="G44" s="3"/>
      <c r="H44" s="3"/>
      <c r="I44" s="3"/>
      <c r="J44" s="3"/>
      <c r="K44" s="3"/>
      <c r="L44" s="8"/>
      <c r="M44" s="3"/>
      <c r="N44" s="8"/>
      <c r="O44" s="3"/>
    </row>
    <row r="45" ht="13.5" customHeight="1">
      <c r="A45" s="10">
        <f t="shared" si="1"/>
        <v>44</v>
      </c>
      <c r="B45" s="8"/>
      <c r="C45" s="5" t="s">
        <v>183</v>
      </c>
      <c r="D45" s="5" t="s">
        <v>71</v>
      </c>
      <c r="E45" s="24" t="s">
        <v>199</v>
      </c>
      <c r="F45" s="5" t="s">
        <v>185</v>
      </c>
      <c r="G45" s="3"/>
      <c r="H45" s="3"/>
      <c r="I45" s="3"/>
      <c r="J45" s="3"/>
      <c r="K45" s="3"/>
      <c r="L45" s="8"/>
      <c r="M45" s="3"/>
      <c r="N45" s="8"/>
      <c r="O45" s="3"/>
    </row>
    <row r="46" ht="13.5" customHeight="1">
      <c r="A46" s="10">
        <f t="shared" si="1"/>
        <v>45</v>
      </c>
      <c r="B46" s="8"/>
      <c r="C46" s="5" t="s">
        <v>183</v>
      </c>
      <c r="D46" s="5" t="s">
        <v>71</v>
      </c>
      <c r="E46" s="24" t="s">
        <v>200</v>
      </c>
      <c r="F46" s="5" t="s">
        <v>185</v>
      </c>
      <c r="G46" s="3"/>
      <c r="H46" s="3"/>
      <c r="I46" s="3"/>
      <c r="J46" s="3"/>
      <c r="K46" s="3"/>
      <c r="L46" s="8"/>
      <c r="M46" s="3"/>
      <c r="N46" s="8"/>
      <c r="O46" s="3"/>
    </row>
    <row r="47" ht="13.5" customHeight="1">
      <c r="A47" s="10">
        <f t="shared" si="1"/>
        <v>46</v>
      </c>
      <c r="B47" s="8"/>
      <c r="C47" s="5" t="s">
        <v>183</v>
      </c>
      <c r="D47" s="5" t="s">
        <v>71</v>
      </c>
      <c r="E47" s="24" t="s">
        <v>201</v>
      </c>
      <c r="F47" s="5" t="s">
        <v>185</v>
      </c>
      <c r="G47" s="3"/>
      <c r="H47" s="3"/>
      <c r="I47" s="3"/>
      <c r="J47" s="3"/>
      <c r="K47" s="3"/>
      <c r="L47" s="8"/>
      <c r="M47" s="3"/>
      <c r="N47" s="8"/>
      <c r="O47" s="3"/>
    </row>
    <row r="48" ht="13.5" customHeight="1">
      <c r="A48" s="10">
        <f t="shared" si="1"/>
        <v>47</v>
      </c>
      <c r="B48" s="8"/>
      <c r="C48" s="5" t="s">
        <v>183</v>
      </c>
      <c r="D48" s="5" t="s">
        <v>71</v>
      </c>
      <c r="E48" s="24" t="s">
        <v>202</v>
      </c>
      <c r="F48" s="5" t="s">
        <v>185</v>
      </c>
      <c r="G48" s="3"/>
      <c r="H48" s="3"/>
      <c r="I48" s="3"/>
      <c r="J48" s="3"/>
      <c r="K48" s="3"/>
      <c r="L48" s="8"/>
      <c r="M48" s="3"/>
      <c r="N48" s="8"/>
      <c r="O48" s="3"/>
    </row>
    <row r="49" ht="13.5" customHeight="1">
      <c r="A49" s="10">
        <f t="shared" si="1"/>
        <v>48</v>
      </c>
      <c r="B49" s="8"/>
      <c r="C49" s="5" t="s">
        <v>183</v>
      </c>
      <c r="D49" s="5" t="s">
        <v>71</v>
      </c>
      <c r="E49" s="24" t="s">
        <v>203</v>
      </c>
      <c r="F49" s="5" t="s">
        <v>185</v>
      </c>
      <c r="G49" s="3"/>
      <c r="H49" s="3"/>
      <c r="I49" s="3"/>
      <c r="J49" s="3"/>
      <c r="K49" s="3"/>
      <c r="L49" s="8"/>
      <c r="M49" s="3"/>
      <c r="N49" s="8"/>
      <c r="O49" s="3"/>
    </row>
    <row r="50" ht="13.5" customHeight="1">
      <c r="A50" s="10">
        <f t="shared" si="1"/>
        <v>49</v>
      </c>
      <c r="B50" s="8"/>
      <c r="C50" s="5" t="s">
        <v>183</v>
      </c>
      <c r="D50" s="5" t="s">
        <v>71</v>
      </c>
      <c r="E50" s="24" t="s">
        <v>204</v>
      </c>
      <c r="F50" s="5" t="s">
        <v>185</v>
      </c>
      <c r="G50" s="3"/>
      <c r="H50" s="3"/>
      <c r="I50" s="3"/>
      <c r="J50" s="3"/>
      <c r="K50" s="3"/>
      <c r="L50" s="8"/>
      <c r="M50" s="3"/>
      <c r="N50" s="8"/>
      <c r="O50" s="3"/>
    </row>
    <row r="51" ht="13.5" customHeight="1">
      <c r="A51" s="10">
        <f t="shared" si="1"/>
        <v>50</v>
      </c>
      <c r="B51" s="8"/>
      <c r="C51" s="5" t="s">
        <v>183</v>
      </c>
      <c r="D51" s="5" t="s">
        <v>71</v>
      </c>
      <c r="E51" s="24" t="s">
        <v>205</v>
      </c>
      <c r="F51" s="5" t="s">
        <v>185</v>
      </c>
      <c r="G51" s="3"/>
      <c r="H51" s="3"/>
      <c r="I51" s="3"/>
      <c r="J51" s="3"/>
      <c r="K51" s="3"/>
      <c r="L51" s="8"/>
      <c r="M51" s="3"/>
      <c r="N51" s="8"/>
      <c r="O51" s="3"/>
    </row>
    <row r="52" ht="13.5" customHeight="1">
      <c r="A52" s="10">
        <f t="shared" si="1"/>
        <v>51</v>
      </c>
      <c r="B52" s="8"/>
      <c r="C52" s="5" t="s">
        <v>183</v>
      </c>
      <c r="D52" s="5" t="s">
        <v>71</v>
      </c>
      <c r="E52" s="24" t="s">
        <v>206</v>
      </c>
      <c r="F52" s="5" t="s">
        <v>185</v>
      </c>
      <c r="G52" s="3"/>
      <c r="H52" s="3"/>
      <c r="I52" s="3"/>
      <c r="J52" s="3"/>
      <c r="K52" s="3"/>
      <c r="L52" s="8"/>
      <c r="M52" s="3"/>
      <c r="N52" s="8"/>
      <c r="O52" s="3"/>
    </row>
    <row r="53" ht="13.5" customHeight="1">
      <c r="A53" s="10">
        <f t="shared" si="1"/>
        <v>52</v>
      </c>
      <c r="B53" s="8"/>
      <c r="C53" s="5" t="s">
        <v>183</v>
      </c>
      <c r="D53" s="5" t="s">
        <v>71</v>
      </c>
      <c r="E53" s="24" t="s">
        <v>207</v>
      </c>
      <c r="F53" s="5" t="s">
        <v>185</v>
      </c>
      <c r="G53" s="3"/>
      <c r="H53" s="3"/>
      <c r="I53" s="3"/>
      <c r="J53" s="3"/>
      <c r="K53" s="3"/>
      <c r="L53" s="8"/>
      <c r="M53" s="3"/>
      <c r="N53" s="8"/>
      <c r="O53" s="3"/>
    </row>
    <row r="54" ht="13.5" customHeight="1">
      <c r="A54" s="10">
        <f t="shared" si="1"/>
        <v>53</v>
      </c>
      <c r="B54" s="8"/>
      <c r="C54" s="5" t="s">
        <v>183</v>
      </c>
      <c r="D54" s="5" t="s">
        <v>71</v>
      </c>
      <c r="E54" s="24" t="s">
        <v>208</v>
      </c>
      <c r="F54" s="5" t="s">
        <v>185</v>
      </c>
      <c r="G54" s="3"/>
      <c r="H54" s="3"/>
      <c r="I54" s="3"/>
      <c r="J54" s="3"/>
      <c r="K54" s="3"/>
      <c r="L54" s="8"/>
      <c r="M54" s="3"/>
      <c r="N54" s="8"/>
      <c r="O54" s="3"/>
    </row>
    <row r="55" ht="13.5" customHeight="1">
      <c r="A55" s="10">
        <f t="shared" si="1"/>
        <v>54</v>
      </c>
      <c r="B55" s="8"/>
      <c r="C55" s="5" t="s">
        <v>183</v>
      </c>
      <c r="D55" s="5" t="s">
        <v>71</v>
      </c>
      <c r="E55" s="24" t="s">
        <v>209</v>
      </c>
      <c r="F55" s="5" t="s">
        <v>185</v>
      </c>
      <c r="G55" s="3"/>
      <c r="H55" s="3"/>
      <c r="I55" s="3"/>
      <c r="J55" s="3"/>
      <c r="K55" s="3"/>
      <c r="L55" s="8"/>
      <c r="M55" s="3"/>
      <c r="N55" s="8"/>
      <c r="O55" s="3"/>
    </row>
    <row r="56" ht="13.5" customHeight="1">
      <c r="A56" s="10">
        <f t="shared" si="1"/>
        <v>55</v>
      </c>
      <c r="B56" s="8"/>
      <c r="C56" s="5" t="s">
        <v>183</v>
      </c>
      <c r="D56" s="5" t="s">
        <v>71</v>
      </c>
      <c r="E56" s="24" t="s">
        <v>210</v>
      </c>
      <c r="F56" s="5" t="s">
        <v>185</v>
      </c>
      <c r="G56" s="3"/>
      <c r="H56" s="3"/>
      <c r="I56" s="3"/>
      <c r="J56" s="3"/>
      <c r="K56" s="3"/>
      <c r="L56" s="8"/>
      <c r="M56" s="3"/>
      <c r="N56" s="8"/>
      <c r="O56" s="3"/>
    </row>
    <row r="57" ht="13.5" customHeight="1">
      <c r="A57" s="10">
        <f t="shared" si="1"/>
        <v>56</v>
      </c>
      <c r="B57" s="8"/>
      <c r="C57" s="5" t="s">
        <v>183</v>
      </c>
      <c r="D57" s="5" t="s">
        <v>71</v>
      </c>
      <c r="E57" s="24" t="s">
        <v>211</v>
      </c>
      <c r="F57" s="5" t="s">
        <v>185</v>
      </c>
      <c r="G57" s="3"/>
      <c r="H57" s="3"/>
      <c r="I57" s="3"/>
      <c r="J57" s="3"/>
      <c r="K57" s="3"/>
      <c r="L57" s="8"/>
      <c r="M57" s="3"/>
      <c r="N57" s="8"/>
      <c r="O57" s="3"/>
    </row>
    <row r="58" ht="13.5" customHeight="1">
      <c r="A58" s="10">
        <f t="shared" si="1"/>
        <v>57</v>
      </c>
      <c r="B58" s="8"/>
      <c r="C58" s="5" t="s">
        <v>183</v>
      </c>
      <c r="D58" s="5" t="s">
        <v>71</v>
      </c>
      <c r="E58" s="24" t="s">
        <v>212</v>
      </c>
      <c r="F58" s="5" t="s">
        <v>185</v>
      </c>
      <c r="G58" s="3"/>
      <c r="H58" s="3"/>
      <c r="I58" s="3"/>
      <c r="J58" s="3"/>
      <c r="K58" s="3"/>
      <c r="L58" s="8"/>
      <c r="M58" s="3"/>
      <c r="N58" s="8"/>
      <c r="O58" s="3"/>
    </row>
    <row r="59" ht="13.5" customHeight="1">
      <c r="A59" s="10">
        <f t="shared" si="1"/>
        <v>58</v>
      </c>
      <c r="B59" s="8"/>
      <c r="C59" s="5" t="s">
        <v>183</v>
      </c>
      <c r="D59" s="5" t="s">
        <v>71</v>
      </c>
      <c r="E59" s="24" t="s">
        <v>213</v>
      </c>
      <c r="F59" s="5" t="s">
        <v>185</v>
      </c>
      <c r="G59" s="3"/>
      <c r="H59" s="3"/>
      <c r="I59" s="3"/>
      <c r="J59" s="3"/>
      <c r="K59" s="3"/>
      <c r="L59" s="8"/>
      <c r="M59" s="3"/>
      <c r="N59" s="8"/>
      <c r="O59" s="3"/>
    </row>
    <row r="60" ht="13.5" customHeight="1">
      <c r="A60" s="10">
        <f t="shared" si="1"/>
        <v>59</v>
      </c>
      <c r="B60" s="8"/>
      <c r="C60" s="5" t="s">
        <v>217</v>
      </c>
      <c r="D60" s="5" t="s">
        <v>71</v>
      </c>
      <c r="E60" s="24" t="s">
        <v>219</v>
      </c>
      <c r="F60" s="5" t="s">
        <v>145</v>
      </c>
      <c r="G60" s="3"/>
      <c r="H60" s="3"/>
      <c r="I60" s="3"/>
      <c r="J60" s="3"/>
      <c r="K60" s="3"/>
      <c r="L60" s="8"/>
      <c r="M60" s="3"/>
      <c r="N60" s="8"/>
      <c r="O60" s="3"/>
    </row>
    <row r="61" ht="13.5" customHeight="1">
      <c r="A61" s="10">
        <f t="shared" si="1"/>
        <v>60</v>
      </c>
      <c r="B61" s="8"/>
      <c r="C61" s="5" t="s">
        <v>217</v>
      </c>
      <c r="D61" s="5" t="s">
        <v>71</v>
      </c>
      <c r="E61" s="24" t="s">
        <v>223</v>
      </c>
      <c r="F61" s="5" t="s">
        <v>145</v>
      </c>
      <c r="G61" s="3"/>
      <c r="H61" s="3"/>
      <c r="I61" s="3"/>
      <c r="J61" s="3"/>
      <c r="K61" s="3"/>
      <c r="L61" s="8"/>
      <c r="M61" s="3"/>
      <c r="N61" s="8"/>
      <c r="O61" s="3"/>
    </row>
    <row r="62" ht="13.5" customHeight="1">
      <c r="A62" s="10">
        <f t="shared" si="1"/>
        <v>61</v>
      </c>
      <c r="B62" s="8"/>
      <c r="C62" s="5" t="s">
        <v>224</v>
      </c>
      <c r="D62" s="5" t="s">
        <v>117</v>
      </c>
      <c r="E62" s="24" t="s">
        <v>225</v>
      </c>
      <c r="F62" s="5" t="s">
        <v>145</v>
      </c>
      <c r="G62" s="3"/>
      <c r="H62" s="3"/>
      <c r="I62" s="3"/>
      <c r="J62" s="3"/>
      <c r="K62" s="3"/>
      <c r="L62" s="8"/>
      <c r="M62" s="3"/>
      <c r="N62" s="8"/>
      <c r="O62" s="3"/>
    </row>
    <row r="63" ht="13.5" customHeight="1">
      <c r="A63" s="10">
        <f t="shared" si="1"/>
        <v>62</v>
      </c>
      <c r="B63" s="8"/>
      <c r="C63" s="5" t="s">
        <v>224</v>
      </c>
      <c r="D63" s="5" t="s">
        <v>117</v>
      </c>
      <c r="E63" s="24" t="s">
        <v>227</v>
      </c>
      <c r="F63" s="5" t="s">
        <v>145</v>
      </c>
      <c r="G63" s="3"/>
      <c r="H63" s="3"/>
      <c r="I63" s="3"/>
      <c r="J63" s="3"/>
      <c r="K63" s="3"/>
      <c r="L63" s="8"/>
      <c r="M63" s="3"/>
      <c r="N63" s="8"/>
      <c r="O63" s="3"/>
    </row>
    <row r="64" ht="13.5" customHeight="1">
      <c r="A64" s="10">
        <f t="shared" si="1"/>
        <v>63</v>
      </c>
      <c r="B64" s="8"/>
      <c r="C64" s="5" t="s">
        <v>224</v>
      </c>
      <c r="D64" s="5" t="s">
        <v>117</v>
      </c>
      <c r="E64" s="24" t="s">
        <v>231</v>
      </c>
      <c r="F64" s="5" t="s">
        <v>145</v>
      </c>
      <c r="G64" s="3"/>
      <c r="H64" s="3"/>
      <c r="I64" s="3"/>
      <c r="J64" s="3"/>
      <c r="K64" s="3"/>
      <c r="L64" s="8"/>
      <c r="M64" s="3"/>
      <c r="N64" s="8"/>
      <c r="O64" s="3"/>
    </row>
    <row r="65" ht="13.5" customHeight="1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8"/>
      <c r="M65" s="3"/>
      <c r="N65" s="8"/>
      <c r="O65" s="3"/>
    </row>
    <row r="66" ht="13.5" customHeight="1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8"/>
      <c r="M66" s="3"/>
      <c r="N66" s="8"/>
      <c r="O66" s="3"/>
    </row>
    <row r="67" ht="13.5" customHeight="1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8"/>
      <c r="M67" s="3"/>
      <c r="N67" s="8"/>
      <c r="O67" s="3"/>
    </row>
    <row r="68" ht="13.5" customHeight="1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8"/>
      <c r="M68" s="3"/>
      <c r="N68" s="8"/>
      <c r="O68" s="3"/>
    </row>
    <row r="69" ht="13.5" customHeight="1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8"/>
      <c r="M69" s="3"/>
      <c r="N69" s="8"/>
      <c r="O69" s="3"/>
    </row>
    <row r="70" ht="13.5" customHeight="1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8"/>
      <c r="M70" s="3"/>
      <c r="N70" s="8"/>
      <c r="O70" s="3"/>
    </row>
    <row r="71" ht="13.5" customHeight="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8"/>
      <c r="M71" s="3"/>
      <c r="N71" s="8"/>
      <c r="O71" s="3"/>
    </row>
    <row r="72" ht="13.5" customHeight="1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8"/>
      <c r="M72" s="3"/>
      <c r="N72" s="8"/>
      <c r="O72" s="3"/>
    </row>
    <row r="73" ht="13.5" customHeight="1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8"/>
      <c r="M73" s="3"/>
      <c r="N73" s="8"/>
      <c r="O73" s="3"/>
    </row>
    <row r="74" ht="13.5" customHeight="1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8"/>
      <c r="M74" s="3"/>
      <c r="N74" s="8"/>
      <c r="O74" s="3"/>
    </row>
    <row r="75" ht="13.5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8"/>
      <c r="M75" s="3"/>
      <c r="N75" s="8"/>
      <c r="O75" s="3"/>
    </row>
    <row r="76" ht="13.5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8"/>
      <c r="M76" s="3"/>
      <c r="N76" s="8"/>
      <c r="O76" s="3"/>
    </row>
    <row r="77" ht="13.5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8"/>
      <c r="M77" s="3"/>
      <c r="N77" s="8"/>
      <c r="O77" s="3"/>
    </row>
    <row r="78" ht="13.5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8"/>
      <c r="M78" s="3"/>
      <c r="N78" s="8"/>
      <c r="O78" s="3"/>
    </row>
    <row r="79" ht="13.5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8"/>
      <c r="M79" s="3"/>
      <c r="N79" s="8"/>
      <c r="O79" s="3"/>
    </row>
    <row r="80" ht="13.5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8"/>
      <c r="M80" s="3"/>
      <c r="N80" s="8"/>
      <c r="O80" s="3"/>
    </row>
    <row r="81" ht="13.5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8"/>
      <c r="M81" s="3"/>
      <c r="N81" s="8"/>
      <c r="O81" s="3"/>
    </row>
    <row r="82" ht="13.5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8"/>
      <c r="M82" s="3"/>
      <c r="N82" s="8"/>
      <c r="O82" s="3"/>
    </row>
    <row r="83" ht="13.5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8"/>
      <c r="M83" s="3"/>
      <c r="N83" s="8"/>
      <c r="O83" s="3"/>
    </row>
    <row r="84" ht="13.5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8"/>
      <c r="M84" s="3"/>
      <c r="N84" s="8"/>
      <c r="O84" s="3"/>
    </row>
    <row r="85" ht="13.5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8"/>
      <c r="M85" s="3"/>
      <c r="N85" s="8"/>
      <c r="O85" s="3"/>
    </row>
    <row r="86" ht="13.5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8"/>
      <c r="M86" s="3"/>
      <c r="N86" s="8"/>
      <c r="O86" s="3"/>
    </row>
    <row r="87" ht="13.5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8"/>
      <c r="M87" s="3"/>
      <c r="N87" s="8"/>
      <c r="O87" s="3"/>
    </row>
    <row r="88" ht="13.5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8"/>
      <c r="M88" s="3"/>
      <c r="N88" s="8"/>
      <c r="O88" s="3"/>
    </row>
    <row r="89" ht="13.5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8"/>
      <c r="M89" s="3"/>
      <c r="N89" s="8"/>
      <c r="O89" s="3"/>
    </row>
    <row r="90" ht="13.5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8"/>
      <c r="M90" s="3"/>
      <c r="N90" s="8"/>
      <c r="O90" s="3"/>
    </row>
    <row r="91" ht="13.5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8"/>
      <c r="M91" s="3"/>
      <c r="N91" s="8"/>
      <c r="O91" s="3"/>
    </row>
    <row r="92" ht="13.5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8"/>
      <c r="M92" s="3"/>
      <c r="N92" s="8"/>
      <c r="O92" s="3"/>
    </row>
    <row r="93" ht="13.5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8"/>
      <c r="M93" s="3"/>
      <c r="N93" s="8"/>
      <c r="O93" s="3"/>
    </row>
    <row r="94" ht="13.5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8"/>
      <c r="M94" s="3"/>
      <c r="N94" s="8"/>
      <c r="O94" s="3"/>
    </row>
    <row r="95" ht="13.5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8"/>
      <c r="M95" s="3"/>
      <c r="N95" s="8"/>
      <c r="O95" s="3"/>
    </row>
    <row r="96" ht="13.5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8"/>
      <c r="M96" s="3"/>
      <c r="N96" s="8"/>
      <c r="O96" s="3"/>
    </row>
    <row r="97" ht="13.5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8"/>
      <c r="M97" s="3"/>
      <c r="N97" s="8"/>
      <c r="O97" s="3"/>
    </row>
    <row r="98" ht="13.5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8"/>
      <c r="M98" s="3"/>
      <c r="N98" s="8"/>
      <c r="O98" s="3"/>
    </row>
    <row r="99" ht="13.5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8"/>
      <c r="M99" s="3"/>
      <c r="N99" s="8"/>
      <c r="O99" s="3"/>
    </row>
    <row r="100" ht="13.5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8"/>
      <c r="M100" s="3"/>
      <c r="N100" s="8"/>
      <c r="O100" s="3"/>
    </row>
    <row r="101" ht="13.5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8"/>
      <c r="M101" s="3"/>
      <c r="N101" s="8"/>
      <c r="O101" s="3"/>
    </row>
    <row r="102" ht="13.5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8"/>
      <c r="M102" s="3"/>
      <c r="N102" s="8"/>
      <c r="O102" s="3"/>
    </row>
    <row r="103" ht="13.5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8"/>
      <c r="M103" s="3"/>
      <c r="N103" s="8"/>
      <c r="O103" s="3"/>
    </row>
    <row r="104" ht="13.5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8"/>
      <c r="M104" s="3"/>
      <c r="N104" s="8"/>
      <c r="O104" s="3"/>
    </row>
    <row r="105" ht="13.5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8"/>
      <c r="M105" s="3"/>
      <c r="N105" s="8"/>
      <c r="O105" s="3"/>
    </row>
    <row r="106" ht="13.5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8"/>
      <c r="M106" s="3"/>
      <c r="N106" s="8"/>
      <c r="O106" s="3"/>
    </row>
    <row r="107" ht="13.5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8"/>
      <c r="M107" s="3"/>
      <c r="N107" s="8"/>
      <c r="O107" s="3"/>
    </row>
    <row r="108" ht="13.5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8"/>
      <c r="M108" s="3"/>
      <c r="N108" s="8"/>
      <c r="O108" s="3"/>
    </row>
    <row r="109" ht="13.5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8"/>
      <c r="M109" s="3"/>
      <c r="N109" s="8"/>
      <c r="O109" s="3"/>
    </row>
    <row r="110" ht="13.5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8"/>
      <c r="M110" s="3"/>
      <c r="N110" s="8"/>
      <c r="O110" s="3"/>
    </row>
    <row r="111" ht="13.5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8"/>
      <c r="M111" s="3"/>
      <c r="N111" s="8"/>
      <c r="O111" s="3"/>
    </row>
    <row r="112" ht="13.5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8"/>
      <c r="M112" s="3"/>
      <c r="N112" s="8"/>
      <c r="O112" s="3"/>
    </row>
    <row r="113" ht="13.5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8"/>
      <c r="M113" s="3"/>
      <c r="N113" s="8"/>
      <c r="O113" s="3"/>
    </row>
    <row r="114" ht="13.5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8"/>
      <c r="M114" s="3"/>
      <c r="N114" s="8"/>
      <c r="O114" s="3"/>
    </row>
    <row r="115" ht="13.5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8"/>
      <c r="M115" s="3"/>
      <c r="N115" s="8"/>
      <c r="O115" s="3"/>
    </row>
    <row r="116" ht="13.5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8"/>
      <c r="M116" s="3"/>
      <c r="N116" s="8"/>
      <c r="O116" s="3"/>
    </row>
    <row r="117" ht="13.5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8"/>
      <c r="M117" s="3"/>
      <c r="N117" s="8"/>
      <c r="O117" s="3"/>
    </row>
    <row r="118" ht="13.5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8"/>
      <c r="M118" s="3"/>
      <c r="N118" s="8"/>
      <c r="O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8"/>
      <c r="M119" s="3"/>
      <c r="N119" s="8"/>
      <c r="O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8"/>
      <c r="M120" s="3"/>
      <c r="N120" s="8"/>
      <c r="O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8"/>
      <c r="M121" s="3"/>
      <c r="N121" s="8"/>
      <c r="O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8"/>
      <c r="M122" s="3"/>
      <c r="N122" s="8"/>
      <c r="O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8"/>
      <c r="M123" s="3"/>
      <c r="N123" s="8"/>
      <c r="O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8"/>
      <c r="M124" s="3"/>
      <c r="N124" s="8"/>
      <c r="O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8"/>
      <c r="M125" s="3"/>
      <c r="N125" s="8"/>
      <c r="O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8"/>
      <c r="M126" s="3"/>
      <c r="N126" s="8"/>
      <c r="O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8"/>
      <c r="M127" s="3"/>
      <c r="N127" s="8"/>
      <c r="O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8"/>
      <c r="M128" s="3"/>
      <c r="N128" s="8"/>
      <c r="O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8"/>
      <c r="M129" s="3"/>
      <c r="N129" s="8"/>
      <c r="O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8"/>
      <c r="M130" s="3"/>
      <c r="N130" s="8"/>
      <c r="O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8"/>
      <c r="M131" s="3"/>
      <c r="N131" s="8"/>
      <c r="O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8"/>
      <c r="M132" s="3"/>
      <c r="N132" s="8"/>
      <c r="O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8"/>
      <c r="M133" s="3"/>
      <c r="N133" s="8"/>
      <c r="O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8"/>
      <c r="M134" s="3"/>
      <c r="N134" s="8"/>
      <c r="O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8"/>
      <c r="M135" s="3"/>
      <c r="N135" s="8"/>
      <c r="O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8"/>
      <c r="M136" s="3"/>
      <c r="N136" s="8"/>
      <c r="O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8"/>
      <c r="M137" s="3"/>
      <c r="N137" s="8"/>
      <c r="O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8"/>
      <c r="M138" s="3"/>
      <c r="N138" s="8"/>
      <c r="O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8"/>
      <c r="M139" s="3"/>
      <c r="N139" s="8"/>
      <c r="O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8"/>
      <c r="M140" s="3"/>
      <c r="N140" s="8"/>
      <c r="O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8"/>
      <c r="M141" s="3"/>
      <c r="N141" s="8"/>
      <c r="O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8"/>
      <c r="M142" s="3"/>
      <c r="N142" s="8"/>
      <c r="O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8"/>
      <c r="M143" s="3"/>
      <c r="N143" s="8"/>
      <c r="O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8"/>
      <c r="M144" s="3"/>
      <c r="N144" s="8"/>
      <c r="O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8"/>
      <c r="M145" s="3"/>
      <c r="N145" s="8"/>
      <c r="O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8"/>
      <c r="M146" s="3"/>
      <c r="N146" s="8"/>
      <c r="O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8"/>
      <c r="M147" s="3"/>
      <c r="N147" s="8"/>
      <c r="O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8"/>
      <c r="M148" s="3"/>
      <c r="N148" s="8"/>
      <c r="O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8"/>
      <c r="M149" s="3"/>
      <c r="N149" s="8"/>
      <c r="O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8"/>
      <c r="M150" s="3"/>
      <c r="N150" s="8"/>
      <c r="O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8"/>
      <c r="M151" s="3"/>
      <c r="N151" s="8"/>
      <c r="O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8"/>
      <c r="M152" s="3"/>
      <c r="N152" s="8"/>
      <c r="O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8"/>
      <c r="M153" s="3"/>
      <c r="N153" s="8"/>
      <c r="O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8"/>
      <c r="M154" s="3"/>
      <c r="N154" s="8"/>
      <c r="O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8"/>
      <c r="M155" s="3"/>
      <c r="N155" s="8"/>
      <c r="O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8"/>
      <c r="M156" s="3"/>
      <c r="N156" s="8"/>
      <c r="O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8"/>
      <c r="M157" s="3"/>
      <c r="N157" s="8"/>
      <c r="O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8"/>
      <c r="M158" s="3"/>
      <c r="N158" s="8"/>
      <c r="O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8"/>
      <c r="M159" s="3"/>
      <c r="N159" s="8"/>
      <c r="O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8"/>
      <c r="M160" s="3"/>
      <c r="N160" s="8"/>
      <c r="O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8"/>
      <c r="M161" s="3"/>
      <c r="N161" s="8"/>
      <c r="O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8"/>
      <c r="M162" s="3"/>
      <c r="N162" s="8"/>
      <c r="O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8"/>
      <c r="M163" s="3"/>
      <c r="N163" s="8"/>
      <c r="O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8"/>
      <c r="M164" s="3"/>
      <c r="N164" s="8"/>
      <c r="O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8"/>
      <c r="M165" s="3"/>
      <c r="N165" s="8"/>
      <c r="O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8"/>
      <c r="M166" s="3"/>
      <c r="N166" s="8"/>
      <c r="O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8"/>
      <c r="M167" s="3"/>
      <c r="N167" s="8"/>
      <c r="O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8"/>
      <c r="M168" s="3"/>
      <c r="N168" s="8"/>
      <c r="O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8"/>
      <c r="M169" s="3"/>
      <c r="N169" s="8"/>
      <c r="O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8"/>
      <c r="M170" s="3"/>
      <c r="N170" s="8"/>
      <c r="O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8"/>
      <c r="M171" s="3"/>
      <c r="N171" s="8"/>
      <c r="O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8"/>
      <c r="M172" s="3"/>
      <c r="N172" s="8"/>
      <c r="O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8"/>
      <c r="M173" s="3"/>
      <c r="N173" s="8"/>
      <c r="O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8"/>
      <c r="M174" s="3"/>
      <c r="N174" s="8"/>
      <c r="O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8"/>
      <c r="M175" s="3"/>
      <c r="N175" s="8"/>
      <c r="O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8"/>
      <c r="M176" s="3"/>
      <c r="N176" s="8"/>
      <c r="O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8"/>
      <c r="M177" s="3"/>
      <c r="N177" s="8"/>
      <c r="O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8"/>
      <c r="M178" s="3"/>
      <c r="N178" s="8"/>
      <c r="O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8"/>
      <c r="M179" s="3"/>
      <c r="N179" s="8"/>
      <c r="O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8"/>
      <c r="M180" s="3"/>
      <c r="N180" s="8"/>
      <c r="O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8"/>
      <c r="M181" s="3"/>
      <c r="N181" s="8"/>
      <c r="O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8"/>
      <c r="M182" s="3"/>
      <c r="N182" s="8"/>
      <c r="O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8"/>
      <c r="M183" s="3"/>
      <c r="N183" s="8"/>
      <c r="O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8"/>
      <c r="M184" s="3"/>
      <c r="N184" s="8"/>
      <c r="O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8"/>
      <c r="M185" s="3"/>
      <c r="N185" s="8"/>
      <c r="O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8"/>
      <c r="M186" s="3"/>
      <c r="N186" s="8"/>
      <c r="O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8"/>
      <c r="M187" s="3"/>
      <c r="N187" s="8"/>
      <c r="O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8"/>
      <c r="M188" s="3"/>
      <c r="N188" s="8"/>
      <c r="O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8"/>
      <c r="M189" s="3"/>
      <c r="N189" s="8"/>
      <c r="O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8"/>
      <c r="M190" s="3"/>
      <c r="N190" s="8"/>
      <c r="O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8"/>
      <c r="M191" s="3"/>
      <c r="N191" s="8"/>
      <c r="O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8"/>
      <c r="M192" s="3"/>
      <c r="N192" s="8"/>
      <c r="O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8"/>
      <c r="M193" s="3"/>
      <c r="N193" s="8"/>
      <c r="O193" s="3"/>
    </row>
    <row r="194" ht="13.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8"/>
      <c r="M194" s="3"/>
      <c r="N194" s="8"/>
      <c r="O194" s="3"/>
    </row>
    <row r="195" ht="13.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8"/>
      <c r="M195" s="3"/>
      <c r="N195" s="8"/>
      <c r="O195" s="3"/>
    </row>
    <row r="196" ht="13.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8"/>
      <c r="M196" s="3"/>
      <c r="N196" s="8"/>
      <c r="O196" s="3"/>
    </row>
    <row r="197" ht="13.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8"/>
      <c r="M197" s="3"/>
      <c r="N197" s="8"/>
      <c r="O197" s="3"/>
    </row>
    <row r="198" ht="13.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8"/>
      <c r="M198" s="3"/>
      <c r="N198" s="8"/>
      <c r="O198" s="3"/>
    </row>
    <row r="199" ht="13.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8"/>
      <c r="M199" s="3"/>
      <c r="N199" s="8"/>
      <c r="O199" s="3"/>
    </row>
    <row r="200" ht="13.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8"/>
      <c r="M200" s="3"/>
      <c r="N200" s="8"/>
      <c r="O200" s="3"/>
    </row>
    <row r="201" ht="13.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8"/>
      <c r="M201" s="3"/>
      <c r="N201" s="8"/>
      <c r="O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G2:G201">
      <formula1>"Low,Medium,High,Critical"</formula1>
    </dataValidation>
    <dataValidation type="list" allowBlank="1" sqref="M2:M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1.5"/>
    <col customWidth="1" min="4" max="4" width="12.0"/>
    <col customWidth="1" min="5" max="5" width="16.0"/>
    <col customWidth="1" min="6" max="6" width="19.0"/>
    <col customWidth="1" min="7" max="7" width="13.0"/>
    <col customWidth="1" min="8" max="8" width="14.0"/>
    <col customWidth="1" min="9" max="9" width="12.0"/>
    <col customWidth="1" min="10" max="10" width="17.0"/>
    <col customWidth="1" min="11" max="11" width="30.0"/>
    <col customWidth="1" min="12" max="26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214</v>
      </c>
      <c r="E1" s="4" t="s">
        <v>215</v>
      </c>
      <c r="F1" s="4" t="s">
        <v>216</v>
      </c>
      <c r="G1" s="2" t="s">
        <v>218</v>
      </c>
      <c r="H1" s="2" t="s">
        <v>220</v>
      </c>
      <c r="I1" s="2" t="s">
        <v>15</v>
      </c>
      <c r="J1" s="2" t="s">
        <v>221</v>
      </c>
      <c r="K1" s="2" t="s">
        <v>17</v>
      </c>
    </row>
    <row r="2" ht="13.5" customHeight="1">
      <c r="A2" s="7">
        <v>1.0</v>
      </c>
      <c r="B2" s="5" t="s">
        <v>222</v>
      </c>
      <c r="C2" s="5" t="s">
        <v>44</v>
      </c>
      <c r="D2" s="3"/>
      <c r="E2" s="26">
        <v>24131.0</v>
      </c>
      <c r="F2" s="27">
        <v>3.8371262E7</v>
      </c>
      <c r="G2" s="3"/>
      <c r="H2" s="3"/>
      <c r="I2" s="11" t="s">
        <v>226</v>
      </c>
      <c r="J2" s="8"/>
      <c r="K2" s="3"/>
    </row>
    <row r="3" ht="13.5" customHeight="1">
      <c r="A3" s="7">
        <v>2.0</v>
      </c>
      <c r="B3" s="5" t="s">
        <v>222</v>
      </c>
      <c r="C3" s="5" t="s">
        <v>47</v>
      </c>
      <c r="D3" s="3"/>
      <c r="E3" s="10"/>
      <c r="F3" s="27">
        <v>216427.082</v>
      </c>
      <c r="G3" s="3"/>
      <c r="H3" s="3"/>
      <c r="I3" s="11" t="s">
        <v>228</v>
      </c>
      <c r="J3" s="8"/>
      <c r="K3" s="3"/>
    </row>
    <row r="4" ht="13.5" customHeight="1">
      <c r="A4" s="7">
        <v>3.0</v>
      </c>
      <c r="B4" s="5" t="s">
        <v>222</v>
      </c>
      <c r="C4" s="5" t="s">
        <v>229</v>
      </c>
      <c r="D4" s="5">
        <v>5.21072071752E11</v>
      </c>
      <c r="E4" s="28">
        <v>23044.0</v>
      </c>
      <c r="F4" s="27">
        <v>3.5965312E7</v>
      </c>
      <c r="G4" s="3"/>
      <c r="H4" s="3"/>
      <c r="I4" s="11" t="s">
        <v>230</v>
      </c>
      <c r="J4" s="8"/>
      <c r="K4" s="3"/>
    </row>
    <row r="5" ht="13.5" customHeight="1">
      <c r="A5" s="7">
        <v>4.0</v>
      </c>
      <c r="B5" s="5" t="s">
        <v>222</v>
      </c>
      <c r="C5" s="5" t="s">
        <v>232</v>
      </c>
      <c r="D5" s="5">
        <v>5.21072193665E11</v>
      </c>
      <c r="E5" s="28">
        <v>8074.0</v>
      </c>
      <c r="F5" s="27">
        <v>1.2607357E7</v>
      </c>
      <c r="G5" s="3"/>
      <c r="H5" s="3"/>
      <c r="I5" s="11" t="s">
        <v>230</v>
      </c>
      <c r="J5" s="8"/>
      <c r="K5" s="3"/>
    </row>
    <row r="6" ht="13.5" customHeight="1">
      <c r="A6" s="7">
        <v>5.0</v>
      </c>
      <c r="B6" s="5" t="s">
        <v>222</v>
      </c>
      <c r="C6" s="5" t="s">
        <v>233</v>
      </c>
      <c r="D6" s="3"/>
      <c r="E6" s="29">
        <v>461.0</v>
      </c>
      <c r="F6" s="27">
        <v>1.397151E7</v>
      </c>
      <c r="G6" s="3"/>
      <c r="H6" s="3"/>
      <c r="I6" s="11" t="s">
        <v>230</v>
      </c>
      <c r="J6" s="8"/>
      <c r="K6" s="3"/>
    </row>
    <row r="7" ht="13.5" customHeight="1">
      <c r="A7" s="7"/>
      <c r="B7" s="3"/>
      <c r="C7" s="3"/>
      <c r="D7" s="3"/>
      <c r="E7" s="30">
        <f t="shared" ref="E7:F7" si="1">sum(E2:E6)</f>
        <v>55710</v>
      </c>
      <c r="F7" s="31">
        <f t="shared" si="1"/>
        <v>101131868.1</v>
      </c>
      <c r="G7" s="3"/>
      <c r="H7" s="3"/>
      <c r="I7" s="3"/>
      <c r="J7" s="8"/>
      <c r="K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8"/>
      <c r="K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8"/>
      <c r="K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8"/>
      <c r="K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8"/>
      <c r="K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8"/>
      <c r="K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8"/>
      <c r="K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8"/>
      <c r="K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8"/>
      <c r="K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8"/>
      <c r="K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8"/>
      <c r="K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8"/>
      <c r="K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8"/>
      <c r="K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8"/>
      <c r="K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8"/>
      <c r="K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8"/>
      <c r="K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8"/>
      <c r="K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8"/>
      <c r="K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8"/>
      <c r="K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8"/>
      <c r="K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8"/>
      <c r="K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8"/>
      <c r="K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8"/>
      <c r="K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8"/>
      <c r="K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8"/>
      <c r="K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8"/>
      <c r="K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8"/>
      <c r="K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8"/>
      <c r="K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8"/>
      <c r="K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8"/>
      <c r="K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8"/>
      <c r="K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8"/>
      <c r="K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8"/>
      <c r="K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8"/>
      <c r="K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8"/>
      <c r="K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8"/>
      <c r="K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8"/>
      <c r="K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8"/>
      <c r="K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8"/>
      <c r="K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8"/>
      <c r="K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8"/>
      <c r="K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8"/>
      <c r="K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8"/>
      <c r="K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8"/>
      <c r="K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8"/>
      <c r="K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8"/>
      <c r="K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8"/>
      <c r="K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8"/>
      <c r="K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8"/>
      <c r="K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8"/>
      <c r="K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8"/>
      <c r="K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8"/>
      <c r="K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8"/>
      <c r="K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8"/>
      <c r="K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8"/>
      <c r="K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8"/>
      <c r="K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8"/>
      <c r="K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8"/>
      <c r="K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8"/>
      <c r="K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8"/>
      <c r="K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8"/>
      <c r="K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8"/>
      <c r="K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8"/>
      <c r="K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8"/>
      <c r="K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8"/>
      <c r="K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8"/>
      <c r="K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8"/>
      <c r="K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8"/>
      <c r="K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8"/>
      <c r="K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8"/>
      <c r="K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8"/>
      <c r="K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8"/>
      <c r="K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8"/>
      <c r="K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8"/>
      <c r="K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8"/>
      <c r="K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8"/>
      <c r="K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8"/>
      <c r="K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8"/>
      <c r="K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8"/>
      <c r="K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8"/>
      <c r="K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8"/>
      <c r="K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8"/>
      <c r="K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8"/>
      <c r="K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8"/>
      <c r="K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8"/>
      <c r="K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8"/>
      <c r="K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8"/>
      <c r="K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8"/>
      <c r="K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8"/>
      <c r="K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8"/>
      <c r="K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8"/>
      <c r="K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8"/>
      <c r="K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8"/>
      <c r="K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8"/>
      <c r="K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8"/>
      <c r="K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8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8"/>
      <c r="K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8"/>
      <c r="K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8"/>
      <c r="K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8"/>
      <c r="K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8"/>
      <c r="K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8"/>
      <c r="K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8"/>
      <c r="K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8"/>
      <c r="K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8"/>
      <c r="K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8"/>
      <c r="K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8"/>
      <c r="K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8"/>
      <c r="K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8"/>
      <c r="K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8"/>
      <c r="K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8"/>
      <c r="K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8"/>
      <c r="K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8"/>
      <c r="K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8"/>
      <c r="K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8"/>
      <c r="K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8"/>
      <c r="K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8"/>
      <c r="K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8"/>
      <c r="K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8"/>
      <c r="K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8"/>
      <c r="K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8"/>
      <c r="K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8"/>
      <c r="K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8"/>
      <c r="K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8"/>
      <c r="K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8"/>
      <c r="K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8"/>
      <c r="K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8"/>
      <c r="K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8"/>
      <c r="K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8"/>
      <c r="K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8"/>
      <c r="K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8"/>
      <c r="K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8"/>
      <c r="K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8"/>
      <c r="K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8"/>
      <c r="K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8"/>
      <c r="K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8"/>
      <c r="K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8"/>
      <c r="K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8"/>
      <c r="K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8"/>
      <c r="K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8"/>
      <c r="K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8"/>
      <c r="K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8"/>
      <c r="K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8"/>
      <c r="K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8"/>
      <c r="K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8"/>
      <c r="K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8"/>
      <c r="K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8"/>
      <c r="K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8"/>
      <c r="K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8"/>
      <c r="K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8"/>
      <c r="K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8"/>
      <c r="K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8"/>
      <c r="K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8"/>
      <c r="K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8"/>
      <c r="K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8"/>
      <c r="K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8"/>
      <c r="K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8"/>
      <c r="K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8"/>
      <c r="K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8"/>
      <c r="K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8"/>
      <c r="K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8"/>
      <c r="K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8"/>
      <c r="K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8"/>
      <c r="K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8"/>
      <c r="K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8"/>
      <c r="K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8"/>
      <c r="K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8"/>
      <c r="K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8"/>
      <c r="K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8"/>
      <c r="K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8"/>
      <c r="K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8"/>
      <c r="K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8"/>
      <c r="K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8"/>
      <c r="K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8"/>
      <c r="K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8"/>
      <c r="K183" s="3"/>
    </row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4" width="12.0"/>
    <col customWidth="1" min="5" max="5" width="22.0"/>
    <col customWidth="1" min="6" max="6" width="21.0"/>
    <col customWidth="1" min="7" max="7" width="19.0"/>
    <col customWidth="1" min="8" max="9" width="14.0"/>
    <col customWidth="1" min="10" max="10" width="12.0"/>
    <col customWidth="1" min="11" max="11" width="17.0"/>
    <col customWidth="1" min="12" max="12" width="30.0"/>
    <col customWidth="1" min="13" max="26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234</v>
      </c>
      <c r="E1" s="2" t="s">
        <v>235</v>
      </c>
      <c r="F1" s="2" t="s">
        <v>236</v>
      </c>
      <c r="G1" s="2" t="s">
        <v>237</v>
      </c>
      <c r="H1" s="2" t="s">
        <v>238</v>
      </c>
      <c r="I1" s="2" t="s">
        <v>239</v>
      </c>
      <c r="J1" s="2" t="s">
        <v>15</v>
      </c>
      <c r="K1" s="2" t="s">
        <v>221</v>
      </c>
      <c r="L1" s="2" t="s">
        <v>17</v>
      </c>
    </row>
    <row r="2" ht="13.5" customHeight="1">
      <c r="A2" s="7">
        <v>1.0</v>
      </c>
      <c r="B2" s="3"/>
      <c r="C2" s="5" t="s">
        <v>44</v>
      </c>
      <c r="D2" s="3"/>
      <c r="E2" s="5">
        <v>20.0</v>
      </c>
      <c r="F2" s="3"/>
      <c r="G2" s="3"/>
      <c r="H2" s="5">
        <v>6800.0</v>
      </c>
      <c r="I2" s="32">
        <f>H2*E2</f>
        <v>136000</v>
      </c>
      <c r="J2" s="11" t="s">
        <v>42</v>
      </c>
      <c r="K2" s="8"/>
      <c r="L2" s="5" t="s">
        <v>240</v>
      </c>
    </row>
    <row r="3" ht="13.5" customHeight="1">
      <c r="A3" s="3"/>
      <c r="B3" s="33" t="s">
        <v>241</v>
      </c>
      <c r="C3" s="5" t="s">
        <v>76</v>
      </c>
      <c r="D3" s="3"/>
      <c r="E3" s="33" t="s">
        <v>242</v>
      </c>
      <c r="F3" s="33">
        <v>0.15</v>
      </c>
      <c r="G3" s="33">
        <v>3.15</v>
      </c>
      <c r="H3" s="34">
        <v>21150.0</v>
      </c>
      <c r="I3" s="32">
        <v>42840.0</v>
      </c>
      <c r="J3" s="5" t="s">
        <v>230</v>
      </c>
      <c r="K3" s="8"/>
      <c r="L3" s="3"/>
    </row>
    <row r="4" ht="13.5" customHeight="1">
      <c r="A4" s="3"/>
      <c r="B4" s="33" t="s">
        <v>244</v>
      </c>
      <c r="C4" s="5" t="s">
        <v>76</v>
      </c>
      <c r="D4" s="3"/>
      <c r="E4" s="33" t="s">
        <v>242</v>
      </c>
      <c r="F4" s="33">
        <v>0.15</v>
      </c>
      <c r="G4" s="33">
        <v>3.15</v>
      </c>
      <c r="H4" s="34">
        <v>21150.0</v>
      </c>
      <c r="I4" s="32">
        <v>42840.0</v>
      </c>
      <c r="J4" s="5" t="s">
        <v>230</v>
      </c>
      <c r="K4" s="8"/>
      <c r="L4" s="3"/>
    </row>
    <row r="5" ht="13.5" customHeight="1">
      <c r="A5" s="3"/>
      <c r="B5" s="33" t="s">
        <v>251</v>
      </c>
      <c r="C5" s="5" t="s">
        <v>76</v>
      </c>
      <c r="D5" s="3"/>
      <c r="E5" s="33" t="s">
        <v>242</v>
      </c>
      <c r="F5" s="33">
        <v>0.15</v>
      </c>
      <c r="G5" s="33">
        <v>3.15</v>
      </c>
      <c r="H5" s="34">
        <v>21150.0</v>
      </c>
      <c r="I5" s="32">
        <v>42840.0</v>
      </c>
      <c r="J5" s="5" t="s">
        <v>230</v>
      </c>
      <c r="K5" s="8"/>
      <c r="L5" s="3"/>
    </row>
    <row r="6" ht="13.5" customHeight="1">
      <c r="A6" s="3"/>
      <c r="B6" s="33" t="s">
        <v>253</v>
      </c>
      <c r="C6" s="5" t="s">
        <v>76</v>
      </c>
      <c r="D6" s="3"/>
      <c r="E6" s="33" t="s">
        <v>242</v>
      </c>
      <c r="F6" s="33">
        <v>0.15</v>
      </c>
      <c r="G6" s="33">
        <v>3.15</v>
      </c>
      <c r="H6" s="34">
        <v>21150.0</v>
      </c>
      <c r="I6" s="32">
        <v>42840.0</v>
      </c>
      <c r="J6" s="5" t="s">
        <v>230</v>
      </c>
      <c r="K6" s="8"/>
      <c r="L6" s="3"/>
    </row>
    <row r="7" ht="13.5" customHeight="1">
      <c r="A7" s="3"/>
      <c r="B7" s="33" t="s">
        <v>255</v>
      </c>
      <c r="C7" s="5" t="s">
        <v>76</v>
      </c>
      <c r="D7" s="3"/>
      <c r="E7" s="28">
        <v>1008.0</v>
      </c>
      <c r="F7" s="33">
        <v>0.03</v>
      </c>
      <c r="G7" s="33">
        <v>1.008</v>
      </c>
      <c r="H7" s="34">
        <v>21150.0</v>
      </c>
      <c r="I7" s="32">
        <v>13709.0</v>
      </c>
      <c r="J7" s="5" t="s">
        <v>230</v>
      </c>
      <c r="K7" s="8"/>
      <c r="L7" s="3"/>
    </row>
    <row r="8" ht="13.5" customHeight="1">
      <c r="A8" s="3"/>
      <c r="B8" s="3"/>
      <c r="C8" s="3"/>
      <c r="D8" s="3"/>
      <c r="E8" s="3">
        <f>sum(E2:E7)</f>
        <v>1028</v>
      </c>
      <c r="F8" s="3"/>
      <c r="G8" s="3"/>
      <c r="H8" s="3"/>
      <c r="I8" s="3"/>
      <c r="J8" s="3"/>
      <c r="K8" s="8"/>
      <c r="L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8"/>
      <c r="L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8"/>
      <c r="L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8"/>
      <c r="L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8"/>
      <c r="L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8"/>
      <c r="L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8"/>
      <c r="L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8"/>
      <c r="L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8"/>
      <c r="L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8"/>
      <c r="L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8"/>
      <c r="L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8"/>
      <c r="L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8"/>
      <c r="L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8"/>
      <c r="L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8"/>
      <c r="L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8"/>
      <c r="L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8"/>
      <c r="L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8"/>
      <c r="L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8"/>
      <c r="L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8"/>
      <c r="L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8"/>
      <c r="L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8"/>
      <c r="L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8"/>
      <c r="L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8"/>
      <c r="L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8"/>
      <c r="L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8"/>
      <c r="L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8"/>
      <c r="L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8"/>
      <c r="L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8"/>
      <c r="L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8"/>
      <c r="L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8"/>
      <c r="L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8"/>
      <c r="L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8"/>
      <c r="L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8"/>
      <c r="L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8"/>
      <c r="L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8"/>
      <c r="L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8"/>
      <c r="L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8"/>
      <c r="L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8"/>
      <c r="L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8"/>
      <c r="L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8"/>
      <c r="L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8"/>
      <c r="L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8"/>
      <c r="L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8"/>
      <c r="L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8"/>
      <c r="L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8"/>
      <c r="L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8"/>
      <c r="L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8"/>
      <c r="L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8"/>
      <c r="L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8"/>
      <c r="L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8"/>
      <c r="L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8"/>
      <c r="L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8"/>
      <c r="L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8"/>
      <c r="L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8"/>
      <c r="L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8"/>
      <c r="L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8"/>
      <c r="L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8"/>
      <c r="L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8"/>
      <c r="L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8"/>
      <c r="L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8"/>
      <c r="L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8"/>
      <c r="L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8"/>
      <c r="L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8"/>
      <c r="L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8"/>
      <c r="L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8"/>
      <c r="L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8"/>
      <c r="L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8"/>
      <c r="L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8"/>
      <c r="L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8"/>
      <c r="L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8"/>
      <c r="L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8"/>
      <c r="L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8"/>
      <c r="L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8"/>
      <c r="L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8"/>
      <c r="L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8"/>
      <c r="L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8"/>
      <c r="L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8"/>
      <c r="L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8"/>
      <c r="L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8"/>
      <c r="L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8"/>
      <c r="L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8"/>
      <c r="L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8"/>
      <c r="L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8"/>
      <c r="L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8"/>
      <c r="L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8"/>
      <c r="L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8"/>
      <c r="L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8"/>
      <c r="L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8"/>
      <c r="L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8"/>
      <c r="L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8"/>
      <c r="L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8"/>
      <c r="L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8"/>
      <c r="L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8"/>
      <c r="L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8"/>
      <c r="L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8"/>
      <c r="L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8"/>
      <c r="L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8"/>
      <c r="L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8"/>
      <c r="L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8"/>
      <c r="L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8"/>
      <c r="L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8"/>
      <c r="L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8"/>
      <c r="L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8"/>
      <c r="L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8"/>
      <c r="L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8"/>
      <c r="L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8"/>
      <c r="L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8"/>
      <c r="L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8"/>
      <c r="L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8"/>
      <c r="L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8"/>
      <c r="L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8"/>
      <c r="L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8"/>
      <c r="L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8"/>
      <c r="L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8"/>
      <c r="L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8"/>
      <c r="L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8"/>
      <c r="L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8"/>
      <c r="L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8"/>
      <c r="L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8"/>
      <c r="L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8"/>
      <c r="L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8"/>
      <c r="L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8"/>
      <c r="L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8"/>
      <c r="L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8"/>
      <c r="L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8"/>
      <c r="L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8"/>
      <c r="L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8"/>
      <c r="L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8"/>
      <c r="L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8"/>
      <c r="L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"/>
      <c r="L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"/>
      <c r="L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"/>
      <c r="L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"/>
      <c r="L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"/>
      <c r="L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"/>
      <c r="L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"/>
      <c r="L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"/>
      <c r="L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"/>
      <c r="L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"/>
      <c r="L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"/>
      <c r="L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"/>
      <c r="L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"/>
      <c r="L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"/>
      <c r="L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"/>
      <c r="L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"/>
      <c r="L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"/>
      <c r="L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"/>
      <c r="L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"/>
      <c r="L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"/>
      <c r="L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"/>
      <c r="L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"/>
      <c r="L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"/>
      <c r="L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"/>
      <c r="L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"/>
      <c r="L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"/>
      <c r="L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"/>
      <c r="L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"/>
      <c r="L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"/>
      <c r="L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"/>
      <c r="L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"/>
      <c r="L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"/>
      <c r="L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"/>
      <c r="L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"/>
      <c r="L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"/>
      <c r="L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"/>
      <c r="L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"/>
      <c r="L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"/>
      <c r="L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"/>
      <c r="L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"/>
      <c r="L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"/>
      <c r="L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"/>
      <c r="L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"/>
      <c r="L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"/>
      <c r="L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"/>
      <c r="L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"/>
      <c r="L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"/>
      <c r="L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"/>
      <c r="L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"/>
      <c r="L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"/>
      <c r="L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"/>
      <c r="L199" s="3"/>
    </row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6.13"/>
    <col customWidth="1" min="4" max="4" width="16.0"/>
    <col customWidth="1" min="5" max="5" width="25.88"/>
    <col customWidth="1" min="6" max="6" width="12.0"/>
    <col customWidth="1" min="7" max="8" width="16.0"/>
    <col customWidth="1" min="9" max="9" width="17.0"/>
    <col customWidth="1" min="10" max="10" width="19.25"/>
    <col customWidth="1" min="11" max="11" width="14.0"/>
    <col customWidth="1" min="12" max="12" width="27.38"/>
    <col customWidth="1" min="13" max="13" width="17.0"/>
    <col customWidth="1" min="14" max="14" width="30.0"/>
    <col customWidth="1" min="15" max="27" width="8.63"/>
  </cols>
  <sheetData>
    <row r="1" ht="18.0" customHeight="1">
      <c r="A1" s="2" t="s">
        <v>1</v>
      </c>
      <c r="B1" s="2" t="s">
        <v>6</v>
      </c>
      <c r="C1" s="2" t="s">
        <v>243</v>
      </c>
      <c r="D1" s="2" t="s">
        <v>245</v>
      </c>
      <c r="E1" s="2" t="s">
        <v>246</v>
      </c>
      <c r="F1" s="2" t="s">
        <v>247</v>
      </c>
      <c r="G1" s="2" t="s">
        <v>248</v>
      </c>
      <c r="H1" s="2" t="s">
        <v>249</v>
      </c>
      <c r="I1" s="2" t="s">
        <v>250</v>
      </c>
      <c r="J1" s="6" t="s">
        <v>252</v>
      </c>
      <c r="K1" s="2" t="s">
        <v>239</v>
      </c>
      <c r="L1" s="2" t="s">
        <v>15</v>
      </c>
      <c r="M1" s="2" t="s">
        <v>221</v>
      </c>
      <c r="N1" s="2" t="s">
        <v>17</v>
      </c>
    </row>
    <row r="2" ht="13.5" customHeight="1">
      <c r="A2" s="5">
        <v>1.0</v>
      </c>
      <c r="B2" s="5" t="s">
        <v>222</v>
      </c>
      <c r="C2" s="5" t="s">
        <v>47</v>
      </c>
      <c r="D2" s="5" t="s">
        <v>254</v>
      </c>
      <c r="E2" s="3"/>
      <c r="F2" s="3"/>
      <c r="G2" s="5">
        <v>559.0</v>
      </c>
      <c r="H2" s="3"/>
      <c r="I2" s="3"/>
      <c r="J2" s="5">
        <v>5.882</v>
      </c>
      <c r="K2" s="3"/>
      <c r="L2" s="5" t="s">
        <v>256</v>
      </c>
      <c r="M2" s="8"/>
      <c r="N2" s="3"/>
    </row>
    <row r="3" ht="13.5" customHeight="1">
      <c r="A3" s="5">
        <v>2.0</v>
      </c>
      <c r="B3" s="5" t="s">
        <v>222</v>
      </c>
      <c r="C3" s="5" t="s">
        <v>47</v>
      </c>
      <c r="D3" s="5" t="s">
        <v>257</v>
      </c>
      <c r="E3" s="3"/>
      <c r="F3" s="3"/>
      <c r="G3" s="34">
        <v>1445.0</v>
      </c>
      <c r="H3" s="3"/>
      <c r="I3" s="3"/>
      <c r="J3" s="34">
        <v>13676.0</v>
      </c>
      <c r="K3" s="3"/>
      <c r="L3" s="5" t="s">
        <v>256</v>
      </c>
      <c r="M3" s="8"/>
      <c r="N3" s="3"/>
    </row>
    <row r="4" ht="13.5" customHeight="1">
      <c r="A4" s="3"/>
      <c r="B4" s="5" t="s">
        <v>258</v>
      </c>
      <c r="C4" s="5" t="s">
        <v>259</v>
      </c>
      <c r="D4" s="3"/>
      <c r="E4" s="5" t="s">
        <v>260</v>
      </c>
      <c r="F4" s="3"/>
      <c r="G4" s="5">
        <v>362.0</v>
      </c>
      <c r="H4" s="3"/>
      <c r="I4" s="3"/>
      <c r="J4" s="3"/>
      <c r="K4" s="3"/>
      <c r="L4" s="5" t="s">
        <v>261</v>
      </c>
      <c r="M4" s="8"/>
      <c r="N4" s="3"/>
    </row>
    <row r="5" ht="13.5" customHeight="1">
      <c r="A5" s="3"/>
      <c r="B5" s="5" t="s">
        <v>262</v>
      </c>
      <c r="C5" s="5" t="s">
        <v>259</v>
      </c>
      <c r="D5" s="3"/>
      <c r="E5" s="5" t="s">
        <v>260</v>
      </c>
      <c r="F5" s="3"/>
      <c r="G5" s="5">
        <v>210.0</v>
      </c>
      <c r="H5" s="3"/>
      <c r="I5" s="3"/>
      <c r="J5" s="3"/>
      <c r="K5" s="3"/>
      <c r="L5" s="5" t="s">
        <v>261</v>
      </c>
      <c r="M5" s="8"/>
      <c r="N5" s="3"/>
    </row>
    <row r="6" ht="13.5" customHeight="1">
      <c r="A6" s="3"/>
      <c r="B6" s="5" t="s">
        <v>263</v>
      </c>
      <c r="C6" s="5" t="s">
        <v>259</v>
      </c>
      <c r="D6" s="3"/>
      <c r="E6" s="5" t="s">
        <v>260</v>
      </c>
      <c r="F6" s="3"/>
      <c r="G6" s="5">
        <v>225.0</v>
      </c>
      <c r="H6" s="3"/>
      <c r="I6" s="3"/>
      <c r="J6" s="3"/>
      <c r="K6" s="3"/>
      <c r="L6" s="5" t="s">
        <v>261</v>
      </c>
      <c r="M6" s="8"/>
      <c r="N6" s="3"/>
    </row>
    <row r="7" ht="13.5" customHeight="1">
      <c r="A7" s="3"/>
      <c r="B7" s="5" t="s">
        <v>264</v>
      </c>
      <c r="C7" s="5" t="s">
        <v>259</v>
      </c>
      <c r="D7" s="3"/>
      <c r="E7" s="5" t="s">
        <v>260</v>
      </c>
      <c r="F7" s="3"/>
      <c r="G7" s="5">
        <v>235.0</v>
      </c>
      <c r="H7" s="3"/>
      <c r="I7" s="3"/>
      <c r="J7" s="3"/>
      <c r="K7" s="3"/>
      <c r="L7" s="5" t="s">
        <v>261</v>
      </c>
      <c r="M7" s="8"/>
      <c r="N7" s="3"/>
    </row>
    <row r="8" ht="13.5" customHeight="1">
      <c r="A8" s="3"/>
      <c r="B8" s="5" t="s">
        <v>265</v>
      </c>
      <c r="C8" s="5" t="s">
        <v>259</v>
      </c>
      <c r="D8" s="3"/>
      <c r="E8" s="5" t="s">
        <v>260</v>
      </c>
      <c r="F8" s="3"/>
      <c r="G8" s="5">
        <v>378.0</v>
      </c>
      <c r="H8" s="3"/>
      <c r="I8" s="3"/>
      <c r="J8" s="3"/>
      <c r="K8" s="3"/>
      <c r="L8" s="5" t="s">
        <v>261</v>
      </c>
      <c r="M8" s="8"/>
      <c r="N8" s="3"/>
    </row>
    <row r="9" ht="13.5" customHeight="1">
      <c r="A9" s="3"/>
      <c r="B9" s="5" t="s">
        <v>266</v>
      </c>
      <c r="C9" s="5" t="s">
        <v>259</v>
      </c>
      <c r="D9" s="3"/>
      <c r="E9" s="5" t="s">
        <v>260</v>
      </c>
      <c r="F9" s="3"/>
      <c r="G9" s="5">
        <v>412.0</v>
      </c>
      <c r="H9" s="3"/>
      <c r="I9" s="3"/>
      <c r="J9" s="3"/>
      <c r="K9" s="3"/>
      <c r="L9" s="5" t="s">
        <v>261</v>
      </c>
      <c r="M9" s="8"/>
      <c r="N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8"/>
      <c r="N10" s="3"/>
    </row>
    <row r="11" ht="13.5" customHeight="1">
      <c r="A11" s="3"/>
      <c r="B11" s="3"/>
      <c r="C11" s="3"/>
      <c r="D11" s="3"/>
      <c r="E11" s="3"/>
      <c r="F11" s="3"/>
      <c r="G11" s="3">
        <f>sum(G2:G3)</f>
        <v>2004</v>
      </c>
      <c r="H11" s="3"/>
      <c r="I11" s="3"/>
      <c r="J11" s="3"/>
      <c r="K11" s="3"/>
      <c r="L11" s="3"/>
      <c r="M11" s="8"/>
      <c r="N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8"/>
      <c r="N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8"/>
      <c r="N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8"/>
      <c r="N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8"/>
      <c r="N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8"/>
      <c r="N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8"/>
      <c r="N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8"/>
      <c r="N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8"/>
      <c r="N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8"/>
      <c r="N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8"/>
      <c r="N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8"/>
      <c r="N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8"/>
      <c r="N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8"/>
      <c r="N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8"/>
      <c r="N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8"/>
      <c r="N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8"/>
      <c r="N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8"/>
      <c r="N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8"/>
      <c r="N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8"/>
      <c r="N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8"/>
      <c r="N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8"/>
      <c r="N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8"/>
      <c r="N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8"/>
      <c r="N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8"/>
      <c r="N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8"/>
      <c r="N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8"/>
      <c r="N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8"/>
      <c r="N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8"/>
      <c r="N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8"/>
      <c r="N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8"/>
      <c r="N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8"/>
      <c r="N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8"/>
      <c r="N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8"/>
      <c r="N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8"/>
      <c r="N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8"/>
      <c r="N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8"/>
      <c r="N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8"/>
      <c r="N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8"/>
      <c r="N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8"/>
      <c r="N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8"/>
      <c r="N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8"/>
      <c r="N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8"/>
      <c r="N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8"/>
      <c r="N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8"/>
      <c r="N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8"/>
      <c r="N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8"/>
      <c r="N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8"/>
      <c r="N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8"/>
      <c r="N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8"/>
      <c r="N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8"/>
      <c r="N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8"/>
      <c r="N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8"/>
      <c r="N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8"/>
      <c r="N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8"/>
      <c r="N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8"/>
      <c r="N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8"/>
      <c r="N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8"/>
      <c r="N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8"/>
      <c r="N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8"/>
      <c r="N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8"/>
      <c r="N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8"/>
      <c r="N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8"/>
      <c r="N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8"/>
      <c r="N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8"/>
      <c r="N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8"/>
      <c r="N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8"/>
      <c r="N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8"/>
      <c r="N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8"/>
      <c r="N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8"/>
      <c r="N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8"/>
      <c r="N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8"/>
      <c r="N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8"/>
      <c r="N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8"/>
      <c r="N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8"/>
      <c r="N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8"/>
      <c r="N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8"/>
      <c r="N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8"/>
      <c r="N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8"/>
      <c r="N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8"/>
      <c r="N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8"/>
      <c r="N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8"/>
      <c r="N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8"/>
      <c r="N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8"/>
      <c r="N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8"/>
      <c r="N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8"/>
      <c r="N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8"/>
      <c r="N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8"/>
      <c r="N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8"/>
      <c r="N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8"/>
      <c r="N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8"/>
      <c r="N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8"/>
      <c r="N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8"/>
      <c r="N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8"/>
      <c r="N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  <c r="N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8"/>
      <c r="N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8"/>
      <c r="N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8"/>
      <c r="N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8"/>
      <c r="N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8"/>
      <c r="N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8"/>
      <c r="N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8"/>
      <c r="N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8"/>
      <c r="N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8"/>
      <c r="N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8"/>
      <c r="N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8"/>
      <c r="N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8"/>
      <c r="N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8"/>
      <c r="N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8"/>
      <c r="N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8"/>
      <c r="N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8"/>
      <c r="N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8"/>
      <c r="N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8"/>
      <c r="N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8"/>
      <c r="N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8"/>
      <c r="N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8"/>
      <c r="N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8"/>
      <c r="N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8"/>
      <c r="N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8"/>
      <c r="N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8"/>
      <c r="N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8"/>
      <c r="N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8"/>
      <c r="N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8"/>
      <c r="N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8"/>
      <c r="N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8"/>
      <c r="N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8"/>
      <c r="N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8"/>
      <c r="N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8"/>
      <c r="N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8"/>
      <c r="N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8"/>
      <c r="N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8"/>
      <c r="N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8"/>
      <c r="N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8"/>
      <c r="N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8"/>
      <c r="N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8"/>
      <c r="N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8"/>
      <c r="N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8"/>
      <c r="N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8"/>
      <c r="N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8"/>
      <c r="N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8"/>
      <c r="N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8"/>
      <c r="N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8"/>
      <c r="N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8"/>
      <c r="N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8"/>
      <c r="N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8"/>
      <c r="N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8"/>
      <c r="N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8"/>
      <c r="N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8"/>
      <c r="N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8"/>
      <c r="N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8"/>
      <c r="N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8"/>
      <c r="N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8"/>
      <c r="N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8"/>
      <c r="N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8"/>
      <c r="N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8"/>
      <c r="N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8"/>
      <c r="N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8"/>
      <c r="N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8"/>
      <c r="N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8"/>
      <c r="N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8"/>
      <c r="N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8"/>
      <c r="N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8"/>
      <c r="N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</row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0.0"/>
    <col customWidth="1" min="4" max="4" width="12.0"/>
    <col customWidth="1" min="5" max="5" width="17.0"/>
    <col customWidth="1" min="6" max="6" width="16.0"/>
    <col customWidth="1" min="7" max="7" width="13.0"/>
    <col customWidth="1" min="8" max="8" width="14.0"/>
    <col customWidth="1" min="9" max="9" width="39.88"/>
    <col customWidth="1" min="10" max="10" width="17.0"/>
    <col customWidth="1" min="11" max="11" width="30.0"/>
    <col customWidth="1" min="12" max="26" width="8.63"/>
  </cols>
  <sheetData>
    <row r="1" ht="18.0" customHeight="1">
      <c r="A1" s="4" t="s">
        <v>1</v>
      </c>
      <c r="B1" s="4" t="s">
        <v>6</v>
      </c>
      <c r="C1" s="4" t="s">
        <v>19</v>
      </c>
      <c r="D1" s="4" t="s">
        <v>267</v>
      </c>
      <c r="E1" s="4" t="s">
        <v>268</v>
      </c>
      <c r="F1" s="4" t="s">
        <v>216</v>
      </c>
      <c r="G1" s="4" t="s">
        <v>218</v>
      </c>
      <c r="H1" s="4" t="s">
        <v>220</v>
      </c>
      <c r="I1" s="4" t="s">
        <v>15</v>
      </c>
      <c r="J1" s="2" t="s">
        <v>221</v>
      </c>
      <c r="K1" s="2" t="s">
        <v>17</v>
      </c>
    </row>
    <row r="2" ht="13.5" customHeight="1">
      <c r="A2" s="7">
        <v>1.0</v>
      </c>
      <c r="B2" s="5" t="s">
        <v>222</v>
      </c>
      <c r="C2" s="5" t="s">
        <v>44</v>
      </c>
      <c r="D2" s="3"/>
      <c r="E2" s="35">
        <v>347768.0</v>
      </c>
      <c r="F2" s="36">
        <v>3825453.0</v>
      </c>
      <c r="G2" s="3"/>
      <c r="H2" s="3"/>
      <c r="I2" s="7" t="s">
        <v>256</v>
      </c>
      <c r="J2" s="8"/>
      <c r="K2" s="3"/>
    </row>
    <row r="3" ht="13.5" customHeight="1">
      <c r="A3" s="7">
        <v>2.0</v>
      </c>
      <c r="B3" s="5" t="s">
        <v>222</v>
      </c>
      <c r="C3" s="5" t="s">
        <v>269</v>
      </c>
      <c r="D3" s="3"/>
      <c r="E3" s="3"/>
      <c r="F3" s="37"/>
      <c r="G3" s="3"/>
      <c r="H3" s="3"/>
      <c r="I3" s="7" t="s">
        <v>261</v>
      </c>
      <c r="J3" s="8"/>
      <c r="K3" s="5" t="s">
        <v>270</v>
      </c>
    </row>
    <row r="4" ht="13.5" customHeight="1">
      <c r="A4" s="3"/>
      <c r="B4" s="38" t="s">
        <v>222</v>
      </c>
      <c r="C4" s="5" t="s">
        <v>271</v>
      </c>
      <c r="D4" s="3"/>
      <c r="E4" s="38">
        <v>9.0</v>
      </c>
      <c r="F4" s="39">
        <v>148500.0</v>
      </c>
      <c r="G4" s="3"/>
      <c r="H4" s="3"/>
      <c r="I4" s="7" t="s">
        <v>261</v>
      </c>
      <c r="J4" s="8"/>
      <c r="K4" s="3"/>
    </row>
    <row r="5" ht="13.5" customHeight="1">
      <c r="A5" s="3"/>
      <c r="B5" s="3"/>
      <c r="C5" s="3"/>
      <c r="D5" s="3"/>
      <c r="E5" s="40">
        <f t="shared" ref="E5:F5" si="1">sum(E2:E4)</f>
        <v>347777</v>
      </c>
      <c r="F5" s="40">
        <f t="shared" si="1"/>
        <v>3973953</v>
      </c>
      <c r="G5" s="3"/>
      <c r="H5" s="3"/>
      <c r="I5" s="3"/>
      <c r="J5" s="8"/>
      <c r="K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8"/>
      <c r="K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8"/>
      <c r="K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8"/>
      <c r="K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8"/>
      <c r="K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8"/>
      <c r="K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8"/>
      <c r="K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8"/>
      <c r="K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8"/>
      <c r="K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8"/>
      <c r="K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8"/>
      <c r="K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8"/>
      <c r="K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8"/>
      <c r="K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8"/>
      <c r="K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8"/>
      <c r="K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8"/>
      <c r="K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8"/>
      <c r="K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8"/>
      <c r="K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8"/>
      <c r="K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8"/>
      <c r="K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8"/>
      <c r="K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8"/>
      <c r="K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8"/>
      <c r="K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8"/>
      <c r="K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8"/>
      <c r="K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8"/>
      <c r="K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8"/>
      <c r="K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8"/>
      <c r="K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8"/>
      <c r="K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8"/>
      <c r="K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8"/>
      <c r="K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8"/>
      <c r="K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8"/>
      <c r="K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8"/>
      <c r="K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8"/>
      <c r="K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8"/>
      <c r="K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8"/>
      <c r="K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8"/>
      <c r="K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8"/>
      <c r="K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8"/>
      <c r="K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8"/>
      <c r="K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8"/>
      <c r="K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8"/>
      <c r="K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8"/>
      <c r="K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8"/>
      <c r="K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8"/>
      <c r="K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8"/>
      <c r="K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8"/>
      <c r="K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8"/>
      <c r="K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8"/>
      <c r="K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8"/>
      <c r="K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8"/>
      <c r="K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8"/>
      <c r="K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8"/>
      <c r="K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8"/>
      <c r="K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8"/>
      <c r="K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8"/>
      <c r="K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8"/>
      <c r="K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8"/>
      <c r="K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8"/>
      <c r="K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8"/>
      <c r="K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8"/>
      <c r="K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8"/>
      <c r="K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8"/>
      <c r="K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8"/>
      <c r="K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8"/>
      <c r="K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8"/>
      <c r="K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8"/>
      <c r="K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8"/>
      <c r="K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8"/>
      <c r="K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8"/>
      <c r="K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8"/>
      <c r="K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8"/>
      <c r="K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8"/>
      <c r="K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8"/>
      <c r="K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8"/>
      <c r="K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8"/>
      <c r="K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8"/>
      <c r="K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8"/>
      <c r="K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8"/>
      <c r="K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8"/>
      <c r="K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8"/>
      <c r="K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8"/>
      <c r="K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8"/>
      <c r="K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8"/>
      <c r="K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8"/>
      <c r="K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8"/>
      <c r="K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8"/>
      <c r="K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8"/>
      <c r="K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8"/>
      <c r="K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8"/>
      <c r="K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8"/>
      <c r="K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8"/>
      <c r="K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8"/>
      <c r="K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8"/>
      <c r="K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8"/>
      <c r="K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8"/>
      <c r="K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8"/>
      <c r="K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8"/>
      <c r="K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8"/>
      <c r="K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8"/>
      <c r="K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8"/>
      <c r="K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8"/>
      <c r="K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8"/>
      <c r="K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8"/>
      <c r="K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8"/>
      <c r="K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8"/>
      <c r="K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8"/>
      <c r="K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8"/>
      <c r="K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8"/>
      <c r="K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8"/>
      <c r="K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8"/>
      <c r="K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8"/>
      <c r="K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8"/>
      <c r="K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8"/>
      <c r="K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8"/>
      <c r="K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8"/>
      <c r="K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8"/>
      <c r="K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8"/>
      <c r="K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8"/>
      <c r="K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8"/>
      <c r="K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8"/>
      <c r="K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8"/>
      <c r="K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8"/>
      <c r="K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8"/>
      <c r="K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8"/>
      <c r="K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8"/>
      <c r="K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8"/>
      <c r="K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8"/>
      <c r="K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8"/>
      <c r="K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8"/>
      <c r="K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8"/>
      <c r="K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8"/>
      <c r="K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8"/>
      <c r="K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8"/>
      <c r="K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8"/>
      <c r="K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8"/>
      <c r="K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8"/>
      <c r="K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8"/>
      <c r="K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8"/>
      <c r="K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8"/>
      <c r="K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8"/>
      <c r="K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8"/>
      <c r="K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8"/>
      <c r="K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8"/>
      <c r="K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8"/>
      <c r="K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8"/>
      <c r="K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8"/>
      <c r="K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8"/>
      <c r="K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8"/>
      <c r="K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8"/>
      <c r="K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8"/>
      <c r="K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8"/>
      <c r="K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8"/>
      <c r="K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8"/>
      <c r="K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8"/>
      <c r="K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8"/>
      <c r="K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8"/>
      <c r="K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8"/>
      <c r="K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8"/>
      <c r="K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8"/>
      <c r="K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8"/>
      <c r="K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8"/>
      <c r="K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8"/>
      <c r="K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8"/>
      <c r="K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8"/>
      <c r="K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8"/>
      <c r="K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8"/>
      <c r="K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8"/>
      <c r="K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8"/>
      <c r="K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8"/>
      <c r="K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8"/>
      <c r="K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8"/>
      <c r="K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8"/>
      <c r="K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8"/>
      <c r="K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8"/>
      <c r="K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8"/>
      <c r="K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8"/>
      <c r="K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8"/>
      <c r="K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8"/>
      <c r="K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8"/>
      <c r="K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8"/>
      <c r="K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8"/>
      <c r="K187" s="3"/>
    </row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6.38"/>
    <col customWidth="1" min="2" max="2" width="12.0"/>
    <col customWidth="1" min="3" max="3" width="21.25"/>
    <col customWidth="1" min="4" max="4" width="12.0"/>
    <col customWidth="1" min="5" max="5" width="19.88"/>
    <col customWidth="1" min="6" max="6" width="50.5"/>
    <col customWidth="1" min="7" max="8" width="12.0"/>
    <col customWidth="1" min="9" max="9" width="16.38"/>
    <col customWidth="1" min="10" max="10" width="14.5"/>
    <col customWidth="1" min="11" max="11" width="17.0"/>
    <col customWidth="1" min="12" max="12" width="22.88"/>
    <col customWidth="1" min="13" max="13" width="12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134</v>
      </c>
      <c r="C1" s="2" t="s">
        <v>19</v>
      </c>
      <c r="D1" s="2" t="s">
        <v>20</v>
      </c>
      <c r="E1" s="2" t="s">
        <v>272</v>
      </c>
      <c r="F1" s="2" t="s">
        <v>273</v>
      </c>
      <c r="G1" s="2" t="s">
        <v>274</v>
      </c>
      <c r="H1" s="2" t="s">
        <v>54</v>
      </c>
      <c r="I1" s="2" t="s">
        <v>275</v>
      </c>
      <c r="J1" s="2" t="s">
        <v>276</v>
      </c>
      <c r="K1" s="2" t="s">
        <v>32</v>
      </c>
      <c r="L1" s="2" t="s">
        <v>15</v>
      </c>
      <c r="M1" s="2" t="s">
        <v>3</v>
      </c>
      <c r="N1" s="2" t="s">
        <v>17</v>
      </c>
    </row>
    <row r="2" ht="13.5" customHeight="1">
      <c r="A2" s="3"/>
      <c r="B2" s="15">
        <v>46225.0</v>
      </c>
      <c r="C2" s="5" t="s">
        <v>277</v>
      </c>
      <c r="D2" s="5" t="s">
        <v>170</v>
      </c>
      <c r="E2" s="5" t="s">
        <v>278</v>
      </c>
      <c r="F2" s="5"/>
      <c r="G2" s="3"/>
      <c r="H2" s="3"/>
      <c r="I2" s="3"/>
      <c r="J2" s="3"/>
      <c r="K2" s="3"/>
      <c r="L2" s="3"/>
      <c r="M2" s="5" t="s">
        <v>21</v>
      </c>
      <c r="N2" s="3"/>
    </row>
    <row r="3" ht="13.5" customHeight="1">
      <c r="A3" s="7">
        <v>1.0</v>
      </c>
      <c r="B3" s="41">
        <v>46204.0</v>
      </c>
      <c r="C3" s="5" t="s">
        <v>279</v>
      </c>
      <c r="D3" s="5" t="s">
        <v>71</v>
      </c>
      <c r="E3" s="5" t="s">
        <v>278</v>
      </c>
      <c r="F3" s="5" t="s">
        <v>280</v>
      </c>
      <c r="G3" s="5">
        <v>1.0</v>
      </c>
      <c r="H3" s="5" t="s">
        <v>56</v>
      </c>
      <c r="I3" s="5" t="s">
        <v>281</v>
      </c>
      <c r="J3" s="5" t="s">
        <v>281</v>
      </c>
      <c r="K3" s="3"/>
      <c r="L3" s="7"/>
      <c r="M3" s="5" t="s">
        <v>21</v>
      </c>
      <c r="N3" s="3"/>
    </row>
    <row r="4" ht="13.5" customHeight="1">
      <c r="A4" s="7">
        <v>2.0</v>
      </c>
      <c r="B4" s="41">
        <v>46205.0</v>
      </c>
      <c r="C4" s="5" t="s">
        <v>279</v>
      </c>
      <c r="D4" s="5" t="s">
        <v>71</v>
      </c>
      <c r="E4" s="5" t="s">
        <v>278</v>
      </c>
      <c r="F4" s="5" t="s">
        <v>282</v>
      </c>
      <c r="G4" s="5">
        <v>1.0</v>
      </c>
      <c r="H4" s="5" t="s">
        <v>56</v>
      </c>
      <c r="I4" s="5" t="s">
        <v>281</v>
      </c>
      <c r="J4" s="5" t="s">
        <v>281</v>
      </c>
      <c r="K4" s="3"/>
      <c r="L4" s="7"/>
      <c r="M4" s="5" t="s">
        <v>21</v>
      </c>
      <c r="N4" s="3"/>
    </row>
    <row r="5" ht="13.5" customHeight="1">
      <c r="A5" s="7">
        <v>3.0</v>
      </c>
      <c r="B5" s="41">
        <v>46206.0</v>
      </c>
      <c r="C5" s="5" t="s">
        <v>279</v>
      </c>
      <c r="D5" s="5" t="s">
        <v>71</v>
      </c>
      <c r="E5" s="5" t="s">
        <v>278</v>
      </c>
      <c r="F5" s="5" t="s">
        <v>282</v>
      </c>
      <c r="G5" s="5">
        <v>1.0</v>
      </c>
      <c r="H5" s="5" t="s">
        <v>56</v>
      </c>
      <c r="I5" s="5" t="s">
        <v>281</v>
      </c>
      <c r="J5" s="5" t="s">
        <v>281</v>
      </c>
      <c r="K5" s="3"/>
      <c r="L5" s="7"/>
      <c r="M5" s="5" t="s">
        <v>21</v>
      </c>
      <c r="N5" s="3"/>
    </row>
    <row r="6" ht="13.5" customHeight="1">
      <c r="A6" s="3"/>
      <c r="B6" s="41">
        <v>46206.0</v>
      </c>
      <c r="C6" s="5" t="s">
        <v>279</v>
      </c>
      <c r="D6" s="5" t="s">
        <v>71</v>
      </c>
      <c r="E6" s="5" t="s">
        <v>278</v>
      </c>
      <c r="F6" s="5" t="s">
        <v>282</v>
      </c>
      <c r="G6" s="5">
        <v>2.0</v>
      </c>
      <c r="H6" s="5" t="s">
        <v>56</v>
      </c>
      <c r="I6" s="5" t="s">
        <v>281</v>
      </c>
      <c r="J6" s="5" t="s">
        <v>281</v>
      </c>
      <c r="K6" s="3"/>
      <c r="L6" s="3"/>
      <c r="M6" s="5" t="s">
        <v>21</v>
      </c>
      <c r="N6" s="3"/>
    </row>
    <row r="7" ht="13.5" customHeight="1">
      <c r="A7" s="3"/>
      <c r="B7" s="41">
        <v>46211.0</v>
      </c>
      <c r="C7" s="5" t="s">
        <v>279</v>
      </c>
      <c r="D7" s="5" t="s">
        <v>71</v>
      </c>
      <c r="E7" s="5" t="s">
        <v>278</v>
      </c>
      <c r="F7" s="5" t="s">
        <v>283</v>
      </c>
      <c r="G7" s="5">
        <v>1.0</v>
      </c>
      <c r="H7" s="5" t="s">
        <v>56</v>
      </c>
      <c r="I7" s="5" t="s">
        <v>281</v>
      </c>
      <c r="J7" s="5" t="s">
        <v>281</v>
      </c>
      <c r="K7" s="3"/>
      <c r="L7" s="3"/>
      <c r="M7" s="5" t="s">
        <v>21</v>
      </c>
      <c r="N7" s="3"/>
    </row>
    <row r="8" ht="13.5" customHeight="1">
      <c r="A8" s="3"/>
      <c r="B8" s="41">
        <v>46212.0</v>
      </c>
      <c r="C8" s="5" t="s">
        <v>279</v>
      </c>
      <c r="D8" s="5" t="s">
        <v>71</v>
      </c>
      <c r="E8" s="5" t="s">
        <v>278</v>
      </c>
      <c r="F8" s="5" t="s">
        <v>282</v>
      </c>
      <c r="G8" s="5">
        <v>1.0</v>
      </c>
      <c r="H8" s="5" t="s">
        <v>56</v>
      </c>
      <c r="I8" s="5" t="s">
        <v>281</v>
      </c>
      <c r="J8" s="5" t="s">
        <v>281</v>
      </c>
      <c r="K8" s="3"/>
      <c r="L8" s="3"/>
      <c r="M8" s="5" t="s">
        <v>21</v>
      </c>
      <c r="N8" s="3"/>
    </row>
    <row r="9" ht="13.5" customHeight="1">
      <c r="A9" s="3"/>
      <c r="B9" s="15">
        <v>46214.0</v>
      </c>
      <c r="C9" s="5" t="s">
        <v>279</v>
      </c>
      <c r="D9" s="5" t="s">
        <v>71</v>
      </c>
      <c r="E9" s="5" t="s">
        <v>278</v>
      </c>
      <c r="F9" s="5" t="s">
        <v>282</v>
      </c>
      <c r="G9" s="5">
        <v>1.0</v>
      </c>
      <c r="H9" s="5" t="s">
        <v>56</v>
      </c>
      <c r="I9" s="5" t="s">
        <v>281</v>
      </c>
      <c r="J9" s="5" t="s">
        <v>281</v>
      </c>
      <c r="K9" s="3"/>
      <c r="L9" s="3"/>
      <c r="M9" s="5" t="s">
        <v>21</v>
      </c>
      <c r="N9" s="3"/>
    </row>
    <row r="10" ht="13.5" customHeight="1">
      <c r="A10" s="3"/>
      <c r="B10" s="15">
        <v>46223.0</v>
      </c>
      <c r="C10" s="5" t="s">
        <v>279</v>
      </c>
      <c r="D10" s="5" t="s">
        <v>71</v>
      </c>
      <c r="E10" s="5" t="s">
        <v>278</v>
      </c>
      <c r="F10" s="5" t="s">
        <v>280</v>
      </c>
      <c r="G10" s="5">
        <v>1.0</v>
      </c>
      <c r="H10" s="5" t="s">
        <v>56</v>
      </c>
      <c r="I10" s="5" t="s">
        <v>281</v>
      </c>
      <c r="J10" s="5" t="s">
        <v>281</v>
      </c>
      <c r="K10" s="3"/>
      <c r="L10" s="3"/>
      <c r="M10" s="5" t="s">
        <v>21</v>
      </c>
      <c r="N10" s="3"/>
    </row>
    <row r="11" ht="13.5" customHeight="1">
      <c r="A11" s="3"/>
      <c r="B11" s="15">
        <v>46224.0</v>
      </c>
      <c r="C11" s="5" t="s">
        <v>279</v>
      </c>
      <c r="D11" s="5" t="s">
        <v>71</v>
      </c>
      <c r="E11" s="5" t="s">
        <v>278</v>
      </c>
      <c r="F11" s="5" t="s">
        <v>282</v>
      </c>
      <c r="G11" s="5">
        <v>1.0</v>
      </c>
      <c r="H11" s="5" t="s">
        <v>56</v>
      </c>
      <c r="I11" s="5" t="s">
        <v>281</v>
      </c>
      <c r="J11" s="5" t="s">
        <v>281</v>
      </c>
      <c r="K11" s="3"/>
      <c r="L11" s="3"/>
      <c r="M11" s="5" t="s">
        <v>21</v>
      </c>
      <c r="N11" s="3"/>
    </row>
    <row r="12" ht="13.5" customHeight="1">
      <c r="A12" s="3"/>
      <c r="B12" s="15">
        <v>46225.0</v>
      </c>
      <c r="C12" s="5" t="s">
        <v>279</v>
      </c>
      <c r="D12" s="5" t="s">
        <v>71</v>
      </c>
      <c r="E12" s="5" t="s">
        <v>278</v>
      </c>
      <c r="F12" s="5"/>
      <c r="G12" s="3"/>
      <c r="H12" s="3"/>
      <c r="I12" s="3"/>
      <c r="J12" s="3"/>
      <c r="K12" s="3"/>
      <c r="L12" s="3"/>
      <c r="M12" s="5" t="s">
        <v>21</v>
      </c>
      <c r="N12" s="3"/>
    </row>
    <row r="13" ht="13.5" customHeight="1">
      <c r="A13" s="3"/>
      <c r="B13" s="15">
        <v>46225.0</v>
      </c>
      <c r="C13" s="5" t="s">
        <v>279</v>
      </c>
      <c r="D13" s="5" t="s">
        <v>71</v>
      </c>
      <c r="E13" s="5" t="s">
        <v>278</v>
      </c>
      <c r="F13" s="5" t="s">
        <v>282</v>
      </c>
      <c r="G13" s="5">
        <v>1.0</v>
      </c>
      <c r="H13" s="5" t="s">
        <v>56</v>
      </c>
      <c r="I13" s="5" t="s">
        <v>281</v>
      </c>
      <c r="J13" s="5" t="s">
        <v>281</v>
      </c>
      <c r="K13" s="3"/>
      <c r="L13" s="3"/>
      <c r="M13" s="5" t="s">
        <v>21</v>
      </c>
      <c r="N13" s="3"/>
    </row>
    <row r="14" ht="13.5" customHeight="1">
      <c r="A14" s="3"/>
      <c r="B14" s="15">
        <v>46226.0</v>
      </c>
      <c r="C14" s="5" t="s">
        <v>279</v>
      </c>
      <c r="D14" s="5" t="s">
        <v>71</v>
      </c>
      <c r="E14" s="5" t="s">
        <v>278</v>
      </c>
      <c r="F14" s="5" t="s">
        <v>282</v>
      </c>
      <c r="G14" s="5">
        <v>1.0</v>
      </c>
      <c r="H14" s="5" t="s">
        <v>56</v>
      </c>
      <c r="I14" s="5" t="s">
        <v>281</v>
      </c>
      <c r="J14" s="5" t="s">
        <v>281</v>
      </c>
      <c r="K14" s="3"/>
      <c r="L14" s="3"/>
      <c r="M14" s="5" t="s">
        <v>21</v>
      </c>
      <c r="N14" s="3"/>
    </row>
    <row r="15" ht="13.5" customHeight="1">
      <c r="A15" s="3"/>
      <c r="B15" s="15">
        <v>46226.0</v>
      </c>
      <c r="C15" s="5" t="s">
        <v>279</v>
      </c>
      <c r="D15" s="5" t="s">
        <v>71</v>
      </c>
      <c r="E15" s="5" t="s">
        <v>278</v>
      </c>
      <c r="F15" s="5"/>
      <c r="G15" s="3"/>
      <c r="H15" s="3"/>
      <c r="I15" s="3"/>
      <c r="J15" s="3"/>
      <c r="K15" s="3"/>
      <c r="L15" s="3"/>
      <c r="M15" s="5" t="s">
        <v>21</v>
      </c>
      <c r="N15" s="3"/>
    </row>
    <row r="16" ht="13.5" customHeight="1">
      <c r="A16" s="3"/>
      <c r="B16" s="15">
        <v>46227.0</v>
      </c>
      <c r="C16" s="5" t="s">
        <v>279</v>
      </c>
      <c r="D16" s="5" t="s">
        <v>71</v>
      </c>
      <c r="E16" s="5" t="s">
        <v>278</v>
      </c>
      <c r="F16" s="5" t="s">
        <v>282</v>
      </c>
      <c r="G16" s="5">
        <v>1.0</v>
      </c>
      <c r="H16" s="5" t="s">
        <v>56</v>
      </c>
      <c r="I16" s="5" t="s">
        <v>281</v>
      </c>
      <c r="J16" s="5" t="s">
        <v>281</v>
      </c>
      <c r="K16" s="3"/>
      <c r="L16" s="3"/>
      <c r="M16" s="5" t="s">
        <v>21</v>
      </c>
      <c r="N16" s="3"/>
    </row>
    <row r="17" ht="13.5" customHeight="1">
      <c r="A17" s="3"/>
      <c r="B17" s="15">
        <v>46233.0</v>
      </c>
      <c r="C17" s="5" t="s">
        <v>279</v>
      </c>
      <c r="D17" s="5" t="s">
        <v>71</v>
      </c>
      <c r="E17" s="5" t="s">
        <v>278</v>
      </c>
      <c r="F17" s="5" t="s">
        <v>282</v>
      </c>
      <c r="G17" s="5">
        <v>1.0</v>
      </c>
      <c r="H17" s="5" t="s">
        <v>56</v>
      </c>
      <c r="I17" s="5" t="s">
        <v>281</v>
      </c>
      <c r="J17" s="5" t="s">
        <v>281</v>
      </c>
      <c r="K17" s="3"/>
      <c r="L17" s="3"/>
      <c r="M17" s="5" t="s">
        <v>21</v>
      </c>
      <c r="N17" s="3"/>
    </row>
    <row r="18" ht="13.5" customHeight="1">
      <c r="A18" s="3"/>
      <c r="B18" s="15">
        <v>46215.0</v>
      </c>
      <c r="C18" s="5" t="s">
        <v>279</v>
      </c>
      <c r="D18" s="5" t="s">
        <v>71</v>
      </c>
      <c r="E18" s="5" t="s">
        <v>284</v>
      </c>
      <c r="F18" s="5"/>
      <c r="G18" s="3"/>
      <c r="H18" s="3"/>
      <c r="I18" s="3"/>
      <c r="J18" s="3"/>
      <c r="K18" s="3"/>
      <c r="L18" s="3"/>
      <c r="M18" s="5" t="s">
        <v>21</v>
      </c>
      <c r="N18" s="3"/>
    </row>
    <row r="19" ht="13.5" customHeight="1">
      <c r="A19" s="3"/>
      <c r="B19" s="15">
        <v>46231.0</v>
      </c>
      <c r="C19" s="5" t="s">
        <v>279</v>
      </c>
      <c r="D19" s="5" t="s">
        <v>71</v>
      </c>
      <c r="E19" s="5" t="s">
        <v>284</v>
      </c>
      <c r="F19" s="3"/>
      <c r="G19" s="3"/>
      <c r="H19" s="3"/>
      <c r="I19" s="3"/>
      <c r="J19" s="3"/>
      <c r="K19" s="3"/>
      <c r="L19" s="3"/>
      <c r="M19" s="5" t="s">
        <v>21</v>
      </c>
      <c r="N19" s="3"/>
    </row>
    <row r="20" ht="13.5" customHeight="1">
      <c r="A20" s="3"/>
      <c r="B20" s="15">
        <v>46232.0</v>
      </c>
      <c r="C20" s="5" t="s">
        <v>279</v>
      </c>
      <c r="D20" s="5" t="s">
        <v>71</v>
      </c>
      <c r="E20" s="5" t="s">
        <v>284</v>
      </c>
      <c r="F20" s="3"/>
      <c r="G20" s="3"/>
      <c r="H20" s="3"/>
      <c r="I20" s="3"/>
      <c r="J20" s="3"/>
      <c r="K20" s="3"/>
      <c r="L20" s="3"/>
      <c r="M20" s="5" t="s">
        <v>21</v>
      </c>
      <c r="N20" s="3"/>
    </row>
    <row r="21" ht="13.5" customHeight="1">
      <c r="A21" s="3"/>
      <c r="B21" s="42">
        <v>46140.0</v>
      </c>
      <c r="C21" s="5" t="s">
        <v>76</v>
      </c>
      <c r="D21" s="5" t="s">
        <v>77</v>
      </c>
      <c r="E21" s="43" t="s">
        <v>285</v>
      </c>
      <c r="F21" s="5" t="s">
        <v>286</v>
      </c>
      <c r="G21" s="5">
        <v>1.0</v>
      </c>
      <c r="H21" s="5" t="s">
        <v>56</v>
      </c>
      <c r="I21" s="5" t="s">
        <v>287</v>
      </c>
      <c r="J21" s="3"/>
      <c r="K21" s="3"/>
      <c r="L21" s="3"/>
      <c r="M21" s="3"/>
      <c r="N21" s="3"/>
    </row>
    <row r="22" ht="13.5" customHeight="1">
      <c r="A22" s="3"/>
      <c r="B22" s="42">
        <v>46192.0</v>
      </c>
      <c r="C22" s="5" t="s">
        <v>76</v>
      </c>
      <c r="D22" s="5" t="s">
        <v>77</v>
      </c>
      <c r="E22" s="5" t="s">
        <v>288</v>
      </c>
      <c r="F22" s="5" t="s">
        <v>289</v>
      </c>
      <c r="G22" s="5">
        <v>1.0</v>
      </c>
      <c r="H22" s="5" t="s">
        <v>56</v>
      </c>
      <c r="I22" s="5" t="s">
        <v>287</v>
      </c>
      <c r="J22" s="3"/>
      <c r="K22" s="3"/>
      <c r="L22" s="3"/>
      <c r="M22" s="3"/>
      <c r="N22" s="3"/>
    </row>
    <row r="23" ht="13.5" customHeight="1">
      <c r="A23" s="3"/>
      <c r="B23" s="42">
        <v>46224.0</v>
      </c>
      <c r="C23" s="5" t="s">
        <v>76</v>
      </c>
      <c r="D23" s="5" t="s">
        <v>77</v>
      </c>
      <c r="E23" s="5" t="s">
        <v>290</v>
      </c>
      <c r="F23" s="5" t="s">
        <v>291</v>
      </c>
      <c r="G23" s="5">
        <v>1.0</v>
      </c>
      <c r="H23" s="5" t="s">
        <v>56</v>
      </c>
      <c r="I23" s="5" t="s">
        <v>287</v>
      </c>
      <c r="J23" s="3"/>
      <c r="K23" s="3"/>
      <c r="L23" s="3"/>
      <c r="M23" s="3"/>
      <c r="N23" s="3"/>
    </row>
    <row r="24" ht="13.5" customHeight="1">
      <c r="A24" s="3"/>
      <c r="B24" s="42">
        <v>46162.0</v>
      </c>
      <c r="C24" s="5" t="s">
        <v>76</v>
      </c>
      <c r="D24" s="5" t="s">
        <v>77</v>
      </c>
      <c r="E24" s="5" t="s">
        <v>290</v>
      </c>
      <c r="F24" s="5" t="s">
        <v>291</v>
      </c>
      <c r="G24" s="5">
        <v>1.0</v>
      </c>
      <c r="H24" s="5" t="s">
        <v>56</v>
      </c>
      <c r="I24" s="5" t="s">
        <v>287</v>
      </c>
      <c r="J24" s="3"/>
      <c r="K24" s="3"/>
      <c r="L24" s="3"/>
      <c r="M24" s="3"/>
      <c r="N24" s="3"/>
    </row>
    <row r="25" ht="13.5" customHeight="1">
      <c r="A25" s="3"/>
      <c r="B25" s="42">
        <v>46191.0</v>
      </c>
      <c r="C25" s="5" t="s">
        <v>76</v>
      </c>
      <c r="D25" s="5" t="s">
        <v>77</v>
      </c>
      <c r="E25" s="5" t="s">
        <v>290</v>
      </c>
      <c r="F25" s="5" t="s">
        <v>291</v>
      </c>
      <c r="G25" s="5">
        <v>1.0</v>
      </c>
      <c r="H25" s="5" t="s">
        <v>56</v>
      </c>
      <c r="I25" s="5" t="s">
        <v>287</v>
      </c>
      <c r="J25" s="3"/>
      <c r="K25" s="3"/>
      <c r="L25" s="3"/>
      <c r="M25" s="3"/>
      <c r="N25" s="3"/>
    </row>
    <row r="26" ht="13.5" customHeight="1">
      <c r="A26" s="3"/>
      <c r="B26" s="42">
        <v>46248.0</v>
      </c>
      <c r="C26" s="5" t="s">
        <v>76</v>
      </c>
      <c r="D26" s="5" t="s">
        <v>77</v>
      </c>
      <c r="E26" s="5" t="s">
        <v>290</v>
      </c>
      <c r="F26" s="5" t="s">
        <v>291</v>
      </c>
      <c r="G26" s="5">
        <v>1.0</v>
      </c>
      <c r="H26" s="5" t="s">
        <v>56</v>
      </c>
      <c r="I26" s="5" t="s">
        <v>287</v>
      </c>
      <c r="J26" s="3"/>
      <c r="K26" s="3"/>
      <c r="L26" s="3"/>
      <c r="M26" s="3"/>
      <c r="N26" s="3"/>
    </row>
    <row r="27" ht="13.5" customHeight="1">
      <c r="A27" s="3"/>
      <c r="B27" s="42">
        <v>46140.0</v>
      </c>
      <c r="C27" s="5" t="s">
        <v>76</v>
      </c>
      <c r="D27" s="5" t="s">
        <v>77</v>
      </c>
      <c r="E27" s="5" t="s">
        <v>290</v>
      </c>
      <c r="F27" s="5" t="s">
        <v>292</v>
      </c>
      <c r="G27" s="5">
        <v>1.0</v>
      </c>
      <c r="H27" s="5" t="s">
        <v>56</v>
      </c>
      <c r="I27" s="5" t="s">
        <v>287</v>
      </c>
      <c r="J27" s="3"/>
      <c r="K27" s="3"/>
      <c r="L27" s="3"/>
      <c r="M27" s="3"/>
      <c r="N27" s="3"/>
    </row>
    <row r="28" ht="13.5" customHeight="1">
      <c r="A28" s="3"/>
      <c r="B28" s="42">
        <v>46037.0</v>
      </c>
      <c r="C28" s="5" t="s">
        <v>76</v>
      </c>
      <c r="D28" s="5" t="s">
        <v>77</v>
      </c>
      <c r="E28" s="5" t="s">
        <v>278</v>
      </c>
      <c r="F28" s="44" t="s">
        <v>293</v>
      </c>
      <c r="G28" s="5">
        <v>1.0</v>
      </c>
      <c r="H28" s="5" t="s">
        <v>56</v>
      </c>
      <c r="I28" s="5" t="s">
        <v>281</v>
      </c>
      <c r="J28" s="3"/>
      <c r="K28" s="3"/>
      <c r="L28" s="3"/>
      <c r="M28" s="3"/>
      <c r="N28" s="3"/>
    </row>
    <row r="29" ht="13.5" customHeight="1">
      <c r="A29" s="3"/>
      <c r="B29" s="42">
        <v>46037.0</v>
      </c>
      <c r="C29" s="5" t="s">
        <v>76</v>
      </c>
      <c r="D29" s="5" t="s">
        <v>77</v>
      </c>
      <c r="E29" s="5" t="s">
        <v>278</v>
      </c>
      <c r="F29" s="44" t="s">
        <v>293</v>
      </c>
      <c r="G29" s="5">
        <v>1.0</v>
      </c>
      <c r="H29" s="5" t="s">
        <v>56</v>
      </c>
      <c r="I29" s="5" t="s">
        <v>281</v>
      </c>
      <c r="J29" s="3"/>
      <c r="K29" s="3"/>
      <c r="L29" s="3"/>
      <c r="M29" s="3"/>
      <c r="N29" s="3"/>
    </row>
    <row r="30" ht="13.5" customHeight="1">
      <c r="A30" s="3"/>
      <c r="B30" s="42">
        <v>46071.0</v>
      </c>
      <c r="C30" s="5" t="s">
        <v>76</v>
      </c>
      <c r="D30" s="5" t="s">
        <v>77</v>
      </c>
      <c r="E30" s="5" t="s">
        <v>278</v>
      </c>
      <c r="F30" s="44" t="s">
        <v>293</v>
      </c>
      <c r="G30" s="5">
        <v>1.0</v>
      </c>
      <c r="H30" s="5" t="s">
        <v>56</v>
      </c>
      <c r="I30" s="5" t="s">
        <v>281</v>
      </c>
      <c r="J30" s="3"/>
      <c r="K30" s="3"/>
      <c r="L30" s="3"/>
      <c r="M30" s="3"/>
      <c r="N30" s="3"/>
    </row>
    <row r="31" ht="13.5" customHeight="1">
      <c r="A31" s="3"/>
      <c r="B31" s="42">
        <v>46071.0</v>
      </c>
      <c r="C31" s="5" t="s">
        <v>76</v>
      </c>
      <c r="D31" s="5" t="s">
        <v>77</v>
      </c>
      <c r="E31" s="5" t="s">
        <v>278</v>
      </c>
      <c r="F31" s="44" t="s">
        <v>293</v>
      </c>
      <c r="G31" s="5">
        <v>1.0</v>
      </c>
      <c r="H31" s="5" t="s">
        <v>56</v>
      </c>
      <c r="I31" s="5" t="s">
        <v>281</v>
      </c>
      <c r="J31" s="3"/>
      <c r="K31" s="3"/>
      <c r="L31" s="3"/>
      <c r="M31" s="3"/>
      <c r="N31" s="3"/>
    </row>
    <row r="32" ht="13.5" customHeight="1">
      <c r="A32" s="3"/>
      <c r="B32" s="42">
        <v>46081.0</v>
      </c>
      <c r="C32" s="5" t="s">
        <v>76</v>
      </c>
      <c r="D32" s="5" t="s">
        <v>77</v>
      </c>
      <c r="E32" s="5" t="s">
        <v>278</v>
      </c>
      <c r="F32" s="44" t="s">
        <v>294</v>
      </c>
      <c r="G32" s="5">
        <v>1.0</v>
      </c>
      <c r="H32" s="5" t="s">
        <v>56</v>
      </c>
      <c r="I32" s="5" t="s">
        <v>281</v>
      </c>
      <c r="J32" s="3"/>
      <c r="K32" s="3"/>
      <c r="L32" s="3"/>
      <c r="M32" s="3"/>
      <c r="N32" s="3"/>
    </row>
    <row r="33" ht="13.5" customHeight="1">
      <c r="A33" s="3"/>
      <c r="B33" s="42">
        <v>46086.0</v>
      </c>
      <c r="C33" s="5" t="s">
        <v>76</v>
      </c>
      <c r="D33" s="5" t="s">
        <v>77</v>
      </c>
      <c r="E33" s="5" t="s">
        <v>278</v>
      </c>
      <c r="F33" s="44" t="s">
        <v>295</v>
      </c>
      <c r="G33" s="5">
        <v>1.0</v>
      </c>
      <c r="H33" s="5" t="s">
        <v>56</v>
      </c>
      <c r="I33" s="5" t="s">
        <v>281</v>
      </c>
      <c r="J33" s="3"/>
      <c r="K33" s="3"/>
      <c r="L33" s="3"/>
      <c r="M33" s="3"/>
      <c r="N33" s="3"/>
    </row>
    <row r="34" ht="13.5" customHeight="1">
      <c r="A34" s="3"/>
      <c r="B34" s="42">
        <v>46086.0</v>
      </c>
      <c r="C34" s="5" t="s">
        <v>76</v>
      </c>
      <c r="D34" s="5" t="s">
        <v>77</v>
      </c>
      <c r="E34" s="5" t="s">
        <v>278</v>
      </c>
      <c r="F34" s="44" t="s">
        <v>293</v>
      </c>
      <c r="G34" s="5">
        <v>1.0</v>
      </c>
      <c r="H34" s="5" t="s">
        <v>56</v>
      </c>
      <c r="I34" s="5" t="s">
        <v>281</v>
      </c>
      <c r="J34" s="3"/>
      <c r="K34" s="3"/>
      <c r="L34" s="3"/>
      <c r="M34" s="3"/>
      <c r="N34" s="3"/>
    </row>
    <row r="35" ht="13.5" customHeight="1">
      <c r="A35" s="3"/>
      <c r="B35" s="42">
        <v>46098.0</v>
      </c>
      <c r="C35" s="5" t="s">
        <v>76</v>
      </c>
      <c r="D35" s="5" t="s">
        <v>77</v>
      </c>
      <c r="E35" s="5" t="s">
        <v>278</v>
      </c>
      <c r="F35" s="44" t="s">
        <v>293</v>
      </c>
      <c r="G35" s="5">
        <v>1.0</v>
      </c>
      <c r="H35" s="5" t="s">
        <v>56</v>
      </c>
      <c r="I35" s="5" t="s">
        <v>281</v>
      </c>
      <c r="J35" s="3"/>
      <c r="K35" s="3"/>
      <c r="L35" s="3"/>
      <c r="M35" s="3"/>
      <c r="N35" s="3"/>
    </row>
    <row r="36" ht="13.5" customHeight="1">
      <c r="A36" s="3"/>
      <c r="B36" s="42">
        <v>46098.0</v>
      </c>
      <c r="C36" s="5" t="s">
        <v>76</v>
      </c>
      <c r="D36" s="5" t="s">
        <v>77</v>
      </c>
      <c r="E36" s="5" t="s">
        <v>278</v>
      </c>
      <c r="F36" s="44" t="s">
        <v>293</v>
      </c>
      <c r="G36" s="5">
        <v>1.0</v>
      </c>
      <c r="H36" s="5" t="s">
        <v>56</v>
      </c>
      <c r="I36" s="5" t="s">
        <v>281</v>
      </c>
      <c r="J36" s="3"/>
      <c r="K36" s="3"/>
      <c r="L36" s="3"/>
      <c r="M36" s="3"/>
      <c r="N36" s="3"/>
    </row>
    <row r="37" ht="13.5" customHeight="1">
      <c r="A37" s="3"/>
      <c r="B37" s="42">
        <v>46098.0</v>
      </c>
      <c r="C37" s="5" t="s">
        <v>76</v>
      </c>
      <c r="D37" s="5" t="s">
        <v>77</v>
      </c>
      <c r="E37" s="5" t="s">
        <v>278</v>
      </c>
      <c r="F37" s="44" t="s">
        <v>293</v>
      </c>
      <c r="G37" s="5">
        <v>1.0</v>
      </c>
      <c r="H37" s="5" t="s">
        <v>56</v>
      </c>
      <c r="I37" s="5" t="s">
        <v>281</v>
      </c>
      <c r="J37" s="3"/>
      <c r="K37" s="3"/>
      <c r="L37" s="3"/>
      <c r="M37" s="3"/>
      <c r="N37" s="3"/>
    </row>
    <row r="38" ht="13.5" customHeight="1">
      <c r="A38" s="3"/>
      <c r="B38" s="42">
        <v>46098.0</v>
      </c>
      <c r="C38" s="5" t="s">
        <v>76</v>
      </c>
      <c r="D38" s="5" t="s">
        <v>77</v>
      </c>
      <c r="E38" s="5" t="s">
        <v>278</v>
      </c>
      <c r="F38" s="44" t="s">
        <v>295</v>
      </c>
      <c r="G38" s="5">
        <v>1.0</v>
      </c>
      <c r="H38" s="5" t="s">
        <v>56</v>
      </c>
      <c r="I38" s="5" t="s">
        <v>281</v>
      </c>
      <c r="J38" s="3"/>
      <c r="K38" s="3"/>
      <c r="L38" s="3"/>
      <c r="M38" s="3"/>
      <c r="N38" s="3"/>
    </row>
    <row r="39" ht="13.5" customHeight="1">
      <c r="A39" s="3"/>
      <c r="B39" s="42">
        <v>46098.0</v>
      </c>
      <c r="C39" s="5" t="s">
        <v>76</v>
      </c>
      <c r="D39" s="5" t="s">
        <v>77</v>
      </c>
      <c r="E39" s="5" t="s">
        <v>278</v>
      </c>
      <c r="F39" s="44" t="s">
        <v>295</v>
      </c>
      <c r="G39" s="5">
        <v>1.0</v>
      </c>
      <c r="H39" s="5" t="s">
        <v>56</v>
      </c>
      <c r="I39" s="5" t="s">
        <v>281</v>
      </c>
      <c r="J39" s="3"/>
      <c r="K39" s="3"/>
      <c r="L39" s="3"/>
      <c r="M39" s="3"/>
      <c r="N39" s="3"/>
    </row>
    <row r="40" ht="13.5" customHeight="1">
      <c r="A40" s="3"/>
      <c r="B40" s="42">
        <v>46108.0</v>
      </c>
      <c r="C40" s="5" t="s">
        <v>76</v>
      </c>
      <c r="D40" s="5" t="s">
        <v>77</v>
      </c>
      <c r="E40" s="5" t="s">
        <v>278</v>
      </c>
      <c r="F40" s="44" t="s">
        <v>294</v>
      </c>
      <c r="G40" s="5">
        <v>1.0</v>
      </c>
      <c r="H40" s="5" t="s">
        <v>56</v>
      </c>
      <c r="I40" s="5" t="s">
        <v>281</v>
      </c>
      <c r="J40" s="3"/>
      <c r="K40" s="3"/>
      <c r="L40" s="3"/>
      <c r="M40" s="3"/>
      <c r="N40" s="3"/>
    </row>
    <row r="41" ht="13.5" customHeight="1">
      <c r="A41" s="3"/>
      <c r="B41" s="42">
        <v>46108.0</v>
      </c>
      <c r="C41" s="5" t="s">
        <v>76</v>
      </c>
      <c r="D41" s="5" t="s">
        <v>77</v>
      </c>
      <c r="E41" s="5" t="s">
        <v>278</v>
      </c>
      <c r="F41" s="44" t="s">
        <v>294</v>
      </c>
      <c r="G41" s="5">
        <v>1.0</v>
      </c>
      <c r="H41" s="5" t="s">
        <v>56</v>
      </c>
      <c r="I41" s="5" t="s">
        <v>281</v>
      </c>
      <c r="J41" s="3"/>
      <c r="K41" s="3"/>
      <c r="L41" s="3"/>
      <c r="M41" s="3"/>
      <c r="N41" s="3"/>
    </row>
    <row r="42" ht="13.5" customHeight="1">
      <c r="A42" s="3"/>
      <c r="B42" s="42">
        <v>46128.0</v>
      </c>
      <c r="C42" s="5" t="s">
        <v>76</v>
      </c>
      <c r="D42" s="5" t="s">
        <v>77</v>
      </c>
      <c r="E42" s="5" t="s">
        <v>278</v>
      </c>
      <c r="F42" s="44" t="s">
        <v>294</v>
      </c>
      <c r="G42" s="5">
        <v>1.0</v>
      </c>
      <c r="H42" s="5" t="s">
        <v>56</v>
      </c>
      <c r="I42" s="5" t="s">
        <v>281</v>
      </c>
      <c r="J42" s="3"/>
      <c r="K42" s="3"/>
      <c r="L42" s="3"/>
      <c r="M42" s="3"/>
      <c r="N42" s="3"/>
    </row>
    <row r="43" ht="13.5" customHeight="1">
      <c r="A43" s="3"/>
      <c r="B43" s="42">
        <v>46162.0</v>
      </c>
      <c r="C43" s="5" t="s">
        <v>76</v>
      </c>
      <c r="D43" s="5" t="s">
        <v>77</v>
      </c>
      <c r="E43" s="5" t="s">
        <v>278</v>
      </c>
      <c r="F43" s="44" t="s">
        <v>294</v>
      </c>
      <c r="G43" s="5">
        <v>1.0</v>
      </c>
      <c r="H43" s="5" t="s">
        <v>56</v>
      </c>
      <c r="I43" s="5" t="s">
        <v>281</v>
      </c>
      <c r="J43" s="3"/>
      <c r="K43" s="3"/>
      <c r="L43" s="3"/>
      <c r="M43" s="3"/>
      <c r="N43" s="3"/>
    </row>
    <row r="44" ht="13.5" customHeight="1">
      <c r="A44" s="3"/>
      <c r="B44" s="42">
        <v>46162.0</v>
      </c>
      <c r="C44" s="5" t="s">
        <v>76</v>
      </c>
      <c r="D44" s="5" t="s">
        <v>77</v>
      </c>
      <c r="E44" s="5" t="s">
        <v>278</v>
      </c>
      <c r="F44" s="44" t="s">
        <v>296</v>
      </c>
      <c r="G44" s="5">
        <v>1.0</v>
      </c>
      <c r="H44" s="5" t="s">
        <v>56</v>
      </c>
      <c r="I44" s="5" t="s">
        <v>281</v>
      </c>
      <c r="J44" s="3"/>
      <c r="K44" s="3"/>
      <c r="L44" s="3"/>
      <c r="M44" s="3"/>
      <c r="N44" s="3"/>
    </row>
    <row r="45" ht="13.5" customHeight="1">
      <c r="A45" s="3"/>
      <c r="B45" s="42">
        <v>46163.0</v>
      </c>
      <c r="C45" s="5" t="s">
        <v>76</v>
      </c>
      <c r="D45" s="5" t="s">
        <v>77</v>
      </c>
      <c r="E45" s="5" t="s">
        <v>278</v>
      </c>
      <c r="F45" s="44" t="s">
        <v>293</v>
      </c>
      <c r="G45" s="5">
        <v>1.0</v>
      </c>
      <c r="H45" s="5" t="s">
        <v>56</v>
      </c>
      <c r="I45" s="5" t="s">
        <v>281</v>
      </c>
      <c r="J45" s="3"/>
      <c r="K45" s="3"/>
      <c r="L45" s="3"/>
      <c r="M45" s="3"/>
      <c r="N45" s="3"/>
    </row>
    <row r="46" ht="13.5" customHeight="1">
      <c r="A46" s="3"/>
      <c r="B46" s="42">
        <v>46163.0</v>
      </c>
      <c r="C46" s="5" t="s">
        <v>76</v>
      </c>
      <c r="D46" s="5" t="s">
        <v>77</v>
      </c>
      <c r="E46" s="5" t="s">
        <v>278</v>
      </c>
      <c r="F46" s="44" t="s">
        <v>295</v>
      </c>
      <c r="G46" s="5">
        <v>1.0</v>
      </c>
      <c r="H46" s="5" t="s">
        <v>56</v>
      </c>
      <c r="I46" s="5" t="s">
        <v>281</v>
      </c>
      <c r="J46" s="3"/>
      <c r="K46" s="3"/>
      <c r="L46" s="3"/>
      <c r="M46" s="3"/>
      <c r="N46" s="3"/>
    </row>
    <row r="47" ht="13.5" customHeight="1">
      <c r="A47" s="3"/>
      <c r="B47" s="42">
        <v>46171.0</v>
      </c>
      <c r="C47" s="5" t="s">
        <v>76</v>
      </c>
      <c r="D47" s="5" t="s">
        <v>77</v>
      </c>
      <c r="E47" s="5" t="s">
        <v>278</v>
      </c>
      <c r="F47" s="44" t="s">
        <v>294</v>
      </c>
      <c r="G47" s="5">
        <v>1.0</v>
      </c>
      <c r="H47" s="5" t="s">
        <v>56</v>
      </c>
      <c r="I47" s="5" t="s">
        <v>281</v>
      </c>
      <c r="J47" s="3"/>
      <c r="K47" s="3"/>
      <c r="L47" s="3"/>
      <c r="M47" s="3"/>
      <c r="N47" s="3"/>
    </row>
    <row r="48" ht="13.5" customHeight="1">
      <c r="A48" s="3"/>
      <c r="B48" s="42">
        <v>46176.0</v>
      </c>
      <c r="C48" s="5" t="s">
        <v>76</v>
      </c>
      <c r="D48" s="5" t="s">
        <v>77</v>
      </c>
      <c r="E48" s="5" t="s">
        <v>278</v>
      </c>
      <c r="F48" s="44" t="s">
        <v>294</v>
      </c>
      <c r="G48" s="5">
        <v>1.0</v>
      </c>
      <c r="H48" s="5" t="s">
        <v>56</v>
      </c>
      <c r="I48" s="5" t="s">
        <v>281</v>
      </c>
      <c r="J48" s="3"/>
      <c r="K48" s="3"/>
      <c r="L48" s="3"/>
      <c r="M48" s="3"/>
      <c r="N48" s="3"/>
    </row>
    <row r="49" ht="13.5" customHeight="1">
      <c r="A49" s="3"/>
      <c r="B49" s="42">
        <v>46182.0</v>
      </c>
      <c r="C49" s="5" t="s">
        <v>76</v>
      </c>
      <c r="D49" s="5" t="s">
        <v>77</v>
      </c>
      <c r="E49" s="5" t="s">
        <v>278</v>
      </c>
      <c r="F49" s="44" t="s">
        <v>294</v>
      </c>
      <c r="G49" s="5">
        <v>1.0</v>
      </c>
      <c r="H49" s="5" t="s">
        <v>56</v>
      </c>
      <c r="I49" s="5" t="s">
        <v>281</v>
      </c>
      <c r="J49" s="3"/>
      <c r="K49" s="3"/>
      <c r="L49" s="3"/>
      <c r="M49" s="3"/>
      <c r="N49" s="3"/>
    </row>
    <row r="50" ht="13.5" customHeight="1">
      <c r="A50" s="3"/>
      <c r="B50" s="42">
        <v>46209.0</v>
      </c>
      <c r="C50" s="5" t="s">
        <v>76</v>
      </c>
      <c r="D50" s="5" t="s">
        <v>77</v>
      </c>
      <c r="E50" s="5" t="s">
        <v>278</v>
      </c>
      <c r="F50" s="44" t="s">
        <v>294</v>
      </c>
      <c r="G50" s="5">
        <v>1.0</v>
      </c>
      <c r="H50" s="5" t="s">
        <v>56</v>
      </c>
      <c r="I50" s="5" t="s">
        <v>281</v>
      </c>
      <c r="J50" s="3"/>
      <c r="K50" s="3"/>
      <c r="L50" s="3"/>
      <c r="M50" s="3"/>
      <c r="N50" s="3"/>
    </row>
    <row r="51" ht="13.5" customHeight="1">
      <c r="A51" s="3"/>
      <c r="B51" s="42">
        <v>46227.0</v>
      </c>
      <c r="C51" s="5" t="s">
        <v>76</v>
      </c>
      <c r="D51" s="5" t="s">
        <v>77</v>
      </c>
      <c r="E51" s="5" t="s">
        <v>278</v>
      </c>
      <c r="F51" s="44" t="s">
        <v>293</v>
      </c>
      <c r="G51" s="5">
        <v>1.0</v>
      </c>
      <c r="H51" s="5" t="s">
        <v>56</v>
      </c>
      <c r="I51" s="5" t="s">
        <v>281</v>
      </c>
      <c r="J51" s="3"/>
      <c r="K51" s="3"/>
      <c r="L51" s="3"/>
      <c r="M51" s="3"/>
      <c r="N51" s="3"/>
    </row>
    <row r="52" ht="13.5" customHeight="1">
      <c r="A52" s="3"/>
      <c r="B52" s="42">
        <v>46227.0</v>
      </c>
      <c r="C52" s="5" t="s">
        <v>76</v>
      </c>
      <c r="D52" s="5" t="s">
        <v>77</v>
      </c>
      <c r="E52" s="5" t="s">
        <v>278</v>
      </c>
      <c r="F52" s="44" t="s">
        <v>293</v>
      </c>
      <c r="G52" s="5">
        <v>1.0</v>
      </c>
      <c r="H52" s="5" t="s">
        <v>56</v>
      </c>
      <c r="I52" s="5" t="s">
        <v>281</v>
      </c>
      <c r="J52" s="3"/>
      <c r="K52" s="3"/>
      <c r="L52" s="3"/>
      <c r="M52" s="3"/>
      <c r="N52" s="3"/>
    </row>
    <row r="53" ht="13.5" customHeight="1">
      <c r="A53" s="3"/>
      <c r="B53" s="42">
        <v>46227.0</v>
      </c>
      <c r="C53" s="5" t="s">
        <v>76</v>
      </c>
      <c r="D53" s="5" t="s">
        <v>77</v>
      </c>
      <c r="E53" s="5" t="s">
        <v>278</v>
      </c>
      <c r="F53" s="44" t="s">
        <v>293</v>
      </c>
      <c r="G53" s="5">
        <v>1.0</v>
      </c>
      <c r="H53" s="5" t="s">
        <v>56</v>
      </c>
      <c r="I53" s="5" t="s">
        <v>281</v>
      </c>
      <c r="J53" s="3"/>
      <c r="K53" s="3"/>
      <c r="L53" s="3"/>
      <c r="M53" s="3"/>
      <c r="N53" s="3"/>
    </row>
    <row r="54" ht="13.5" customHeight="1">
      <c r="A54" s="3"/>
      <c r="B54" s="42">
        <v>46231.0</v>
      </c>
      <c r="C54" s="5" t="s">
        <v>76</v>
      </c>
      <c r="D54" s="5" t="s">
        <v>77</v>
      </c>
      <c r="E54" s="5" t="s">
        <v>278</v>
      </c>
      <c r="F54" s="44" t="s">
        <v>297</v>
      </c>
      <c r="G54" s="5">
        <v>1.0</v>
      </c>
      <c r="H54" s="5" t="s">
        <v>56</v>
      </c>
      <c r="I54" s="5" t="s">
        <v>281</v>
      </c>
      <c r="J54" s="3"/>
      <c r="K54" s="3"/>
      <c r="L54" s="3"/>
      <c r="M54" s="3"/>
      <c r="N54" s="3"/>
    </row>
    <row r="55" ht="13.5" customHeight="1">
      <c r="A55" s="3"/>
      <c r="B55" s="42">
        <v>46231.0</v>
      </c>
      <c r="C55" s="5" t="s">
        <v>76</v>
      </c>
      <c r="D55" s="5" t="s">
        <v>77</v>
      </c>
      <c r="E55" s="5" t="s">
        <v>278</v>
      </c>
      <c r="F55" s="44" t="s">
        <v>297</v>
      </c>
      <c r="G55" s="5">
        <v>1.0</v>
      </c>
      <c r="H55" s="5" t="s">
        <v>56</v>
      </c>
      <c r="I55" s="5" t="s">
        <v>281</v>
      </c>
      <c r="J55" s="3"/>
      <c r="K55" s="3"/>
      <c r="L55" s="3"/>
      <c r="M55" s="3"/>
      <c r="N55" s="3"/>
    </row>
    <row r="56" ht="13.5" customHeight="1">
      <c r="A56" s="3"/>
      <c r="B56" s="42">
        <v>46231.0</v>
      </c>
      <c r="C56" s="5" t="s">
        <v>76</v>
      </c>
      <c r="D56" s="5" t="s">
        <v>77</v>
      </c>
      <c r="E56" s="5" t="s">
        <v>278</v>
      </c>
      <c r="F56" s="44" t="s">
        <v>298</v>
      </c>
      <c r="G56" s="5">
        <v>1.0</v>
      </c>
      <c r="H56" s="5" t="s">
        <v>56</v>
      </c>
      <c r="I56" s="5" t="s">
        <v>281</v>
      </c>
      <c r="J56" s="3"/>
      <c r="K56" s="3"/>
      <c r="L56" s="3"/>
      <c r="M56" s="3"/>
      <c r="N56" s="3"/>
    </row>
    <row r="57" ht="13.5" customHeight="1">
      <c r="A57" s="3"/>
      <c r="B57" s="42">
        <v>46231.0</v>
      </c>
      <c r="C57" s="5" t="s">
        <v>76</v>
      </c>
      <c r="D57" s="5" t="s">
        <v>77</v>
      </c>
      <c r="E57" s="5" t="s">
        <v>278</v>
      </c>
      <c r="F57" s="44" t="s">
        <v>298</v>
      </c>
      <c r="G57" s="5">
        <v>1.0</v>
      </c>
      <c r="H57" s="5" t="s">
        <v>56</v>
      </c>
      <c r="I57" s="5" t="s">
        <v>281</v>
      </c>
      <c r="J57" s="3"/>
      <c r="K57" s="3"/>
      <c r="L57" s="3"/>
      <c r="M57" s="3"/>
      <c r="N57" s="3"/>
    </row>
    <row r="58" ht="13.5" customHeight="1">
      <c r="A58" s="3"/>
      <c r="B58" s="42">
        <v>46246.0</v>
      </c>
      <c r="C58" s="5" t="s">
        <v>76</v>
      </c>
      <c r="D58" s="5" t="s">
        <v>77</v>
      </c>
      <c r="E58" s="5" t="s">
        <v>278</v>
      </c>
      <c r="F58" s="44" t="s">
        <v>299</v>
      </c>
      <c r="G58" s="5">
        <v>1.0</v>
      </c>
      <c r="H58" s="5" t="s">
        <v>56</v>
      </c>
      <c r="I58" s="5" t="s">
        <v>281</v>
      </c>
      <c r="J58" s="3"/>
      <c r="K58" s="3"/>
      <c r="L58" s="3"/>
      <c r="M58" s="3"/>
      <c r="N58" s="3"/>
    </row>
    <row r="59" ht="13.5" customHeight="1">
      <c r="A59" s="3"/>
      <c r="B59" s="45">
        <v>45947.0</v>
      </c>
      <c r="C59" s="5" t="s">
        <v>300</v>
      </c>
      <c r="D59" s="5" t="s">
        <v>77</v>
      </c>
      <c r="E59" s="5" t="s">
        <v>290</v>
      </c>
      <c r="F59" s="46" t="s">
        <v>301</v>
      </c>
      <c r="G59" s="47">
        <v>1.0</v>
      </c>
      <c r="H59" s="5" t="s">
        <v>56</v>
      </c>
      <c r="I59" s="5" t="s">
        <v>302</v>
      </c>
      <c r="J59" s="3"/>
      <c r="K59" s="3"/>
      <c r="L59" s="3"/>
      <c r="M59" s="3"/>
      <c r="N59" s="3"/>
    </row>
    <row r="60" ht="13.5" customHeight="1">
      <c r="A60" s="3"/>
      <c r="B60" s="48">
        <v>46148.0</v>
      </c>
      <c r="C60" s="5" t="s">
        <v>300</v>
      </c>
      <c r="D60" s="5" t="s">
        <v>77</v>
      </c>
      <c r="E60" s="5" t="s">
        <v>290</v>
      </c>
      <c r="F60" s="46" t="s">
        <v>303</v>
      </c>
      <c r="G60" s="47">
        <v>2.0</v>
      </c>
      <c r="H60" s="5" t="s">
        <v>56</v>
      </c>
      <c r="I60" s="5" t="s">
        <v>302</v>
      </c>
      <c r="J60" s="5" t="s">
        <v>302</v>
      </c>
      <c r="K60" s="3"/>
      <c r="L60" s="3"/>
      <c r="M60" s="3"/>
      <c r="N60" s="3"/>
    </row>
    <row r="61" ht="13.5" customHeight="1">
      <c r="A61" s="3"/>
      <c r="B61" s="48">
        <v>46195.0</v>
      </c>
      <c r="C61" s="5" t="s">
        <v>300</v>
      </c>
      <c r="D61" s="5" t="s">
        <v>77</v>
      </c>
      <c r="E61" s="5" t="s">
        <v>290</v>
      </c>
      <c r="F61" s="46" t="s">
        <v>304</v>
      </c>
      <c r="G61" s="47">
        <v>1.0</v>
      </c>
      <c r="H61" s="5" t="s">
        <v>56</v>
      </c>
      <c r="I61" s="5" t="s">
        <v>302</v>
      </c>
      <c r="J61" s="5" t="s">
        <v>302</v>
      </c>
      <c r="K61" s="3"/>
      <c r="L61" s="3"/>
      <c r="M61" s="3"/>
      <c r="N61" s="3"/>
    </row>
    <row r="62" ht="13.5" customHeight="1">
      <c r="A62" s="3"/>
      <c r="B62" s="48">
        <v>46234.0</v>
      </c>
      <c r="C62" s="5" t="s">
        <v>300</v>
      </c>
      <c r="D62" s="5" t="s">
        <v>77</v>
      </c>
      <c r="E62" s="5" t="s">
        <v>290</v>
      </c>
      <c r="F62" s="46" t="s">
        <v>305</v>
      </c>
      <c r="G62" s="47">
        <v>1.0</v>
      </c>
      <c r="H62" s="5" t="s">
        <v>56</v>
      </c>
      <c r="I62" s="5" t="s">
        <v>302</v>
      </c>
      <c r="J62" s="5" t="s">
        <v>302</v>
      </c>
      <c r="K62" s="3"/>
      <c r="L62" s="3"/>
      <c r="M62" s="3"/>
      <c r="N62" s="3"/>
    </row>
    <row r="63" ht="13.5" customHeight="1">
      <c r="A63" s="3"/>
      <c r="B63" s="45">
        <v>45931.0</v>
      </c>
      <c r="C63" s="5" t="s">
        <v>300</v>
      </c>
      <c r="D63" s="5" t="s">
        <v>77</v>
      </c>
      <c r="E63" s="5" t="s">
        <v>278</v>
      </c>
      <c r="F63" s="46" t="s">
        <v>306</v>
      </c>
      <c r="G63" s="47">
        <v>1.0</v>
      </c>
      <c r="H63" s="5" t="s">
        <v>56</v>
      </c>
      <c r="I63" s="5" t="s">
        <v>302</v>
      </c>
      <c r="J63" s="3"/>
      <c r="K63" s="3"/>
      <c r="L63" s="3"/>
      <c r="M63" s="3"/>
      <c r="N63" s="3"/>
    </row>
    <row r="64" ht="13.5" customHeight="1">
      <c r="A64" s="3"/>
      <c r="B64" s="45">
        <v>45978.0</v>
      </c>
      <c r="C64" s="5" t="s">
        <v>300</v>
      </c>
      <c r="D64" s="5" t="s">
        <v>77</v>
      </c>
      <c r="E64" s="5" t="s">
        <v>278</v>
      </c>
      <c r="F64" s="46" t="s">
        <v>306</v>
      </c>
      <c r="G64" s="47">
        <v>1.0</v>
      </c>
      <c r="H64" s="5" t="s">
        <v>56</v>
      </c>
      <c r="I64" s="5" t="s">
        <v>302</v>
      </c>
      <c r="J64" s="3"/>
      <c r="K64" s="3"/>
      <c r="L64" s="3"/>
      <c r="M64" s="3"/>
      <c r="N64" s="3"/>
    </row>
    <row r="65" ht="13.5" customHeight="1">
      <c r="A65" s="3"/>
      <c r="B65" s="45">
        <v>45978.0</v>
      </c>
      <c r="C65" s="5" t="s">
        <v>300</v>
      </c>
      <c r="D65" s="5" t="s">
        <v>77</v>
      </c>
      <c r="E65" s="5" t="s">
        <v>278</v>
      </c>
      <c r="F65" s="46" t="s">
        <v>306</v>
      </c>
      <c r="G65" s="47">
        <v>1.0</v>
      </c>
      <c r="H65" s="5" t="s">
        <v>56</v>
      </c>
      <c r="I65" s="5" t="s">
        <v>302</v>
      </c>
      <c r="J65" s="3"/>
      <c r="K65" s="3"/>
      <c r="L65" s="3"/>
      <c r="M65" s="3"/>
      <c r="N65" s="3"/>
    </row>
    <row r="66" ht="13.5" customHeight="1">
      <c r="A66" s="3"/>
      <c r="B66" s="45">
        <v>46009.0</v>
      </c>
      <c r="C66" s="5" t="s">
        <v>300</v>
      </c>
      <c r="D66" s="5" t="s">
        <v>77</v>
      </c>
      <c r="E66" s="5" t="s">
        <v>278</v>
      </c>
      <c r="F66" s="46" t="s">
        <v>306</v>
      </c>
      <c r="G66" s="47">
        <v>2.0</v>
      </c>
      <c r="H66" s="5" t="s">
        <v>56</v>
      </c>
      <c r="I66" s="5" t="s">
        <v>302</v>
      </c>
      <c r="J66" s="3"/>
      <c r="K66" s="3"/>
      <c r="L66" s="3"/>
      <c r="M66" s="3"/>
      <c r="N66" s="3"/>
    </row>
    <row r="67" ht="13.5" customHeight="1">
      <c r="A67" s="3"/>
      <c r="B67" s="45">
        <v>46020.0</v>
      </c>
      <c r="C67" s="5" t="s">
        <v>300</v>
      </c>
      <c r="D67" s="5" t="s">
        <v>77</v>
      </c>
      <c r="E67" s="5" t="s">
        <v>278</v>
      </c>
      <c r="F67" s="46" t="s">
        <v>306</v>
      </c>
      <c r="G67" s="47">
        <v>1.0</v>
      </c>
      <c r="H67" s="5" t="s">
        <v>56</v>
      </c>
      <c r="I67" s="5" t="s">
        <v>302</v>
      </c>
      <c r="J67" s="3"/>
      <c r="K67" s="3"/>
      <c r="L67" s="3"/>
      <c r="M67" s="3"/>
      <c r="N67" s="3"/>
    </row>
    <row r="68" ht="13.5" customHeight="1">
      <c r="A68" s="3"/>
      <c r="B68" s="45">
        <v>46041.0</v>
      </c>
      <c r="C68" s="5" t="s">
        <v>300</v>
      </c>
      <c r="D68" s="5" t="s">
        <v>77</v>
      </c>
      <c r="E68" s="5" t="s">
        <v>278</v>
      </c>
      <c r="F68" s="46" t="s">
        <v>306</v>
      </c>
      <c r="G68" s="47">
        <v>2.0</v>
      </c>
      <c r="H68" s="5" t="s">
        <v>56</v>
      </c>
      <c r="I68" s="5" t="s">
        <v>302</v>
      </c>
      <c r="J68" s="3"/>
      <c r="K68" s="3"/>
      <c r="L68" s="3"/>
      <c r="M68" s="3"/>
      <c r="N68" s="3"/>
    </row>
    <row r="69" ht="13.5" customHeight="1">
      <c r="A69" s="3"/>
      <c r="B69" s="45">
        <v>46041.0</v>
      </c>
      <c r="C69" s="5" t="s">
        <v>300</v>
      </c>
      <c r="D69" s="5" t="s">
        <v>77</v>
      </c>
      <c r="E69" s="5" t="s">
        <v>278</v>
      </c>
      <c r="F69" s="46" t="s">
        <v>306</v>
      </c>
      <c r="G69" s="47">
        <v>1.0</v>
      </c>
      <c r="H69" s="5" t="s">
        <v>56</v>
      </c>
      <c r="I69" s="5" t="s">
        <v>302</v>
      </c>
      <c r="J69" s="3"/>
      <c r="K69" s="3"/>
      <c r="L69" s="3"/>
      <c r="M69" s="3"/>
      <c r="N69" s="3"/>
    </row>
    <row r="70" ht="13.5" customHeight="1">
      <c r="A70" s="3"/>
      <c r="B70" s="48">
        <v>46041.0</v>
      </c>
      <c r="C70" s="5" t="s">
        <v>300</v>
      </c>
      <c r="D70" s="5" t="s">
        <v>77</v>
      </c>
      <c r="E70" s="5" t="s">
        <v>278</v>
      </c>
      <c r="F70" s="46" t="s">
        <v>306</v>
      </c>
      <c r="G70" s="47">
        <v>1.0</v>
      </c>
      <c r="H70" s="5" t="s">
        <v>56</v>
      </c>
      <c r="I70" s="5" t="s">
        <v>302</v>
      </c>
      <c r="J70" s="3"/>
      <c r="K70" s="3"/>
      <c r="L70" s="3"/>
      <c r="M70" s="3"/>
      <c r="N70" s="3"/>
    </row>
    <row r="71" ht="13.5" customHeight="1">
      <c r="A71" s="3"/>
      <c r="B71" s="48">
        <v>46055.0</v>
      </c>
      <c r="C71" s="5" t="s">
        <v>300</v>
      </c>
      <c r="D71" s="5" t="s">
        <v>77</v>
      </c>
      <c r="E71" s="5" t="s">
        <v>278</v>
      </c>
      <c r="F71" s="46" t="s">
        <v>306</v>
      </c>
      <c r="G71" s="47">
        <v>1.0</v>
      </c>
      <c r="H71" s="5" t="s">
        <v>56</v>
      </c>
      <c r="I71" s="5" t="s">
        <v>302</v>
      </c>
      <c r="J71" s="3"/>
      <c r="K71" s="3"/>
      <c r="L71" s="3"/>
      <c r="M71" s="3"/>
      <c r="N71" s="3"/>
    </row>
    <row r="72" ht="13.5" customHeight="1">
      <c r="A72" s="3"/>
      <c r="B72" s="48">
        <v>46057.0</v>
      </c>
      <c r="C72" s="5" t="s">
        <v>300</v>
      </c>
      <c r="D72" s="5" t="s">
        <v>77</v>
      </c>
      <c r="E72" s="5" t="s">
        <v>278</v>
      </c>
      <c r="F72" s="46" t="s">
        <v>306</v>
      </c>
      <c r="G72" s="47">
        <v>2.0</v>
      </c>
      <c r="H72" s="5" t="s">
        <v>56</v>
      </c>
      <c r="I72" s="5" t="s">
        <v>302</v>
      </c>
      <c r="J72" s="3"/>
      <c r="K72" s="3"/>
      <c r="L72" s="3"/>
      <c r="M72" s="3"/>
      <c r="N72" s="3"/>
    </row>
    <row r="73" ht="13.5" customHeight="1">
      <c r="A73" s="3"/>
      <c r="B73" s="48">
        <v>46062.0</v>
      </c>
      <c r="C73" s="5" t="s">
        <v>300</v>
      </c>
      <c r="D73" s="5" t="s">
        <v>77</v>
      </c>
      <c r="E73" s="5" t="s">
        <v>278</v>
      </c>
      <c r="F73" s="46" t="s">
        <v>306</v>
      </c>
      <c r="G73" s="47">
        <v>2.0</v>
      </c>
      <c r="H73" s="5" t="s">
        <v>56</v>
      </c>
      <c r="I73" s="5" t="s">
        <v>302</v>
      </c>
      <c r="J73" s="3"/>
      <c r="K73" s="3"/>
      <c r="L73" s="3"/>
      <c r="M73" s="3"/>
      <c r="N73" s="3"/>
    </row>
    <row r="74" ht="13.5" customHeight="1">
      <c r="A74" s="3"/>
      <c r="B74" s="48">
        <v>46078.0</v>
      </c>
      <c r="C74" s="5" t="s">
        <v>300</v>
      </c>
      <c r="D74" s="5" t="s">
        <v>77</v>
      </c>
      <c r="E74" s="5" t="s">
        <v>278</v>
      </c>
      <c r="F74" s="46" t="s">
        <v>306</v>
      </c>
      <c r="G74" s="47">
        <v>1.0</v>
      </c>
      <c r="H74" s="5" t="s">
        <v>56</v>
      </c>
      <c r="I74" s="5" t="s">
        <v>302</v>
      </c>
      <c r="J74" s="5" t="s">
        <v>302</v>
      </c>
      <c r="K74" s="3"/>
      <c r="L74" s="3"/>
      <c r="M74" s="3"/>
      <c r="N74" s="3"/>
    </row>
    <row r="75" ht="13.5" customHeight="1">
      <c r="A75" s="3"/>
      <c r="B75" s="48">
        <v>46078.0</v>
      </c>
      <c r="C75" s="5" t="s">
        <v>300</v>
      </c>
      <c r="D75" s="5" t="s">
        <v>77</v>
      </c>
      <c r="E75" s="5" t="s">
        <v>278</v>
      </c>
      <c r="F75" s="46" t="s">
        <v>306</v>
      </c>
      <c r="G75" s="47">
        <v>1.0</v>
      </c>
      <c r="H75" s="5" t="s">
        <v>56</v>
      </c>
      <c r="I75" s="5" t="s">
        <v>302</v>
      </c>
      <c r="J75" s="5" t="s">
        <v>302</v>
      </c>
      <c r="K75" s="3"/>
      <c r="L75" s="3"/>
      <c r="M75" s="3"/>
      <c r="N75" s="3"/>
    </row>
    <row r="76" ht="13.5" customHeight="1">
      <c r="A76" s="3"/>
      <c r="B76" s="48">
        <v>46083.0</v>
      </c>
      <c r="C76" s="5" t="s">
        <v>300</v>
      </c>
      <c r="D76" s="5" t="s">
        <v>77</v>
      </c>
      <c r="E76" s="5" t="s">
        <v>278</v>
      </c>
      <c r="F76" s="46" t="s">
        <v>306</v>
      </c>
      <c r="G76" s="47">
        <v>2.0</v>
      </c>
      <c r="H76" s="5" t="s">
        <v>56</v>
      </c>
      <c r="I76" s="5" t="s">
        <v>302</v>
      </c>
      <c r="J76" s="5" t="s">
        <v>302</v>
      </c>
      <c r="K76" s="3"/>
      <c r="L76" s="3"/>
      <c r="M76" s="3"/>
      <c r="N76" s="3"/>
    </row>
    <row r="77" ht="13.5" customHeight="1">
      <c r="A77" s="3"/>
      <c r="B77" s="48">
        <v>46093.0</v>
      </c>
      <c r="C77" s="5" t="s">
        <v>300</v>
      </c>
      <c r="D77" s="5" t="s">
        <v>77</v>
      </c>
      <c r="E77" s="5" t="s">
        <v>278</v>
      </c>
      <c r="F77" s="46" t="s">
        <v>306</v>
      </c>
      <c r="G77" s="47">
        <v>2.0</v>
      </c>
      <c r="H77" s="5" t="s">
        <v>56</v>
      </c>
      <c r="I77" s="5" t="s">
        <v>302</v>
      </c>
      <c r="J77" s="5" t="s">
        <v>302</v>
      </c>
      <c r="K77" s="3"/>
      <c r="L77" s="3"/>
      <c r="M77" s="3"/>
      <c r="N77" s="3"/>
    </row>
    <row r="78" ht="13.5" customHeight="1">
      <c r="A78" s="3"/>
      <c r="B78" s="48">
        <v>46106.0</v>
      </c>
      <c r="C78" s="5" t="s">
        <v>300</v>
      </c>
      <c r="D78" s="5" t="s">
        <v>77</v>
      </c>
      <c r="E78" s="5" t="s">
        <v>278</v>
      </c>
      <c r="F78" s="46" t="s">
        <v>306</v>
      </c>
      <c r="G78" s="47">
        <v>6.0</v>
      </c>
      <c r="H78" s="5" t="s">
        <v>56</v>
      </c>
      <c r="I78" s="5" t="s">
        <v>302</v>
      </c>
      <c r="J78" s="5" t="s">
        <v>302</v>
      </c>
      <c r="K78" s="3"/>
      <c r="L78" s="3"/>
      <c r="M78" s="3"/>
      <c r="N78" s="3"/>
    </row>
    <row r="79" ht="13.5" customHeight="1">
      <c r="A79" s="3"/>
      <c r="B79" s="48">
        <v>46129.0</v>
      </c>
      <c r="C79" s="5" t="s">
        <v>300</v>
      </c>
      <c r="D79" s="5" t="s">
        <v>77</v>
      </c>
      <c r="E79" s="5" t="s">
        <v>278</v>
      </c>
      <c r="F79" s="46" t="s">
        <v>306</v>
      </c>
      <c r="G79" s="47">
        <v>4.0</v>
      </c>
      <c r="H79" s="5" t="s">
        <v>56</v>
      </c>
      <c r="I79" s="5" t="s">
        <v>302</v>
      </c>
      <c r="J79" s="5" t="s">
        <v>302</v>
      </c>
      <c r="K79" s="3"/>
      <c r="L79" s="3"/>
      <c r="M79" s="3"/>
      <c r="N79" s="3"/>
    </row>
    <row r="80" ht="13.5" customHeight="1">
      <c r="A80" s="3"/>
      <c r="B80" s="48">
        <v>46136.0</v>
      </c>
      <c r="C80" s="5" t="s">
        <v>300</v>
      </c>
      <c r="D80" s="5" t="s">
        <v>77</v>
      </c>
      <c r="E80" s="5" t="s">
        <v>278</v>
      </c>
      <c r="F80" s="46" t="s">
        <v>314</v>
      </c>
      <c r="G80" s="47">
        <v>1.0</v>
      </c>
      <c r="H80" s="5" t="s">
        <v>56</v>
      </c>
      <c r="I80" s="5" t="s">
        <v>302</v>
      </c>
      <c r="J80" s="5" t="s">
        <v>302</v>
      </c>
      <c r="K80" s="3"/>
      <c r="L80" s="3"/>
      <c r="M80" s="3"/>
      <c r="N80" s="3"/>
    </row>
    <row r="81" ht="13.5" customHeight="1">
      <c r="A81" s="3"/>
      <c r="B81" s="48">
        <v>46148.0</v>
      </c>
      <c r="C81" s="5" t="s">
        <v>300</v>
      </c>
      <c r="D81" s="5" t="s">
        <v>77</v>
      </c>
      <c r="E81" s="5" t="s">
        <v>278</v>
      </c>
      <c r="F81" s="46" t="s">
        <v>306</v>
      </c>
      <c r="G81" s="47">
        <v>1.0</v>
      </c>
      <c r="H81" s="5" t="s">
        <v>56</v>
      </c>
      <c r="I81" s="5" t="s">
        <v>302</v>
      </c>
      <c r="J81" s="5" t="s">
        <v>302</v>
      </c>
      <c r="K81" s="3"/>
      <c r="L81" s="3"/>
      <c r="M81" s="3"/>
      <c r="N81" s="3"/>
    </row>
    <row r="82" ht="13.5" customHeight="1">
      <c r="A82" s="3"/>
      <c r="B82" s="41">
        <v>46204.0</v>
      </c>
      <c r="C82" s="5" t="s">
        <v>99</v>
      </c>
      <c r="D82" s="5" t="s">
        <v>71</v>
      </c>
      <c r="E82" s="5" t="s">
        <v>278</v>
      </c>
      <c r="F82" s="5" t="s">
        <v>316</v>
      </c>
      <c r="G82" s="3"/>
      <c r="H82" s="3"/>
      <c r="I82" s="3"/>
      <c r="J82" s="3"/>
      <c r="K82" s="3"/>
      <c r="L82" s="3"/>
      <c r="M82" s="5" t="s">
        <v>21</v>
      </c>
      <c r="N82" s="3"/>
    </row>
    <row r="83" ht="13.5" customHeight="1">
      <c r="A83" s="3"/>
      <c r="B83" s="41">
        <v>46204.0</v>
      </c>
      <c r="C83" s="5" t="s">
        <v>99</v>
      </c>
      <c r="D83" s="5" t="s">
        <v>71</v>
      </c>
      <c r="E83" s="5" t="s">
        <v>278</v>
      </c>
      <c r="F83" s="5" t="s">
        <v>316</v>
      </c>
      <c r="G83" s="3"/>
      <c r="H83" s="3"/>
      <c r="I83" s="3"/>
      <c r="J83" s="3"/>
      <c r="K83" s="3"/>
      <c r="L83" s="3"/>
      <c r="M83" s="5" t="s">
        <v>21</v>
      </c>
      <c r="N83" s="3"/>
    </row>
    <row r="84" ht="13.5" customHeight="1">
      <c r="A84" s="3"/>
      <c r="B84" s="15">
        <v>46232.0</v>
      </c>
      <c r="C84" s="5" t="s">
        <v>99</v>
      </c>
      <c r="D84" s="5" t="s">
        <v>71</v>
      </c>
      <c r="E84" s="5" t="s">
        <v>278</v>
      </c>
      <c r="F84" s="5" t="s">
        <v>316</v>
      </c>
      <c r="G84" s="3"/>
      <c r="H84" s="3"/>
      <c r="I84" s="3"/>
      <c r="J84" s="3"/>
      <c r="K84" s="3"/>
      <c r="L84" s="3"/>
      <c r="M84" s="5" t="s">
        <v>21</v>
      </c>
      <c r="N84" s="3"/>
    </row>
    <row r="85" ht="13.5" customHeight="1">
      <c r="A85" s="3"/>
      <c r="B85" s="15">
        <v>46231.0</v>
      </c>
      <c r="C85" s="5" t="s">
        <v>317</v>
      </c>
      <c r="D85" s="5" t="s">
        <v>160</v>
      </c>
      <c r="E85" s="5" t="s">
        <v>278</v>
      </c>
      <c r="F85" s="3"/>
      <c r="G85" s="3"/>
      <c r="H85" s="3"/>
      <c r="I85" s="3"/>
      <c r="J85" s="3"/>
      <c r="K85" s="3"/>
      <c r="L85" s="3"/>
      <c r="M85" s="5" t="s">
        <v>21</v>
      </c>
      <c r="N85" s="3"/>
    </row>
    <row r="86" ht="13.5" customHeight="1">
      <c r="A86" s="3"/>
      <c r="B86" s="15">
        <v>46210.0</v>
      </c>
      <c r="C86" s="5" t="s">
        <v>116</v>
      </c>
      <c r="D86" s="5" t="s">
        <v>117</v>
      </c>
      <c r="E86" s="5" t="s">
        <v>288</v>
      </c>
      <c r="F86" s="5" t="s">
        <v>318</v>
      </c>
      <c r="G86" s="5">
        <v>2.0</v>
      </c>
      <c r="H86" s="5" t="s">
        <v>56</v>
      </c>
      <c r="I86" s="3"/>
      <c r="J86" s="3"/>
      <c r="K86" s="3"/>
      <c r="L86" s="3"/>
      <c r="M86" s="5" t="s">
        <v>21</v>
      </c>
      <c r="N86" s="3"/>
    </row>
    <row r="87" ht="13.5" customHeight="1">
      <c r="A87" s="3"/>
      <c r="B87" s="15">
        <v>46211.0</v>
      </c>
      <c r="C87" s="5" t="s">
        <v>116</v>
      </c>
      <c r="D87" s="5" t="s">
        <v>117</v>
      </c>
      <c r="E87" s="5" t="s">
        <v>288</v>
      </c>
      <c r="F87" s="5" t="s">
        <v>320</v>
      </c>
      <c r="G87" s="5">
        <v>1.0</v>
      </c>
      <c r="H87" s="5" t="s">
        <v>56</v>
      </c>
      <c r="I87" s="3"/>
      <c r="J87" s="3"/>
      <c r="K87" s="3"/>
      <c r="L87" s="3"/>
      <c r="M87" s="3"/>
      <c r="N87" s="3"/>
    </row>
    <row r="88" ht="13.5" customHeight="1">
      <c r="A88" s="3"/>
      <c r="B88" s="15">
        <v>46219.0</v>
      </c>
      <c r="C88" s="5" t="s">
        <v>116</v>
      </c>
      <c r="D88" s="5" t="s">
        <v>117</v>
      </c>
      <c r="E88" s="5" t="s">
        <v>288</v>
      </c>
      <c r="F88" s="5" t="s">
        <v>322</v>
      </c>
      <c r="G88" s="5">
        <v>3.0</v>
      </c>
      <c r="H88" s="5" t="s">
        <v>56</v>
      </c>
      <c r="I88" s="3"/>
      <c r="J88" s="3"/>
      <c r="K88" s="3"/>
      <c r="L88" s="3"/>
      <c r="M88" s="3"/>
      <c r="N88" s="3"/>
    </row>
    <row r="89" ht="13.5" customHeight="1">
      <c r="A89" s="3"/>
      <c r="B89" s="15">
        <v>46223.0</v>
      </c>
      <c r="C89" s="5" t="s">
        <v>116</v>
      </c>
      <c r="D89" s="5" t="s">
        <v>117</v>
      </c>
      <c r="E89" s="5" t="s">
        <v>288</v>
      </c>
      <c r="F89" s="5" t="s">
        <v>323</v>
      </c>
      <c r="G89" s="5">
        <v>1.0</v>
      </c>
      <c r="H89" s="5" t="s">
        <v>56</v>
      </c>
      <c r="I89" s="3"/>
      <c r="J89" s="3"/>
      <c r="K89" s="3"/>
      <c r="L89" s="3"/>
      <c r="M89" s="3"/>
      <c r="N89" s="3"/>
    </row>
    <row r="90" ht="13.5" customHeight="1">
      <c r="A90" s="3"/>
      <c r="B90" s="15">
        <v>46216.0</v>
      </c>
      <c r="C90" s="5" t="s">
        <v>116</v>
      </c>
      <c r="D90" s="5" t="s">
        <v>117</v>
      </c>
      <c r="E90" s="5" t="s">
        <v>324</v>
      </c>
      <c r="F90" s="5" t="s">
        <v>325</v>
      </c>
      <c r="G90" s="3"/>
      <c r="H90" s="3"/>
      <c r="I90" s="3"/>
      <c r="J90" s="3"/>
      <c r="K90" s="3"/>
      <c r="L90" s="3"/>
      <c r="M90" s="3"/>
      <c r="N90" s="3"/>
    </row>
    <row r="91" ht="13.5" customHeight="1">
      <c r="A91" s="3"/>
      <c r="B91" s="15">
        <v>46224.0</v>
      </c>
      <c r="C91" s="5" t="s">
        <v>116</v>
      </c>
      <c r="D91" s="5" t="s">
        <v>117</v>
      </c>
      <c r="E91" s="5" t="s">
        <v>324</v>
      </c>
      <c r="F91" s="5" t="s">
        <v>326</v>
      </c>
      <c r="G91" s="3"/>
      <c r="H91" s="3"/>
      <c r="I91" s="3"/>
      <c r="J91" s="3"/>
      <c r="K91" s="3"/>
      <c r="L91" s="3"/>
      <c r="M91" s="3"/>
      <c r="N91" s="3"/>
    </row>
    <row r="92" ht="13.5" customHeight="1">
      <c r="A92" s="3"/>
      <c r="B92" s="15">
        <v>46212.0</v>
      </c>
      <c r="C92" s="5" t="s">
        <v>116</v>
      </c>
      <c r="D92" s="5" t="s">
        <v>117</v>
      </c>
      <c r="E92" s="5" t="s">
        <v>290</v>
      </c>
      <c r="F92" s="5" t="s">
        <v>327</v>
      </c>
      <c r="G92" s="5">
        <v>1.0</v>
      </c>
      <c r="H92" s="5" t="s">
        <v>56</v>
      </c>
      <c r="I92" s="3"/>
      <c r="J92" s="3"/>
      <c r="K92" s="3"/>
      <c r="L92" s="3"/>
      <c r="M92" s="3"/>
      <c r="N92" s="3"/>
    </row>
    <row r="93" ht="13.5" customHeight="1">
      <c r="A93" s="3"/>
      <c r="B93" s="15">
        <v>46223.0</v>
      </c>
      <c r="C93" s="5" t="s">
        <v>116</v>
      </c>
      <c r="D93" s="5" t="s">
        <v>117</v>
      </c>
      <c r="E93" s="5" t="s">
        <v>290</v>
      </c>
      <c r="F93" s="5" t="s">
        <v>329</v>
      </c>
      <c r="G93" s="5">
        <v>1.0</v>
      </c>
      <c r="H93" s="5" t="s">
        <v>56</v>
      </c>
      <c r="I93" s="3"/>
      <c r="J93" s="3"/>
      <c r="K93" s="3"/>
      <c r="L93" s="3"/>
      <c r="M93" s="3"/>
      <c r="N93" s="3"/>
    </row>
    <row r="94" ht="13.5" customHeight="1">
      <c r="A94" s="3"/>
      <c r="B94" s="15">
        <v>46208.0</v>
      </c>
      <c r="C94" s="5" t="s">
        <v>116</v>
      </c>
      <c r="D94" s="5" t="s">
        <v>117</v>
      </c>
      <c r="E94" s="5" t="s">
        <v>278</v>
      </c>
      <c r="F94" s="5" t="s">
        <v>330</v>
      </c>
      <c r="G94" s="5">
        <v>4.0</v>
      </c>
      <c r="H94" s="5" t="s">
        <v>56</v>
      </c>
      <c r="I94" s="3"/>
      <c r="J94" s="3"/>
      <c r="K94" s="3"/>
      <c r="L94" s="3"/>
      <c r="M94" s="5" t="s">
        <v>21</v>
      </c>
      <c r="N94" s="3"/>
    </row>
    <row r="95" ht="13.5" customHeight="1">
      <c r="A95" s="3"/>
      <c r="B95" s="15">
        <v>46209.0</v>
      </c>
      <c r="C95" s="5" t="s">
        <v>116</v>
      </c>
      <c r="D95" s="5" t="s">
        <v>117</v>
      </c>
      <c r="E95" s="5" t="s">
        <v>278</v>
      </c>
      <c r="F95" s="5" t="s">
        <v>332</v>
      </c>
      <c r="G95" s="5">
        <v>3.0</v>
      </c>
      <c r="H95" s="5" t="s">
        <v>56</v>
      </c>
      <c r="I95" s="3"/>
      <c r="J95" s="3"/>
      <c r="K95" s="3"/>
      <c r="L95" s="3"/>
      <c r="M95" s="5" t="s">
        <v>21</v>
      </c>
      <c r="N95" s="3"/>
    </row>
    <row r="96" ht="13.5" customHeight="1">
      <c r="A96" s="3"/>
      <c r="B96" s="15">
        <v>46213.0</v>
      </c>
      <c r="C96" s="5" t="s">
        <v>116</v>
      </c>
      <c r="D96" s="5" t="s">
        <v>117</v>
      </c>
      <c r="E96" s="5" t="s">
        <v>278</v>
      </c>
      <c r="F96" s="5" t="s">
        <v>333</v>
      </c>
      <c r="G96" s="5">
        <v>1.0</v>
      </c>
      <c r="H96" s="5" t="s">
        <v>56</v>
      </c>
      <c r="I96" s="3"/>
      <c r="J96" s="3"/>
      <c r="K96" s="3"/>
      <c r="L96" s="3"/>
      <c r="M96" s="3"/>
      <c r="N96" s="3"/>
    </row>
    <row r="97" ht="13.5" customHeight="1">
      <c r="A97" s="3"/>
      <c r="B97" s="15">
        <v>46217.0</v>
      </c>
      <c r="C97" s="5" t="s">
        <v>116</v>
      </c>
      <c r="D97" s="5" t="s">
        <v>117</v>
      </c>
      <c r="E97" s="5" t="s">
        <v>278</v>
      </c>
      <c r="F97" s="5" t="s">
        <v>335</v>
      </c>
      <c r="G97" s="5">
        <v>5.0</v>
      </c>
      <c r="H97" s="5" t="s">
        <v>56</v>
      </c>
      <c r="I97" s="3"/>
      <c r="J97" s="3"/>
      <c r="K97" s="3"/>
      <c r="L97" s="3"/>
      <c r="M97" s="3"/>
      <c r="N97" s="3"/>
    </row>
    <row r="98" ht="13.5" customHeight="1">
      <c r="A98" s="3"/>
      <c r="B98" s="15">
        <v>46218.0</v>
      </c>
      <c r="C98" s="5" t="s">
        <v>116</v>
      </c>
      <c r="D98" s="5" t="s">
        <v>117</v>
      </c>
      <c r="E98" s="5" t="s">
        <v>278</v>
      </c>
      <c r="F98" s="5" t="s">
        <v>337</v>
      </c>
      <c r="G98" s="5">
        <v>2.0</v>
      </c>
      <c r="H98" s="5" t="s">
        <v>56</v>
      </c>
      <c r="I98" s="3"/>
      <c r="J98" s="3"/>
      <c r="K98" s="3"/>
      <c r="L98" s="3"/>
      <c r="M98" s="3"/>
      <c r="N98" s="3"/>
    </row>
    <row r="99" ht="13.5" customHeight="1">
      <c r="A99" s="3"/>
      <c r="B99" s="15">
        <v>46227.0</v>
      </c>
      <c r="C99" s="5" t="s">
        <v>116</v>
      </c>
      <c r="D99" s="5" t="s">
        <v>117</v>
      </c>
      <c r="E99" s="5" t="s">
        <v>278</v>
      </c>
      <c r="F99" s="5" t="s">
        <v>338</v>
      </c>
      <c r="G99" s="5">
        <v>2.0</v>
      </c>
      <c r="H99" s="5" t="s">
        <v>56</v>
      </c>
      <c r="I99" s="3"/>
      <c r="J99" s="3"/>
      <c r="K99" s="3"/>
      <c r="L99" s="3"/>
      <c r="M99" s="3"/>
      <c r="N99" s="3"/>
    </row>
    <row r="100" ht="13.5" customHeight="1">
      <c r="A100" s="3"/>
      <c r="B100" s="15">
        <v>46213.0</v>
      </c>
      <c r="C100" s="5" t="s">
        <v>116</v>
      </c>
      <c r="D100" s="5" t="s">
        <v>117</v>
      </c>
      <c r="E100" s="5" t="s">
        <v>339</v>
      </c>
      <c r="F100" s="5" t="s">
        <v>340</v>
      </c>
      <c r="G100" s="3"/>
      <c r="H100" s="3"/>
      <c r="I100" s="3"/>
      <c r="J100" s="3"/>
      <c r="K100" s="3"/>
      <c r="L100" s="3"/>
      <c r="M100" s="3"/>
      <c r="N100" s="3"/>
    </row>
    <row r="101" ht="13.5" customHeight="1">
      <c r="A101" s="3"/>
      <c r="B101" s="15">
        <v>46223.0</v>
      </c>
      <c r="C101" s="5" t="s">
        <v>116</v>
      </c>
      <c r="D101" s="5" t="s">
        <v>117</v>
      </c>
      <c r="E101" s="5" t="s">
        <v>339</v>
      </c>
      <c r="F101" s="5" t="s">
        <v>340</v>
      </c>
      <c r="G101" s="3"/>
      <c r="H101" s="3"/>
      <c r="I101" s="3"/>
      <c r="J101" s="3"/>
      <c r="K101" s="3"/>
      <c r="L101" s="3"/>
      <c r="M101" s="3"/>
      <c r="N101" s="3"/>
    </row>
    <row r="102" ht="13.5" customHeight="1">
      <c r="A102" s="3"/>
      <c r="B102" s="41">
        <v>46205.0</v>
      </c>
      <c r="C102" s="5" t="s">
        <v>315</v>
      </c>
      <c r="D102" s="5" t="s">
        <v>71</v>
      </c>
      <c r="E102" s="5" t="s">
        <v>278</v>
      </c>
      <c r="F102" s="5" t="s">
        <v>342</v>
      </c>
      <c r="G102" s="5">
        <v>2.0</v>
      </c>
      <c r="H102" s="5" t="s">
        <v>56</v>
      </c>
      <c r="I102" s="3"/>
      <c r="J102" s="3"/>
      <c r="K102" s="3"/>
      <c r="L102" s="3"/>
      <c r="M102" s="5" t="s">
        <v>21</v>
      </c>
      <c r="N102" s="3"/>
    </row>
    <row r="103" ht="13.5" customHeight="1">
      <c r="A103" s="3"/>
      <c r="B103" s="41">
        <v>46209.0</v>
      </c>
      <c r="C103" s="5" t="s">
        <v>315</v>
      </c>
      <c r="D103" s="5" t="s">
        <v>71</v>
      </c>
      <c r="E103" s="5" t="s">
        <v>278</v>
      </c>
      <c r="F103" s="5" t="s">
        <v>342</v>
      </c>
      <c r="G103" s="5">
        <v>2.0</v>
      </c>
      <c r="H103" s="5" t="s">
        <v>56</v>
      </c>
      <c r="I103" s="3"/>
      <c r="J103" s="3"/>
      <c r="K103" s="3"/>
      <c r="L103" s="3"/>
      <c r="M103" s="5" t="s">
        <v>21</v>
      </c>
      <c r="N103" s="3"/>
    </row>
    <row r="104" ht="13.5" customHeight="1">
      <c r="A104" s="3"/>
      <c r="B104" s="41">
        <v>46210.0</v>
      </c>
      <c r="C104" s="5" t="s">
        <v>315</v>
      </c>
      <c r="D104" s="5" t="s">
        <v>71</v>
      </c>
      <c r="E104" s="5" t="s">
        <v>278</v>
      </c>
      <c r="F104" s="5" t="s">
        <v>342</v>
      </c>
      <c r="G104" s="5">
        <v>1.0</v>
      </c>
      <c r="H104" s="5" t="s">
        <v>56</v>
      </c>
      <c r="I104" s="3"/>
      <c r="J104" s="3"/>
      <c r="K104" s="3"/>
      <c r="L104" s="3"/>
      <c r="M104" s="5" t="s">
        <v>21</v>
      </c>
      <c r="N104" s="3"/>
    </row>
    <row r="105" ht="13.5" customHeight="1">
      <c r="A105" s="3"/>
      <c r="B105" s="41">
        <v>46210.0</v>
      </c>
      <c r="C105" s="5" t="s">
        <v>315</v>
      </c>
      <c r="D105" s="5" t="s">
        <v>71</v>
      </c>
      <c r="E105" s="5" t="s">
        <v>278</v>
      </c>
      <c r="F105" s="5" t="s">
        <v>342</v>
      </c>
      <c r="G105" s="5">
        <v>2.0</v>
      </c>
      <c r="H105" s="5" t="s">
        <v>56</v>
      </c>
      <c r="I105" s="3"/>
      <c r="J105" s="3"/>
      <c r="K105" s="3"/>
      <c r="L105" s="3"/>
      <c r="M105" s="5" t="s">
        <v>21</v>
      </c>
      <c r="N105" s="3"/>
    </row>
    <row r="106" ht="13.5" customHeight="1">
      <c r="A106" s="3"/>
      <c r="B106" s="15">
        <v>46213.0</v>
      </c>
      <c r="C106" s="5" t="s">
        <v>315</v>
      </c>
      <c r="D106" s="5" t="s">
        <v>71</v>
      </c>
      <c r="E106" s="5" t="s">
        <v>278</v>
      </c>
      <c r="F106" s="5" t="s">
        <v>342</v>
      </c>
      <c r="G106" s="5">
        <v>1.0</v>
      </c>
      <c r="H106" s="5" t="s">
        <v>56</v>
      </c>
      <c r="I106" s="3"/>
      <c r="J106" s="3"/>
      <c r="K106" s="3"/>
      <c r="L106" s="3"/>
      <c r="M106" s="5" t="s">
        <v>21</v>
      </c>
      <c r="N106" s="3"/>
    </row>
    <row r="107" ht="13.5" customHeight="1">
      <c r="A107" s="3"/>
      <c r="B107" s="15">
        <v>46217.0</v>
      </c>
      <c r="C107" s="5" t="s">
        <v>315</v>
      </c>
      <c r="D107" s="5" t="s">
        <v>71</v>
      </c>
      <c r="E107" s="5" t="s">
        <v>278</v>
      </c>
      <c r="F107" s="5" t="s">
        <v>342</v>
      </c>
      <c r="G107" s="5">
        <v>1.0</v>
      </c>
      <c r="H107" s="5" t="s">
        <v>56</v>
      </c>
      <c r="I107" s="3"/>
      <c r="J107" s="3"/>
      <c r="K107" s="3"/>
      <c r="L107" s="3"/>
      <c r="M107" s="5" t="s">
        <v>21</v>
      </c>
      <c r="N107" s="3"/>
    </row>
    <row r="108" ht="13.5" customHeight="1">
      <c r="A108" s="3"/>
      <c r="B108" s="15">
        <v>46218.0</v>
      </c>
      <c r="C108" s="5" t="s">
        <v>315</v>
      </c>
      <c r="D108" s="5" t="s">
        <v>71</v>
      </c>
      <c r="E108" s="5" t="s">
        <v>278</v>
      </c>
      <c r="F108" s="5" t="s">
        <v>342</v>
      </c>
      <c r="G108" s="5">
        <v>1.0</v>
      </c>
      <c r="H108" s="5" t="s">
        <v>56</v>
      </c>
      <c r="I108" s="3"/>
      <c r="J108" s="3"/>
      <c r="K108" s="3"/>
      <c r="L108" s="3"/>
      <c r="M108" s="5" t="s">
        <v>21</v>
      </c>
      <c r="N108" s="3"/>
    </row>
    <row r="109" ht="13.5" customHeight="1">
      <c r="A109" s="3"/>
      <c r="B109" s="15">
        <v>46219.0</v>
      </c>
      <c r="C109" s="5" t="s">
        <v>315</v>
      </c>
      <c r="D109" s="5" t="s">
        <v>71</v>
      </c>
      <c r="E109" s="5" t="s">
        <v>278</v>
      </c>
      <c r="F109" s="5" t="s">
        <v>342</v>
      </c>
      <c r="G109" s="5">
        <v>1.0</v>
      </c>
      <c r="H109" s="5" t="s">
        <v>56</v>
      </c>
      <c r="I109" s="3"/>
      <c r="J109" s="3"/>
      <c r="K109" s="3"/>
      <c r="L109" s="3"/>
      <c r="M109" s="5" t="s">
        <v>21</v>
      </c>
      <c r="N109" s="3"/>
    </row>
    <row r="110" ht="13.5" customHeight="1">
      <c r="A110" s="3"/>
      <c r="B110" s="15">
        <v>46223.0</v>
      </c>
      <c r="C110" s="5" t="s">
        <v>315</v>
      </c>
      <c r="D110" s="5" t="s">
        <v>71</v>
      </c>
      <c r="E110" s="5" t="s">
        <v>278</v>
      </c>
      <c r="F110" s="5" t="s">
        <v>342</v>
      </c>
      <c r="G110" s="5">
        <v>1.0</v>
      </c>
      <c r="H110" s="5" t="s">
        <v>56</v>
      </c>
      <c r="I110" s="3"/>
      <c r="J110" s="3"/>
      <c r="K110" s="3"/>
      <c r="L110" s="3"/>
      <c r="M110" s="5" t="s">
        <v>21</v>
      </c>
      <c r="N110" s="3"/>
    </row>
    <row r="111" ht="13.5" customHeight="1">
      <c r="A111" s="3"/>
      <c r="B111" s="15">
        <v>46224.0</v>
      </c>
      <c r="C111" s="5" t="s">
        <v>315</v>
      </c>
      <c r="D111" s="5" t="s">
        <v>71</v>
      </c>
      <c r="E111" s="5" t="s">
        <v>278</v>
      </c>
      <c r="F111" s="5" t="s">
        <v>342</v>
      </c>
      <c r="G111" s="5">
        <v>1.0</v>
      </c>
      <c r="H111" s="5" t="s">
        <v>56</v>
      </c>
      <c r="I111" s="3"/>
      <c r="J111" s="3"/>
      <c r="K111" s="3"/>
      <c r="L111" s="3"/>
      <c r="M111" s="5" t="s">
        <v>21</v>
      </c>
      <c r="N111" s="3"/>
    </row>
    <row r="112" ht="13.5" customHeight="1">
      <c r="A112" s="3"/>
      <c r="B112" s="15">
        <v>46226.0</v>
      </c>
      <c r="C112" s="5" t="s">
        <v>315</v>
      </c>
      <c r="D112" s="5" t="s">
        <v>71</v>
      </c>
      <c r="E112" s="5" t="s">
        <v>278</v>
      </c>
      <c r="F112" s="5" t="s">
        <v>342</v>
      </c>
      <c r="G112" s="5">
        <v>1.0</v>
      </c>
      <c r="H112" s="5" t="s">
        <v>56</v>
      </c>
      <c r="I112" s="3"/>
      <c r="J112" s="3"/>
      <c r="K112" s="3"/>
      <c r="L112" s="3"/>
      <c r="M112" s="5" t="s">
        <v>21</v>
      </c>
      <c r="N112" s="3"/>
    </row>
    <row r="113" ht="13.5" customHeight="1">
      <c r="A113" s="3"/>
      <c r="B113" s="15">
        <v>46227.0</v>
      </c>
      <c r="C113" s="5" t="s">
        <v>315</v>
      </c>
      <c r="D113" s="5" t="s">
        <v>71</v>
      </c>
      <c r="E113" s="5" t="s">
        <v>278</v>
      </c>
      <c r="F113" s="5" t="s">
        <v>342</v>
      </c>
      <c r="G113" s="5">
        <v>1.0</v>
      </c>
      <c r="H113" s="5" t="s">
        <v>56</v>
      </c>
      <c r="I113" s="3"/>
      <c r="J113" s="3"/>
      <c r="K113" s="3"/>
      <c r="L113" s="3"/>
      <c r="M113" s="5" t="s">
        <v>21</v>
      </c>
      <c r="N113" s="3"/>
    </row>
    <row r="114" ht="13.5" customHeight="1">
      <c r="A114" s="3"/>
      <c r="B114" s="15">
        <v>46230.0</v>
      </c>
      <c r="C114" s="5" t="s">
        <v>315</v>
      </c>
      <c r="D114" s="5" t="s">
        <v>71</v>
      </c>
      <c r="E114" s="5" t="s">
        <v>278</v>
      </c>
      <c r="F114" s="5" t="s">
        <v>342</v>
      </c>
      <c r="G114" s="5">
        <v>3.0</v>
      </c>
      <c r="H114" s="5" t="s">
        <v>56</v>
      </c>
      <c r="I114" s="3"/>
      <c r="J114" s="3"/>
      <c r="K114" s="3"/>
      <c r="L114" s="3"/>
      <c r="M114" s="5" t="s">
        <v>21</v>
      </c>
      <c r="N114" s="3"/>
    </row>
    <row r="115" ht="13.5" customHeight="1">
      <c r="A115" s="3"/>
      <c r="B115" s="15">
        <v>46231.0</v>
      </c>
      <c r="C115" s="5" t="s">
        <v>315</v>
      </c>
      <c r="D115" s="5" t="s">
        <v>71</v>
      </c>
      <c r="E115" s="5" t="s">
        <v>278</v>
      </c>
      <c r="F115" s="5" t="s">
        <v>342</v>
      </c>
      <c r="G115" s="5">
        <v>2.0</v>
      </c>
      <c r="H115" s="5" t="s">
        <v>56</v>
      </c>
      <c r="I115" s="3"/>
      <c r="J115" s="3"/>
      <c r="K115" s="3"/>
      <c r="L115" s="3"/>
      <c r="M115" s="5" t="s">
        <v>21</v>
      </c>
      <c r="N115" s="3"/>
    </row>
    <row r="116" ht="13.5" customHeight="1">
      <c r="A116" s="3"/>
      <c r="B116" s="15">
        <v>46231.0</v>
      </c>
      <c r="C116" s="5" t="s">
        <v>315</v>
      </c>
      <c r="D116" s="5" t="s">
        <v>71</v>
      </c>
      <c r="E116" s="5" t="s">
        <v>278</v>
      </c>
      <c r="F116" s="5" t="s">
        <v>342</v>
      </c>
      <c r="G116" s="5">
        <v>3.0</v>
      </c>
      <c r="H116" s="5" t="s">
        <v>56</v>
      </c>
      <c r="I116" s="3"/>
      <c r="J116" s="3"/>
      <c r="K116" s="3"/>
      <c r="L116" s="3"/>
      <c r="M116" s="5" t="s">
        <v>21</v>
      </c>
      <c r="N116" s="3"/>
    </row>
    <row r="117" ht="13.5" customHeight="1">
      <c r="A117" s="3"/>
      <c r="B117" s="15">
        <v>46233.0</v>
      </c>
      <c r="C117" s="5" t="s">
        <v>315</v>
      </c>
      <c r="D117" s="5" t="s">
        <v>71</v>
      </c>
      <c r="E117" s="5" t="s">
        <v>278</v>
      </c>
      <c r="F117" s="5" t="s">
        <v>342</v>
      </c>
      <c r="G117" s="5">
        <v>2.0</v>
      </c>
      <c r="H117" s="5" t="s">
        <v>56</v>
      </c>
      <c r="I117" s="3"/>
      <c r="J117" s="3"/>
      <c r="K117" s="3"/>
      <c r="L117" s="3"/>
      <c r="M117" s="5" t="s">
        <v>21</v>
      </c>
      <c r="N117" s="3"/>
    </row>
    <row r="118" ht="13.5" customHeight="1">
      <c r="A118" s="3"/>
      <c r="B118" s="15">
        <v>46218.0</v>
      </c>
      <c r="C118" s="5" t="s">
        <v>315</v>
      </c>
      <c r="D118" s="5" t="s">
        <v>71</v>
      </c>
      <c r="E118" s="5" t="s">
        <v>351</v>
      </c>
      <c r="F118" s="5" t="s">
        <v>352</v>
      </c>
      <c r="G118" s="5">
        <v>1.0</v>
      </c>
      <c r="H118" s="5" t="s">
        <v>55</v>
      </c>
      <c r="I118" s="3"/>
      <c r="J118" s="3"/>
      <c r="K118" s="3"/>
      <c r="L118" s="3"/>
      <c r="M118" s="5" t="s">
        <v>21</v>
      </c>
      <c r="N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</sheetData>
  <autoFilter ref="$A$1:$Z$118">
    <sortState ref="A1:Z118">
      <sortCondition ref="C1:C118"/>
      <sortCondition ref="E1:E118"/>
    </sortState>
  </autoFilter>
  <dataValidations>
    <dataValidation type="list" allowBlank="1" sqref="M2:M193">
      <formula1>"Active,Near Expired,Expired,Renewal Process,Not Started,Progress,Done,Overdue,Open,Closed,Cancelled,Approved,Rejected,Completed"</formula1>
    </dataValidation>
    <dataValidation type="list" allowBlank="1" sqref="H2:H193">
      <formula1>"Unit,Buah,Liter,m³,kWh,Set,Orang"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3.5"/>
    <col customWidth="1" min="4" max="4" width="11.13"/>
    <col customWidth="1" min="5" max="5" width="13.63"/>
    <col customWidth="1" min="6" max="6" width="10.38"/>
    <col customWidth="1" min="7" max="7" width="7.75"/>
    <col customWidth="1" min="8" max="8" width="10.25"/>
    <col customWidth="1" min="9" max="9" width="7.0"/>
    <col customWidth="1" min="10" max="10" width="16.0"/>
    <col customWidth="1" min="11" max="11" width="24.88"/>
    <col customWidth="1" min="12" max="12" width="17.0"/>
    <col customWidth="1" min="13" max="13" width="30.0"/>
    <col customWidth="1" min="14" max="26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307</v>
      </c>
      <c r="E1" s="2" t="s">
        <v>308</v>
      </c>
      <c r="F1" s="2" t="s">
        <v>309</v>
      </c>
      <c r="G1" s="2" t="s">
        <v>310</v>
      </c>
      <c r="H1" s="2" t="s">
        <v>311</v>
      </c>
      <c r="I1" s="2" t="s">
        <v>312</v>
      </c>
      <c r="J1" s="2" t="s">
        <v>313</v>
      </c>
      <c r="K1" s="2" t="s">
        <v>15</v>
      </c>
      <c r="L1" s="2" t="s">
        <v>221</v>
      </c>
      <c r="M1" s="2" t="s">
        <v>17</v>
      </c>
    </row>
    <row r="2" ht="13.5" customHeight="1">
      <c r="A2" s="3"/>
      <c r="B2" s="5" t="s">
        <v>222</v>
      </c>
      <c r="C2" s="5" t="s">
        <v>44</v>
      </c>
      <c r="D2" s="7">
        <f>621+77</f>
        <v>698</v>
      </c>
      <c r="E2" s="49"/>
      <c r="F2" s="7"/>
      <c r="G2" s="7">
        <f t="shared" ref="G2:G8" si="1">sum(H2:I2)</f>
        <v>257</v>
      </c>
      <c r="H2" s="7">
        <v>229.0</v>
      </c>
      <c r="I2" s="7">
        <v>28.0</v>
      </c>
      <c r="J2" s="50">
        <f t="shared" ref="J2:J8" si="2">IFERROR(H2/G2,0)</f>
        <v>0.8910505837</v>
      </c>
      <c r="K2" s="7" t="s">
        <v>146</v>
      </c>
      <c r="L2" s="8"/>
      <c r="M2" s="3"/>
    </row>
    <row r="3" ht="13.5" customHeight="1">
      <c r="A3" s="3"/>
      <c r="B3" s="5" t="s">
        <v>222</v>
      </c>
      <c r="C3" s="5" t="s">
        <v>279</v>
      </c>
      <c r="E3" s="49">
        <v>812.0</v>
      </c>
      <c r="F3" s="7">
        <v>65.0</v>
      </c>
      <c r="G3" s="7">
        <f t="shared" si="1"/>
        <v>274</v>
      </c>
      <c r="H3" s="7">
        <v>244.0</v>
      </c>
      <c r="I3" s="7">
        <v>30.0</v>
      </c>
      <c r="J3" s="50">
        <f t="shared" si="2"/>
        <v>0.8905109489</v>
      </c>
      <c r="K3" s="10"/>
      <c r="L3" s="8"/>
      <c r="M3" s="3"/>
    </row>
    <row r="4" ht="13.5" customHeight="1">
      <c r="A4" s="3"/>
      <c r="B4" s="5" t="s">
        <v>222</v>
      </c>
      <c r="C4" s="5" t="s">
        <v>315</v>
      </c>
      <c r="D4" s="10"/>
      <c r="E4" s="49">
        <v>1702.0</v>
      </c>
      <c r="F4" s="7">
        <v>335.0</v>
      </c>
      <c r="G4" s="7">
        <f t="shared" si="1"/>
        <v>609</v>
      </c>
      <c r="H4" s="7">
        <v>477.0</v>
      </c>
      <c r="I4" s="7">
        <v>132.0</v>
      </c>
      <c r="J4" s="50">
        <f t="shared" si="2"/>
        <v>0.7832512315</v>
      </c>
      <c r="K4" s="10"/>
      <c r="L4" s="8"/>
      <c r="M4" s="3"/>
    </row>
    <row r="5" ht="13.5" customHeight="1">
      <c r="A5" s="3"/>
      <c r="B5" s="5" t="s">
        <v>222</v>
      </c>
      <c r="C5" s="5" t="s">
        <v>99</v>
      </c>
      <c r="D5" s="10"/>
      <c r="E5" s="49">
        <v>762.0</v>
      </c>
      <c r="F5" s="7">
        <v>110.0</v>
      </c>
      <c r="G5" s="7">
        <f t="shared" si="1"/>
        <v>451</v>
      </c>
      <c r="H5" s="7">
        <v>237.0</v>
      </c>
      <c r="I5" s="7">
        <v>214.0</v>
      </c>
      <c r="J5" s="50">
        <f t="shared" si="2"/>
        <v>0.5254988914</v>
      </c>
      <c r="K5" s="51"/>
      <c r="L5" s="8"/>
      <c r="M5" s="3"/>
    </row>
    <row r="6" ht="13.5" customHeight="1">
      <c r="A6" s="3"/>
      <c r="B6" s="5" t="s">
        <v>222</v>
      </c>
      <c r="C6" s="5" t="s">
        <v>70</v>
      </c>
      <c r="D6" s="10"/>
      <c r="E6" s="49">
        <v>571.0</v>
      </c>
      <c r="F6" s="10"/>
      <c r="G6" s="7">
        <f t="shared" si="1"/>
        <v>95</v>
      </c>
      <c r="H6" s="7">
        <v>95.0</v>
      </c>
      <c r="I6" s="7">
        <v>0.0</v>
      </c>
      <c r="J6" s="50">
        <f t="shared" si="2"/>
        <v>1</v>
      </c>
      <c r="K6" s="10"/>
      <c r="L6" s="8"/>
      <c r="M6" s="3"/>
    </row>
    <row r="7" ht="13.5" customHeight="1">
      <c r="A7" s="3"/>
      <c r="B7" s="5" t="s">
        <v>222</v>
      </c>
      <c r="C7" s="5" t="s">
        <v>277</v>
      </c>
      <c r="D7" s="10"/>
      <c r="E7" s="49">
        <v>1034.0</v>
      </c>
      <c r="F7" s="10"/>
      <c r="G7" s="7">
        <f t="shared" si="1"/>
        <v>290</v>
      </c>
      <c r="H7" s="7">
        <v>290.0</v>
      </c>
      <c r="I7" s="7">
        <v>0.0</v>
      </c>
      <c r="J7" s="50">
        <f t="shared" si="2"/>
        <v>1</v>
      </c>
      <c r="K7" s="10"/>
      <c r="L7" s="8"/>
      <c r="M7" s="3"/>
    </row>
    <row r="8" ht="13.5" customHeight="1">
      <c r="A8" s="3"/>
      <c r="B8" s="5" t="s">
        <v>222</v>
      </c>
      <c r="C8" s="5" t="s">
        <v>319</v>
      </c>
      <c r="D8" s="10"/>
      <c r="E8" s="7">
        <v>891.0</v>
      </c>
      <c r="F8" s="10"/>
      <c r="G8" s="7">
        <f t="shared" si="1"/>
        <v>363</v>
      </c>
      <c r="H8" s="7">
        <v>363.0</v>
      </c>
      <c r="I8" s="7">
        <v>0.0</v>
      </c>
      <c r="J8" s="50">
        <f t="shared" si="2"/>
        <v>1</v>
      </c>
      <c r="K8" s="10"/>
      <c r="L8" s="8"/>
      <c r="M8" s="3"/>
    </row>
    <row r="9" ht="13.5" customHeight="1">
      <c r="A9" s="3"/>
      <c r="B9" s="5" t="s">
        <v>222</v>
      </c>
      <c r="C9" s="52" t="s">
        <v>321</v>
      </c>
      <c r="D9" s="7">
        <v>800.0</v>
      </c>
      <c r="E9" s="53">
        <v>516.0</v>
      </c>
      <c r="F9" s="10">
        <f>D9-E9</f>
        <v>284</v>
      </c>
      <c r="G9" s="54">
        <f t="shared" ref="G9:G22" si="3">H9+I9</f>
        <v>230</v>
      </c>
      <c r="H9" s="54">
        <v>38.0</v>
      </c>
      <c r="I9" s="54">
        <v>192.0</v>
      </c>
      <c r="J9" s="10">
        <f t="shared" ref="J9:J22" si="4">H9/G9*100%</f>
        <v>0.1652173913</v>
      </c>
      <c r="K9" s="7" t="s">
        <v>261</v>
      </c>
      <c r="L9" s="8"/>
      <c r="M9" s="3"/>
    </row>
    <row r="10" ht="13.5" customHeight="1">
      <c r="A10" s="3"/>
      <c r="B10" s="5" t="s">
        <v>222</v>
      </c>
      <c r="C10" s="52" t="s">
        <v>328</v>
      </c>
      <c r="D10" s="7">
        <v>1116.0</v>
      </c>
      <c r="E10" s="53">
        <v>1116.0</v>
      </c>
      <c r="F10" s="7">
        <v>0.0</v>
      </c>
      <c r="G10" s="54">
        <f t="shared" si="3"/>
        <v>187</v>
      </c>
      <c r="H10" s="54">
        <v>187.0</v>
      </c>
      <c r="I10" s="54">
        <v>0.0</v>
      </c>
      <c r="J10" s="10">
        <f t="shared" si="4"/>
        <v>1</v>
      </c>
      <c r="K10" s="7" t="s">
        <v>261</v>
      </c>
      <c r="L10" s="8"/>
      <c r="M10" s="3"/>
    </row>
    <row r="11" ht="13.5" customHeight="1">
      <c r="A11" s="3"/>
      <c r="B11" s="5" t="s">
        <v>222</v>
      </c>
      <c r="C11" s="52" t="s">
        <v>331</v>
      </c>
      <c r="D11" s="7">
        <v>664.0</v>
      </c>
      <c r="E11" s="53">
        <v>320.0</v>
      </c>
      <c r="F11" s="10">
        <f>D11-E11+E12</f>
        <v>409</v>
      </c>
      <c r="G11" s="54">
        <f t="shared" si="3"/>
        <v>44</v>
      </c>
      <c r="H11" s="54">
        <v>13.0</v>
      </c>
      <c r="I11" s="54">
        <v>31.0</v>
      </c>
      <c r="J11" s="10">
        <f t="shared" si="4"/>
        <v>0.2954545455</v>
      </c>
      <c r="K11" s="7" t="s">
        <v>261</v>
      </c>
      <c r="L11" s="8"/>
      <c r="M11" s="3"/>
    </row>
    <row r="12" ht="13.5" customHeight="1">
      <c r="A12" s="3"/>
      <c r="B12" s="5" t="s">
        <v>222</v>
      </c>
      <c r="C12" s="52" t="s">
        <v>334</v>
      </c>
      <c r="D12" s="7">
        <v>664.0</v>
      </c>
      <c r="E12" s="53">
        <v>65.0</v>
      </c>
      <c r="F12" s="7">
        <v>409.0</v>
      </c>
      <c r="G12" s="54">
        <f t="shared" si="3"/>
        <v>15</v>
      </c>
      <c r="H12" s="54">
        <v>15.0</v>
      </c>
      <c r="I12" s="54">
        <v>0.0</v>
      </c>
      <c r="J12" s="10">
        <f t="shared" si="4"/>
        <v>1</v>
      </c>
      <c r="K12" s="7" t="s">
        <v>261</v>
      </c>
      <c r="L12" s="8"/>
      <c r="M12" s="3"/>
    </row>
    <row r="13" ht="13.5" customHeight="1">
      <c r="A13" s="3"/>
      <c r="B13" s="5" t="s">
        <v>222</v>
      </c>
      <c r="C13" s="52" t="s">
        <v>336</v>
      </c>
      <c r="D13" s="7">
        <v>1427.0</v>
      </c>
      <c r="E13" s="53">
        <v>82.0</v>
      </c>
      <c r="F13" s="10">
        <f>D13-(E13+E14+E15+E16+E17+E18+E19+E20+E21)</f>
        <v>775</v>
      </c>
      <c r="G13" s="54">
        <f t="shared" si="3"/>
        <v>35</v>
      </c>
      <c r="H13" s="54">
        <v>33.0</v>
      </c>
      <c r="I13" s="54">
        <v>2.0</v>
      </c>
      <c r="J13" s="10">
        <f t="shared" si="4"/>
        <v>0.9428571429</v>
      </c>
      <c r="K13" s="7" t="s">
        <v>261</v>
      </c>
      <c r="L13" s="8"/>
      <c r="M13" s="3"/>
    </row>
    <row r="14" ht="13.5" customHeight="1">
      <c r="A14" s="3"/>
      <c r="B14" s="5" t="s">
        <v>222</v>
      </c>
      <c r="C14" s="52" t="s">
        <v>341</v>
      </c>
      <c r="D14" s="7">
        <v>1427.0</v>
      </c>
      <c r="E14" s="53">
        <v>110.0</v>
      </c>
      <c r="F14" s="7">
        <v>775.0</v>
      </c>
      <c r="G14" s="54">
        <f t="shared" si="3"/>
        <v>23</v>
      </c>
      <c r="H14" s="54">
        <v>23.0</v>
      </c>
      <c r="I14" s="54">
        <v>0.0</v>
      </c>
      <c r="J14" s="10">
        <f t="shared" si="4"/>
        <v>1</v>
      </c>
      <c r="K14" s="7" t="s">
        <v>261</v>
      </c>
      <c r="L14" s="8"/>
      <c r="M14" s="3"/>
    </row>
    <row r="15" ht="13.5" customHeight="1">
      <c r="A15" s="3"/>
      <c r="B15" s="5" t="s">
        <v>222</v>
      </c>
      <c r="C15" s="52" t="s">
        <v>343</v>
      </c>
      <c r="D15" s="7">
        <v>1427.0</v>
      </c>
      <c r="E15" s="53">
        <v>26.0</v>
      </c>
      <c r="F15" s="7">
        <v>775.0</v>
      </c>
      <c r="G15" s="54">
        <f t="shared" si="3"/>
        <v>7</v>
      </c>
      <c r="H15" s="54">
        <v>7.0</v>
      </c>
      <c r="I15" s="54">
        <v>0.0</v>
      </c>
      <c r="J15" s="10">
        <f t="shared" si="4"/>
        <v>1</v>
      </c>
      <c r="K15" s="7" t="s">
        <v>261</v>
      </c>
      <c r="L15" s="8"/>
      <c r="M15" s="3"/>
    </row>
    <row r="16" ht="13.5" customHeight="1">
      <c r="A16" s="3"/>
      <c r="B16" s="5" t="s">
        <v>222</v>
      </c>
      <c r="C16" s="52" t="s">
        <v>344</v>
      </c>
      <c r="D16" s="7">
        <v>1427.0</v>
      </c>
      <c r="E16" s="53">
        <v>9.0</v>
      </c>
      <c r="F16" s="7">
        <v>775.0</v>
      </c>
      <c r="G16" s="54">
        <f t="shared" si="3"/>
        <v>3</v>
      </c>
      <c r="H16" s="54">
        <v>3.0</v>
      </c>
      <c r="I16" s="54">
        <v>0.0</v>
      </c>
      <c r="J16" s="10">
        <f t="shared" si="4"/>
        <v>1</v>
      </c>
      <c r="K16" s="7" t="s">
        <v>261</v>
      </c>
      <c r="L16" s="8"/>
      <c r="M16" s="3"/>
    </row>
    <row r="17" ht="13.5" customHeight="1">
      <c r="A17" s="3"/>
      <c r="B17" s="5" t="s">
        <v>222</v>
      </c>
      <c r="C17" s="52" t="s">
        <v>345</v>
      </c>
      <c r="D17" s="7">
        <v>1427.0</v>
      </c>
      <c r="E17" s="53">
        <v>153.0</v>
      </c>
      <c r="F17" s="7">
        <v>775.0</v>
      </c>
      <c r="G17" s="54">
        <f t="shared" si="3"/>
        <v>66</v>
      </c>
      <c r="H17" s="54">
        <v>66.0</v>
      </c>
      <c r="I17" s="54">
        <v>0.0</v>
      </c>
      <c r="J17" s="10">
        <f t="shared" si="4"/>
        <v>1</v>
      </c>
      <c r="K17" s="7" t="s">
        <v>261</v>
      </c>
      <c r="L17" s="8"/>
      <c r="M17" s="3"/>
    </row>
    <row r="18" ht="13.5" customHeight="1">
      <c r="A18" s="3"/>
      <c r="B18" s="5" t="s">
        <v>222</v>
      </c>
      <c r="C18" s="52" t="s">
        <v>346</v>
      </c>
      <c r="D18" s="7">
        <v>1427.0</v>
      </c>
      <c r="E18" s="53">
        <v>34.0</v>
      </c>
      <c r="F18" s="7">
        <v>775.0</v>
      </c>
      <c r="G18" s="54">
        <f t="shared" si="3"/>
        <v>6</v>
      </c>
      <c r="H18" s="54">
        <v>6.0</v>
      </c>
      <c r="I18" s="54">
        <v>0.0</v>
      </c>
      <c r="J18" s="10">
        <f t="shared" si="4"/>
        <v>1</v>
      </c>
      <c r="K18" s="7" t="s">
        <v>261</v>
      </c>
      <c r="L18" s="8"/>
      <c r="M18" s="3"/>
    </row>
    <row r="19" ht="13.5" customHeight="1">
      <c r="A19" s="3"/>
      <c r="B19" s="5" t="s">
        <v>222</v>
      </c>
      <c r="C19" s="52" t="s">
        <v>347</v>
      </c>
      <c r="D19" s="7">
        <v>1427.0</v>
      </c>
      <c r="E19" s="53">
        <v>115.0</v>
      </c>
      <c r="F19" s="7">
        <v>775.0</v>
      </c>
      <c r="G19" s="54">
        <f t="shared" si="3"/>
        <v>64</v>
      </c>
      <c r="H19" s="54">
        <v>64.0</v>
      </c>
      <c r="I19" s="54">
        <v>0.0</v>
      </c>
      <c r="J19" s="10">
        <f t="shared" si="4"/>
        <v>1</v>
      </c>
      <c r="K19" s="7" t="s">
        <v>261</v>
      </c>
      <c r="L19" s="8"/>
      <c r="M19" s="3"/>
    </row>
    <row r="20" ht="13.5" customHeight="1">
      <c r="A20" s="3"/>
      <c r="B20" s="5" t="s">
        <v>222</v>
      </c>
      <c r="C20" s="52" t="s">
        <v>348</v>
      </c>
      <c r="D20" s="7">
        <v>1427.0</v>
      </c>
      <c r="E20" s="53">
        <v>93.0</v>
      </c>
      <c r="F20" s="7">
        <v>775.0</v>
      </c>
      <c r="G20" s="54">
        <f t="shared" si="3"/>
        <v>24</v>
      </c>
      <c r="H20" s="54">
        <v>20.0</v>
      </c>
      <c r="I20" s="54">
        <v>4.0</v>
      </c>
      <c r="J20" s="10">
        <f t="shared" si="4"/>
        <v>0.8333333333</v>
      </c>
      <c r="K20" s="7" t="s">
        <v>261</v>
      </c>
      <c r="L20" s="8"/>
      <c r="M20" s="3"/>
    </row>
    <row r="21" ht="13.5" customHeight="1">
      <c r="A21" s="3"/>
      <c r="B21" s="5" t="s">
        <v>222</v>
      </c>
      <c r="C21" s="52" t="s">
        <v>349</v>
      </c>
      <c r="D21" s="7">
        <v>1427.0</v>
      </c>
      <c r="E21" s="53">
        <v>30.0</v>
      </c>
      <c r="F21" s="7">
        <v>775.0</v>
      </c>
      <c r="G21" s="54">
        <f t="shared" si="3"/>
        <v>4</v>
      </c>
      <c r="H21" s="54">
        <v>4.0</v>
      </c>
      <c r="I21" s="54">
        <v>0.0</v>
      </c>
      <c r="J21" s="10">
        <f t="shared" si="4"/>
        <v>1</v>
      </c>
      <c r="K21" s="7" t="s">
        <v>261</v>
      </c>
      <c r="L21" s="8"/>
      <c r="M21" s="3"/>
    </row>
    <row r="22" ht="13.5" customHeight="1">
      <c r="A22" s="3"/>
      <c r="B22" s="5" t="s">
        <v>222</v>
      </c>
      <c r="C22" s="52" t="s">
        <v>350</v>
      </c>
      <c r="D22" s="7">
        <v>800.0</v>
      </c>
      <c r="E22" s="53">
        <v>800.0</v>
      </c>
      <c r="F22" s="7">
        <v>775.0</v>
      </c>
      <c r="G22" s="54">
        <f t="shared" si="3"/>
        <v>150</v>
      </c>
      <c r="H22" s="54">
        <v>20.0</v>
      </c>
      <c r="I22" s="54">
        <v>130.0</v>
      </c>
      <c r="J22" s="10">
        <f t="shared" si="4"/>
        <v>0.1333333333</v>
      </c>
      <c r="K22" s="7" t="s">
        <v>261</v>
      </c>
      <c r="L22" s="8"/>
      <c r="M22" s="3"/>
    </row>
    <row r="23" ht="13.5" customHeight="1">
      <c r="A23" s="3"/>
      <c r="B23" s="3"/>
      <c r="C23" s="3"/>
      <c r="D23" s="40">
        <f t="shared" ref="D23:F23" si="5">sum(D2:D22)</f>
        <v>17585</v>
      </c>
      <c r="E23" s="40">
        <f t="shared" si="5"/>
        <v>9241</v>
      </c>
      <c r="F23" s="3">
        <f t="shared" si="5"/>
        <v>9362</v>
      </c>
      <c r="G23" s="3"/>
      <c r="H23" s="3"/>
      <c r="I23" s="3">
        <f>sum(I2:I22)</f>
        <v>763</v>
      </c>
      <c r="J23" s="3"/>
      <c r="K23" s="3"/>
      <c r="L23" s="8"/>
      <c r="M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8"/>
      <c r="M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8"/>
      <c r="M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8"/>
      <c r="M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8"/>
      <c r="M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8"/>
      <c r="M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8"/>
      <c r="M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8"/>
      <c r="M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8"/>
      <c r="M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8"/>
      <c r="M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8"/>
      <c r="M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8"/>
      <c r="M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8"/>
      <c r="M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8"/>
      <c r="M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8"/>
      <c r="M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8"/>
      <c r="M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8"/>
      <c r="M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8"/>
      <c r="M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8"/>
      <c r="M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8"/>
      <c r="M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8"/>
      <c r="M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8"/>
      <c r="M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8"/>
      <c r="M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8"/>
      <c r="M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8"/>
      <c r="M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8"/>
      <c r="M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8"/>
      <c r="M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8"/>
      <c r="M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8"/>
      <c r="M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8"/>
      <c r="M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8"/>
      <c r="M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8"/>
      <c r="M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8"/>
      <c r="M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8"/>
      <c r="M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8"/>
      <c r="M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8"/>
      <c r="M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8"/>
      <c r="M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8"/>
      <c r="M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8"/>
      <c r="M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8"/>
      <c r="M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8"/>
      <c r="M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8"/>
      <c r="M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8"/>
      <c r="M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8"/>
      <c r="M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8"/>
      <c r="M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8"/>
      <c r="M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8"/>
      <c r="M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8"/>
      <c r="M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8"/>
      <c r="M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8"/>
      <c r="M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8"/>
      <c r="M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8"/>
      <c r="M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8"/>
      <c r="M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8"/>
      <c r="M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8"/>
      <c r="M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8"/>
      <c r="M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8"/>
      <c r="M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8"/>
      <c r="M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8"/>
      <c r="M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8"/>
      <c r="M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8"/>
      <c r="M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8"/>
      <c r="M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8"/>
      <c r="M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8"/>
      <c r="M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8"/>
      <c r="M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8"/>
      <c r="M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8"/>
      <c r="M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8"/>
      <c r="M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8"/>
      <c r="M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8"/>
      <c r="M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8"/>
      <c r="M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8"/>
      <c r="M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8"/>
      <c r="M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8"/>
      <c r="M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8"/>
      <c r="M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8"/>
      <c r="M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8"/>
      <c r="M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8"/>
      <c r="M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8"/>
      <c r="M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8"/>
      <c r="M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8"/>
      <c r="M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8"/>
      <c r="M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8"/>
      <c r="M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8"/>
      <c r="M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8"/>
      <c r="M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8"/>
      <c r="M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8"/>
      <c r="M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8"/>
      <c r="M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8"/>
      <c r="M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8"/>
      <c r="M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8"/>
      <c r="M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8"/>
      <c r="M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8"/>
      <c r="M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8"/>
      <c r="M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8"/>
      <c r="M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8"/>
      <c r="M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8"/>
      <c r="M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8"/>
      <c r="M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8"/>
      <c r="M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8"/>
      <c r="M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8"/>
      <c r="M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8"/>
      <c r="M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8"/>
      <c r="M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8"/>
      <c r="M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8"/>
      <c r="M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8"/>
      <c r="M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8"/>
      <c r="M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8"/>
      <c r="M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8"/>
      <c r="M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8"/>
      <c r="M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8"/>
      <c r="M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8"/>
      <c r="M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8"/>
      <c r="M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8"/>
      <c r="M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8"/>
      <c r="M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8"/>
      <c r="M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8"/>
      <c r="M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8"/>
      <c r="M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8"/>
      <c r="M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8"/>
      <c r="M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8"/>
      <c r="M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8"/>
      <c r="M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8"/>
      <c r="M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8"/>
      <c r="M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8"/>
      <c r="M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8"/>
      <c r="M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8"/>
      <c r="M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8"/>
      <c r="M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8"/>
      <c r="M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8"/>
      <c r="M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8"/>
      <c r="M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8"/>
      <c r="M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8"/>
      <c r="M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8"/>
      <c r="M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8"/>
      <c r="M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8"/>
      <c r="M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8"/>
      <c r="M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8"/>
      <c r="M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8"/>
      <c r="M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8"/>
      <c r="M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8"/>
      <c r="M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8"/>
      <c r="M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8"/>
      <c r="M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8"/>
      <c r="M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8"/>
      <c r="M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8"/>
      <c r="M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8"/>
      <c r="M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8"/>
      <c r="M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8"/>
      <c r="M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8"/>
      <c r="M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8"/>
      <c r="M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8"/>
      <c r="M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8"/>
      <c r="M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8"/>
      <c r="M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8"/>
      <c r="M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8"/>
      <c r="M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8"/>
      <c r="M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8"/>
      <c r="M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8"/>
      <c r="M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8"/>
      <c r="M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8"/>
      <c r="M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8"/>
      <c r="M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8"/>
      <c r="M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8"/>
      <c r="M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8"/>
      <c r="M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8"/>
      <c r="M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8"/>
      <c r="M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8"/>
      <c r="M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8"/>
      <c r="M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8"/>
      <c r="M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8"/>
      <c r="M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8"/>
      <c r="M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8"/>
      <c r="M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8"/>
      <c r="M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8"/>
      <c r="M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8"/>
      <c r="M198" s="3"/>
    </row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8.0"/>
    <col customWidth="1" min="3" max="3" width="22.0"/>
    <col customWidth="1" min="4" max="4" width="13.75"/>
    <col customWidth="1" min="5" max="5" width="31.63"/>
    <col customWidth="1" min="6" max="7" width="15.0"/>
    <col customWidth="1" min="8" max="8" width="26.5"/>
    <col customWidth="1" min="9" max="9" width="17.0"/>
    <col customWidth="1" min="10" max="10" width="12.0"/>
    <col customWidth="1" min="11" max="11" width="30.0"/>
    <col customWidth="1" min="12" max="24" width="8.63"/>
  </cols>
  <sheetData>
    <row r="1" ht="18.0" customHeight="1">
      <c r="A1" s="2" t="s">
        <v>1</v>
      </c>
      <c r="B1" s="2" t="s">
        <v>353</v>
      </c>
      <c r="C1" s="2" t="s">
        <v>19</v>
      </c>
      <c r="D1" s="2"/>
      <c r="E1" s="2" t="s">
        <v>354</v>
      </c>
      <c r="F1" s="6" t="s">
        <v>355</v>
      </c>
      <c r="G1" s="6" t="s">
        <v>356</v>
      </c>
      <c r="H1" s="2" t="s">
        <v>357</v>
      </c>
      <c r="I1" s="2" t="s">
        <v>358</v>
      </c>
      <c r="J1" s="2" t="s">
        <v>15</v>
      </c>
      <c r="K1" s="2" t="s">
        <v>17</v>
      </c>
    </row>
    <row r="2" ht="13.5" customHeight="1">
      <c r="A2" s="5">
        <v>1.0</v>
      </c>
      <c r="B2" s="8"/>
      <c r="C2" s="5" t="s">
        <v>277</v>
      </c>
      <c r="D2" s="5">
        <v>4.0</v>
      </c>
      <c r="E2" s="5" t="s">
        <v>359</v>
      </c>
      <c r="F2" s="5">
        <v>12.0</v>
      </c>
      <c r="G2" s="5">
        <v>4.0</v>
      </c>
      <c r="H2" s="5" t="s">
        <v>360</v>
      </c>
      <c r="I2" s="5" t="s">
        <v>361</v>
      </c>
      <c r="J2" s="7" t="s">
        <v>362</v>
      </c>
      <c r="K2" s="3"/>
    </row>
    <row r="3" ht="13.5" customHeight="1">
      <c r="A3" s="5">
        <v>2.0</v>
      </c>
      <c r="B3" s="8"/>
      <c r="C3" s="5" t="s">
        <v>277</v>
      </c>
      <c r="D3" s="5">
        <v>4.0</v>
      </c>
      <c r="E3" s="5" t="s">
        <v>363</v>
      </c>
      <c r="F3" s="5">
        <v>33.3</v>
      </c>
      <c r="G3" s="5">
        <v>20.0</v>
      </c>
      <c r="H3" s="5" t="s">
        <v>364</v>
      </c>
      <c r="I3" s="5" t="s">
        <v>365</v>
      </c>
      <c r="J3" s="7" t="s">
        <v>362</v>
      </c>
      <c r="K3" s="15">
        <v>46181.0</v>
      </c>
    </row>
    <row r="4" ht="13.5" customHeight="1">
      <c r="A4" s="5">
        <v>3.0</v>
      </c>
      <c r="B4" s="8"/>
      <c r="C4" s="5" t="s">
        <v>366</v>
      </c>
      <c r="D4" s="5">
        <v>1.0</v>
      </c>
      <c r="E4" s="5" t="s">
        <v>367</v>
      </c>
      <c r="F4" s="5">
        <v>80.4</v>
      </c>
      <c r="G4" s="5">
        <v>26.0</v>
      </c>
      <c r="H4" s="5" t="s">
        <v>368</v>
      </c>
      <c r="I4" s="5" t="s">
        <v>365</v>
      </c>
      <c r="J4" s="7" t="s">
        <v>362</v>
      </c>
      <c r="K4" s="15">
        <v>46243.0</v>
      </c>
    </row>
    <row r="5" ht="13.5" customHeight="1">
      <c r="A5" s="3"/>
      <c r="B5" s="8"/>
      <c r="C5" s="5" t="s">
        <v>366</v>
      </c>
      <c r="D5" s="5">
        <v>4.0</v>
      </c>
      <c r="E5" s="5" t="s">
        <v>369</v>
      </c>
      <c r="F5" s="5">
        <v>28.0</v>
      </c>
      <c r="G5" s="5">
        <v>5.0</v>
      </c>
      <c r="H5" s="5" t="s">
        <v>370</v>
      </c>
      <c r="I5" s="5" t="s">
        <v>371</v>
      </c>
      <c r="J5" s="3"/>
      <c r="K5" s="3"/>
    </row>
    <row r="6" ht="13.5" customHeight="1">
      <c r="A6" s="3"/>
      <c r="B6" s="8"/>
      <c r="C6" s="5" t="s">
        <v>372</v>
      </c>
      <c r="D6" s="5">
        <v>4.0</v>
      </c>
      <c r="E6" s="5" t="s">
        <v>373</v>
      </c>
      <c r="F6" s="5">
        <v>17.6</v>
      </c>
      <c r="G6" s="5">
        <v>4.0</v>
      </c>
      <c r="H6" s="5" t="s">
        <v>374</v>
      </c>
      <c r="I6" s="5" t="s">
        <v>371</v>
      </c>
      <c r="J6" s="3"/>
      <c r="K6" s="3"/>
    </row>
    <row r="7" ht="13.5" customHeight="1">
      <c r="A7" s="3"/>
      <c r="B7" s="8"/>
      <c r="C7" s="5" t="s">
        <v>375</v>
      </c>
      <c r="D7" s="5">
        <v>3.0</v>
      </c>
      <c r="E7" s="5" t="s">
        <v>376</v>
      </c>
      <c r="F7" s="3"/>
      <c r="G7" s="5">
        <v>57.0</v>
      </c>
      <c r="H7" s="5" t="s">
        <v>377</v>
      </c>
      <c r="I7" s="5" t="s">
        <v>361</v>
      </c>
      <c r="J7" s="3"/>
      <c r="K7" s="3"/>
    </row>
    <row r="8" ht="13.5" customHeight="1">
      <c r="A8" s="3"/>
      <c r="B8" s="8"/>
      <c r="C8" s="5" t="s">
        <v>375</v>
      </c>
      <c r="D8" s="5">
        <v>3.0</v>
      </c>
      <c r="E8" s="5" t="s">
        <v>378</v>
      </c>
      <c r="F8" s="3"/>
      <c r="G8" s="5">
        <v>78.0</v>
      </c>
      <c r="H8" s="5" t="s">
        <v>377</v>
      </c>
      <c r="I8" s="5" t="s">
        <v>361</v>
      </c>
      <c r="J8" s="3"/>
      <c r="K8" s="3"/>
    </row>
    <row r="9" ht="13.5" customHeight="1">
      <c r="A9" s="3"/>
      <c r="B9" s="8"/>
      <c r="C9" s="5" t="s">
        <v>375</v>
      </c>
      <c r="D9" s="5">
        <v>4.0</v>
      </c>
      <c r="E9" s="5" t="s">
        <v>378</v>
      </c>
      <c r="F9" s="3"/>
      <c r="G9" s="5">
        <v>204.0</v>
      </c>
      <c r="H9" s="5" t="s">
        <v>377</v>
      </c>
      <c r="I9" s="5" t="s">
        <v>361</v>
      </c>
      <c r="J9" s="3"/>
      <c r="K9" s="3"/>
    </row>
    <row r="10" ht="13.5" customHeight="1">
      <c r="A10" s="3"/>
      <c r="B10" s="8"/>
      <c r="C10" s="5" t="s">
        <v>375</v>
      </c>
      <c r="D10" s="5">
        <v>1.0</v>
      </c>
      <c r="E10" s="5" t="s">
        <v>379</v>
      </c>
      <c r="F10" s="5">
        <v>18.0</v>
      </c>
      <c r="G10" s="5">
        <v>5.0</v>
      </c>
      <c r="H10" s="5" t="s">
        <v>380</v>
      </c>
      <c r="I10" s="5" t="s">
        <v>381</v>
      </c>
      <c r="J10" s="3"/>
      <c r="K10" s="5" t="s">
        <v>382</v>
      </c>
    </row>
    <row r="11" ht="13.5" customHeight="1">
      <c r="A11" s="3"/>
      <c r="B11" s="8"/>
      <c r="C11" s="5" t="s">
        <v>383</v>
      </c>
      <c r="D11" s="7" t="s">
        <v>384</v>
      </c>
      <c r="E11" s="5" t="s">
        <v>385</v>
      </c>
      <c r="F11" s="5">
        <v>10.0</v>
      </c>
      <c r="G11" s="5">
        <v>5.0</v>
      </c>
      <c r="H11" s="5" t="s">
        <v>386</v>
      </c>
      <c r="I11" s="5" t="s">
        <v>361</v>
      </c>
      <c r="J11" s="3"/>
      <c r="K11" s="3"/>
    </row>
    <row r="12" ht="13.5" customHeight="1">
      <c r="A12" s="3"/>
      <c r="B12" s="8"/>
      <c r="C12" s="5" t="s">
        <v>383</v>
      </c>
      <c r="D12" s="5">
        <v>2.0</v>
      </c>
      <c r="E12" s="5" t="s">
        <v>387</v>
      </c>
      <c r="F12" s="5">
        <v>84.0</v>
      </c>
      <c r="G12" s="5">
        <v>32.0</v>
      </c>
      <c r="H12" s="5" t="s">
        <v>388</v>
      </c>
      <c r="I12" s="5" t="s">
        <v>361</v>
      </c>
      <c r="J12" s="3"/>
      <c r="K12" s="3"/>
    </row>
    <row r="13" ht="13.5" customHeight="1">
      <c r="A13" s="3"/>
      <c r="B13" s="8"/>
      <c r="C13" s="5" t="s">
        <v>383</v>
      </c>
      <c r="D13" s="5">
        <v>1.0</v>
      </c>
      <c r="E13" s="5" t="s">
        <v>389</v>
      </c>
      <c r="F13" s="5">
        <v>6.5</v>
      </c>
      <c r="G13" s="5">
        <v>3.0</v>
      </c>
      <c r="H13" s="5" t="s">
        <v>390</v>
      </c>
      <c r="I13" s="5" t="s">
        <v>381</v>
      </c>
      <c r="J13" s="3"/>
      <c r="K13" s="3"/>
    </row>
    <row r="14" ht="13.5" customHeight="1">
      <c r="A14" s="3"/>
      <c r="B14" s="8"/>
      <c r="C14" s="5" t="s">
        <v>383</v>
      </c>
      <c r="D14" s="5">
        <v>1.0</v>
      </c>
      <c r="E14" s="5" t="s">
        <v>389</v>
      </c>
      <c r="F14" s="5">
        <v>6.5</v>
      </c>
      <c r="G14" s="5">
        <v>3.0</v>
      </c>
      <c r="H14" s="5" t="s">
        <v>391</v>
      </c>
      <c r="I14" s="5" t="s">
        <v>381</v>
      </c>
      <c r="J14" s="3"/>
      <c r="K14" s="3"/>
    </row>
    <row r="15" ht="13.5" customHeight="1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</row>
    <row r="16" ht="13.5" customHeight="1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</row>
    <row r="17" ht="13.5" customHeight="1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</row>
    <row r="18" ht="13.5" customHeight="1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</row>
    <row r="19" ht="13.5" customHeight="1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</row>
    <row r="20" ht="13.5" customHeight="1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</row>
    <row r="21" ht="13.5" customHeight="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</row>
    <row r="22" ht="13.5" customHeight="1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</row>
    <row r="23" ht="13.5" customHeight="1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</row>
    <row r="24" ht="13.5" customHeight="1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</row>
    <row r="25" ht="13.5" customHeight="1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</row>
    <row r="26" ht="13.5" customHeight="1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</row>
    <row r="27" ht="13.5" customHeight="1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</row>
    <row r="28" ht="13.5" customHeight="1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</row>
    <row r="29" ht="13.5" customHeight="1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</row>
    <row r="30" ht="13.5" customHeight="1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</row>
    <row r="31" ht="13.5" customHeight="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</row>
    <row r="32" ht="13.5" customHeight="1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</row>
    <row r="33" ht="13.5" customHeight="1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</row>
    <row r="34" ht="13.5" customHeight="1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</row>
    <row r="35" ht="13.5" customHeight="1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</row>
    <row r="36" ht="13.5" customHeight="1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</row>
    <row r="37" ht="13.5" customHeight="1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</row>
    <row r="38" ht="13.5" customHeight="1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</row>
    <row r="39" ht="13.5" customHeight="1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</row>
    <row r="40" ht="13.5" customHeight="1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</row>
    <row r="41" ht="13.5" customHeight="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</row>
    <row r="42" ht="13.5" customHeight="1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</row>
    <row r="43" ht="13.5" customHeight="1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</row>
    <row r="44" ht="13.5" customHeight="1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</row>
    <row r="45" ht="13.5" customHeight="1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</row>
    <row r="46" ht="13.5" customHeight="1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</row>
    <row r="47" ht="13.5" customHeight="1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</row>
    <row r="48" ht="13.5" customHeight="1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</row>
    <row r="49" ht="13.5" customHeight="1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</row>
    <row r="50" ht="13.5" customHeight="1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</row>
    <row r="51" ht="13.5" customHeight="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</row>
    <row r="52" ht="13.5" customHeight="1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</row>
    <row r="53" ht="13.5" customHeight="1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</row>
    <row r="54" ht="13.5" customHeight="1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</row>
    <row r="55" ht="13.5" customHeight="1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</row>
    <row r="56" ht="13.5" customHeight="1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</row>
    <row r="57" ht="13.5" customHeight="1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</row>
    <row r="58" ht="13.5" customHeight="1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</row>
    <row r="59" ht="13.5" customHeight="1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</row>
    <row r="60" ht="13.5" customHeight="1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</row>
    <row r="61" ht="13.5" customHeight="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</row>
    <row r="62" ht="13.5" customHeight="1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</row>
    <row r="63" ht="13.5" customHeight="1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</row>
    <row r="64" ht="13.5" customHeight="1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</row>
    <row r="65" ht="13.5" customHeight="1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</row>
    <row r="66" ht="13.5" customHeight="1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</row>
    <row r="67" ht="13.5" customHeight="1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</row>
    <row r="68" ht="13.5" customHeight="1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</row>
    <row r="69" ht="13.5" customHeight="1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</row>
    <row r="70" ht="13.5" customHeight="1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</row>
    <row r="71" ht="13.5" customHeight="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</row>
    <row r="72" ht="13.5" customHeight="1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</row>
    <row r="73" ht="13.5" customHeight="1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</row>
    <row r="74" ht="13.5" customHeight="1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</row>
    <row r="75" ht="13.5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</row>
    <row r="76" ht="13.5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</row>
    <row r="77" ht="13.5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</row>
    <row r="78" ht="13.5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</row>
    <row r="79" ht="13.5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</row>
    <row r="80" ht="13.5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</row>
    <row r="81" ht="13.5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</row>
    <row r="82" ht="13.5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</row>
    <row r="83" ht="13.5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</row>
    <row r="84" ht="13.5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</row>
    <row r="85" ht="13.5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</row>
    <row r="86" ht="13.5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</row>
    <row r="87" ht="13.5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</row>
    <row r="88" ht="13.5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</row>
    <row r="89" ht="13.5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</row>
    <row r="90" ht="13.5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</row>
    <row r="91" ht="13.5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</row>
    <row r="92" ht="13.5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</row>
    <row r="93" ht="13.5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</row>
    <row r="94" ht="13.5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</row>
    <row r="95" ht="13.5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</row>
    <row r="96" ht="13.5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</row>
    <row r="97" ht="13.5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</row>
    <row r="98" ht="13.5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</row>
    <row r="99" ht="13.5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</row>
    <row r="100" ht="13.5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</row>
    <row r="101" ht="13.5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</row>
    <row r="102" ht="13.5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</row>
    <row r="103" ht="13.5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</row>
    <row r="104" ht="13.5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</row>
    <row r="105" ht="13.5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</row>
    <row r="106" ht="13.5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</row>
    <row r="107" ht="13.5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</row>
    <row r="108" ht="13.5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</row>
    <row r="109" ht="13.5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</row>
    <row r="110" ht="13.5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</row>
    <row r="111" ht="13.5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</row>
    <row r="112" ht="13.5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</row>
    <row r="113" ht="13.5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</row>
    <row r="114" ht="13.5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</row>
    <row r="115" ht="13.5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</row>
    <row r="116" ht="13.5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</row>
    <row r="117" ht="13.5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</row>
    <row r="118" ht="13.5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</row>
    <row r="194" ht="13.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</row>
    <row r="195" ht="13.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</row>
    <row r="196" ht="13.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</row>
    <row r="197" ht="13.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</row>
    <row r="198" ht="13.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</row>
    <row r="199" ht="13.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</row>
    <row r="200" ht="13.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</row>
    <row r="201" ht="13.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I3">
      <formula1>"Booking,Deal,Used,`"</formula1>
    </dataValidation>
    <dataValidation type="list" allowBlank="1" sqref="I2 I4:I201">
      <formula1>"Booking,Deal,Used,On Progress"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4" width="16.0"/>
    <col customWidth="1" min="5" max="5" width="12.0"/>
    <col customWidth="1" min="6" max="6" width="16.0"/>
    <col customWidth="1" min="7" max="7" width="30.0"/>
    <col customWidth="1" min="8" max="8" width="12.0"/>
    <col customWidth="1" min="9" max="9" width="14.0"/>
    <col customWidth="1" min="10" max="10" width="30.0"/>
    <col customWidth="1" min="11" max="11" width="19.25"/>
    <col customWidth="1" min="12" max="12" width="19.0"/>
    <col customWidth="1" min="13" max="13" width="12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392</v>
      </c>
      <c r="E1" s="2" t="s">
        <v>393</v>
      </c>
      <c r="F1" s="2" t="s">
        <v>394</v>
      </c>
      <c r="G1" s="2" t="s">
        <v>395</v>
      </c>
      <c r="H1" s="2" t="s">
        <v>396</v>
      </c>
      <c r="I1" s="2" t="s">
        <v>50</v>
      </c>
      <c r="J1" s="2" t="s">
        <v>397</v>
      </c>
      <c r="K1" s="2" t="s">
        <v>15</v>
      </c>
      <c r="L1" s="2" t="s">
        <v>398</v>
      </c>
      <c r="M1" s="2" t="s">
        <v>3</v>
      </c>
      <c r="N1" s="2" t="s">
        <v>17</v>
      </c>
    </row>
    <row r="2" ht="13.5" customHeight="1">
      <c r="A2" s="5">
        <v>1.0</v>
      </c>
      <c r="B2" s="3"/>
      <c r="C2" s="5" t="s">
        <v>399</v>
      </c>
      <c r="D2" s="5" t="s">
        <v>350</v>
      </c>
      <c r="E2" s="5" t="s">
        <v>350</v>
      </c>
      <c r="F2" s="5" t="s">
        <v>400</v>
      </c>
      <c r="G2" s="5" t="s">
        <v>401</v>
      </c>
      <c r="H2" s="5" t="s">
        <v>402</v>
      </c>
      <c r="I2" s="5" t="s">
        <v>45</v>
      </c>
      <c r="J2" s="5" t="s">
        <v>403</v>
      </c>
      <c r="K2" s="7" t="s">
        <v>404</v>
      </c>
      <c r="L2" s="3"/>
      <c r="M2" s="5" t="s">
        <v>7</v>
      </c>
      <c r="N2" s="3"/>
    </row>
    <row r="3" ht="13.5" customHeight="1">
      <c r="A3" s="5">
        <v>2.0</v>
      </c>
      <c r="B3" s="3"/>
      <c r="C3" s="3"/>
      <c r="D3" s="3"/>
      <c r="E3" s="3"/>
      <c r="F3" s="3"/>
      <c r="G3" s="3"/>
      <c r="H3" s="3"/>
      <c r="I3" s="3"/>
      <c r="J3" s="3"/>
      <c r="K3" s="7" t="s">
        <v>404</v>
      </c>
      <c r="L3" s="3"/>
      <c r="M3" s="3"/>
      <c r="N3" s="3"/>
    </row>
    <row r="4" ht="13.5" customHeight="1">
      <c r="A4" s="5">
        <v>3.0</v>
      </c>
      <c r="B4" s="3"/>
      <c r="C4" s="3"/>
      <c r="D4" s="3"/>
      <c r="E4" s="3"/>
      <c r="F4" s="3"/>
      <c r="G4" s="3"/>
      <c r="H4" s="3"/>
      <c r="I4" s="3"/>
      <c r="J4" s="3"/>
      <c r="K4" s="7" t="s">
        <v>404</v>
      </c>
      <c r="L4" s="3"/>
      <c r="M4" s="3"/>
      <c r="N4" s="3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I2:I201">
      <formula1>"Low,Medium,High"</formula1>
    </dataValidation>
    <dataValidation type="list" allowBlank="1" sqref="M2:M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6.0"/>
    <col customWidth="1" min="4" max="5" width="12.0"/>
    <col customWidth="1" min="6" max="6" width="20.0"/>
    <col customWidth="1" min="7" max="7" width="19.0"/>
    <col customWidth="1" min="8" max="9" width="30.0"/>
    <col customWidth="1" min="10" max="22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62</v>
      </c>
      <c r="E1" s="6" t="s">
        <v>405</v>
      </c>
      <c r="F1" s="6" t="s">
        <v>406</v>
      </c>
      <c r="G1" s="6" t="s">
        <v>407</v>
      </c>
      <c r="H1" s="6" t="s">
        <v>15</v>
      </c>
      <c r="I1" s="2" t="s">
        <v>17</v>
      </c>
    </row>
    <row r="2" ht="13.5" customHeight="1">
      <c r="A2" s="5">
        <v>1.0</v>
      </c>
      <c r="B2" s="3"/>
      <c r="C2" s="5" t="s">
        <v>44</v>
      </c>
      <c r="D2" s="5" t="s">
        <v>63</v>
      </c>
      <c r="E2" s="5">
        <v>1.0</v>
      </c>
      <c r="F2" s="5">
        <v>3.0</v>
      </c>
      <c r="G2" s="55">
        <f t="shared" ref="G2:G4" si="1">sum(E2:F2)</f>
        <v>4</v>
      </c>
      <c r="H2" s="7" t="s">
        <v>408</v>
      </c>
      <c r="I2" s="3"/>
    </row>
    <row r="3" ht="13.5" customHeight="1">
      <c r="A3" s="5">
        <v>2.0</v>
      </c>
      <c r="B3" s="3"/>
      <c r="C3" s="5" t="s">
        <v>44</v>
      </c>
      <c r="D3" s="5" t="s">
        <v>64</v>
      </c>
      <c r="E3" s="5">
        <v>1.0</v>
      </c>
      <c r="F3" s="5">
        <v>4.0</v>
      </c>
      <c r="G3" s="55">
        <f t="shared" si="1"/>
        <v>5</v>
      </c>
      <c r="H3" s="7" t="s">
        <v>408</v>
      </c>
      <c r="I3" s="3"/>
    </row>
    <row r="4" ht="13.5" customHeight="1">
      <c r="A4" s="5">
        <v>3.0</v>
      </c>
      <c r="B4" s="3"/>
      <c r="C4" s="5" t="s">
        <v>44</v>
      </c>
      <c r="D4" s="5" t="s">
        <v>409</v>
      </c>
      <c r="E4" s="5">
        <v>0.0</v>
      </c>
      <c r="F4" s="5">
        <v>1.0</v>
      </c>
      <c r="G4" s="55">
        <f t="shared" si="1"/>
        <v>1</v>
      </c>
      <c r="H4" s="7" t="s">
        <v>408</v>
      </c>
      <c r="I4" s="3"/>
    </row>
    <row r="5" ht="13.5" customHeight="1">
      <c r="A5" s="3"/>
      <c r="B5" s="3"/>
      <c r="C5" s="56" t="s">
        <v>410</v>
      </c>
      <c r="D5" s="5" t="s">
        <v>63</v>
      </c>
      <c r="E5" s="5">
        <v>1.0</v>
      </c>
      <c r="F5" s="5">
        <v>2.0</v>
      </c>
      <c r="G5" s="5">
        <v>3.0</v>
      </c>
      <c r="H5" s="7" t="s">
        <v>230</v>
      </c>
      <c r="I5" s="3"/>
    </row>
    <row r="6" ht="13.5" customHeight="1">
      <c r="A6" s="3"/>
      <c r="B6" s="3"/>
      <c r="C6" s="56" t="s">
        <v>410</v>
      </c>
      <c r="D6" s="5" t="s">
        <v>64</v>
      </c>
      <c r="E6" s="5">
        <v>1.0</v>
      </c>
      <c r="F6" s="5">
        <v>2.0</v>
      </c>
      <c r="G6" s="5">
        <v>3.0</v>
      </c>
      <c r="H6" s="7" t="s">
        <v>230</v>
      </c>
      <c r="I6" s="3"/>
    </row>
    <row r="7" ht="13.5" customHeight="1">
      <c r="A7" s="3"/>
      <c r="B7" s="3"/>
      <c r="C7" s="57" t="s">
        <v>411</v>
      </c>
      <c r="D7" s="5" t="s">
        <v>63</v>
      </c>
      <c r="E7" s="5">
        <v>1.0</v>
      </c>
      <c r="F7" s="5">
        <v>3.0</v>
      </c>
      <c r="G7" s="5">
        <v>4.0</v>
      </c>
      <c r="H7" s="7" t="s">
        <v>230</v>
      </c>
      <c r="I7" s="3"/>
    </row>
    <row r="8" ht="13.5" customHeight="1">
      <c r="A8" s="3"/>
      <c r="B8" s="3"/>
      <c r="C8" s="57" t="s">
        <v>411</v>
      </c>
      <c r="D8" s="5" t="s">
        <v>64</v>
      </c>
      <c r="E8" s="5">
        <v>1.0</v>
      </c>
      <c r="F8" s="5">
        <v>2.0</v>
      </c>
      <c r="G8" s="5">
        <v>3.0</v>
      </c>
      <c r="H8" s="7" t="s">
        <v>230</v>
      </c>
      <c r="I8" s="3"/>
    </row>
    <row r="9" ht="13.5" customHeight="1">
      <c r="A9" s="3"/>
      <c r="B9" s="3"/>
      <c r="C9" s="58" t="s">
        <v>412</v>
      </c>
      <c r="D9" s="5" t="s">
        <v>63</v>
      </c>
      <c r="E9" s="5">
        <v>1.0</v>
      </c>
      <c r="F9" s="5">
        <v>3.0</v>
      </c>
      <c r="G9" s="5">
        <v>4.0</v>
      </c>
      <c r="H9" s="7" t="s">
        <v>230</v>
      </c>
      <c r="I9" s="3"/>
    </row>
    <row r="10" ht="13.5" customHeight="1">
      <c r="A10" s="3"/>
      <c r="B10" s="3"/>
      <c r="C10" s="58" t="s">
        <v>412</v>
      </c>
      <c r="D10" s="5" t="s">
        <v>64</v>
      </c>
      <c r="E10" s="5">
        <v>1.0</v>
      </c>
      <c r="F10" s="5">
        <v>2.0</v>
      </c>
      <c r="G10" s="5">
        <v>3.0</v>
      </c>
      <c r="H10" s="7" t="s">
        <v>230</v>
      </c>
      <c r="I10" s="3"/>
    </row>
    <row r="11" ht="13.5" customHeight="1">
      <c r="A11" s="3"/>
      <c r="B11" s="3"/>
      <c r="C11" s="56" t="s">
        <v>413</v>
      </c>
      <c r="D11" s="5" t="s">
        <v>63</v>
      </c>
      <c r="E11" s="5">
        <v>1.0</v>
      </c>
      <c r="F11" s="5">
        <v>3.0</v>
      </c>
      <c r="G11" s="5">
        <v>4.0</v>
      </c>
      <c r="H11" s="7" t="s">
        <v>230</v>
      </c>
      <c r="I11" s="3"/>
    </row>
    <row r="12" ht="13.5" customHeight="1">
      <c r="A12" s="3"/>
      <c r="B12" s="3"/>
      <c r="C12" s="56" t="s">
        <v>413</v>
      </c>
      <c r="D12" s="5" t="s">
        <v>64</v>
      </c>
      <c r="E12" s="5">
        <v>0.0</v>
      </c>
      <c r="F12" s="5">
        <v>2.0</v>
      </c>
      <c r="G12" s="5">
        <v>2.0</v>
      </c>
      <c r="H12" s="7" t="s">
        <v>230</v>
      </c>
      <c r="I12" s="3"/>
    </row>
    <row r="13" ht="13.5" customHeight="1">
      <c r="A13" s="3"/>
      <c r="B13" s="3"/>
      <c r="C13" s="57" t="s">
        <v>383</v>
      </c>
      <c r="D13" s="5" t="s">
        <v>63</v>
      </c>
      <c r="E13" s="5">
        <v>1.0</v>
      </c>
      <c r="F13" s="5">
        <v>7.0</v>
      </c>
      <c r="G13" s="5">
        <v>8.0</v>
      </c>
      <c r="H13" s="7" t="s">
        <v>230</v>
      </c>
      <c r="I13" s="3"/>
    </row>
    <row r="14" ht="13.5" customHeight="1">
      <c r="A14" s="3"/>
      <c r="B14" s="3"/>
      <c r="C14" s="57" t="s">
        <v>383</v>
      </c>
      <c r="D14" s="5" t="s">
        <v>64</v>
      </c>
      <c r="E14" s="5">
        <v>1.0</v>
      </c>
      <c r="F14" s="5">
        <v>5.0</v>
      </c>
      <c r="G14" s="5">
        <v>6.0</v>
      </c>
      <c r="H14" s="7" t="s">
        <v>230</v>
      </c>
      <c r="I14" s="3"/>
    </row>
    <row r="15" ht="13.5" customHeight="1">
      <c r="A15" s="3"/>
      <c r="B15" s="3"/>
      <c r="C15" s="57" t="s">
        <v>383</v>
      </c>
      <c r="D15" s="5" t="s">
        <v>409</v>
      </c>
      <c r="E15" s="5">
        <v>0.0</v>
      </c>
      <c r="F15" s="5">
        <v>2.0</v>
      </c>
      <c r="G15" s="5">
        <v>2.0</v>
      </c>
      <c r="H15" s="7" t="s">
        <v>230</v>
      </c>
      <c r="I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</row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</sheetData>
  <dataValidations>
    <dataValidation type="list" allowBlank="1" sqref="D2:D200">
      <formula1>"Security,Cleaning,ME"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5"/>
    <col customWidth="1" min="2" max="2" width="12.0"/>
    <col customWidth="1" min="3" max="3" width="23.88"/>
    <col customWidth="1" min="4" max="4" width="59.63"/>
    <col customWidth="1" min="5" max="5" width="19.0"/>
    <col customWidth="1" min="6" max="6" width="17.0"/>
    <col customWidth="1" min="7" max="7" width="14.0"/>
    <col customWidth="1" min="8" max="9" width="12.0"/>
    <col customWidth="1" min="10" max="10" width="15.13"/>
    <col customWidth="1" min="11" max="11" width="17.0"/>
    <col customWidth="1" min="12" max="12" width="30.0"/>
    <col customWidth="1" min="13" max="25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414</v>
      </c>
      <c r="E1" s="6" t="s">
        <v>415</v>
      </c>
      <c r="F1" s="6" t="s">
        <v>310</v>
      </c>
      <c r="G1" s="6" t="s">
        <v>416</v>
      </c>
      <c r="H1" s="6" t="s">
        <v>417</v>
      </c>
      <c r="I1" s="6" t="s">
        <v>418</v>
      </c>
      <c r="J1" s="2" t="s">
        <v>15</v>
      </c>
      <c r="K1" s="2" t="s">
        <v>221</v>
      </c>
      <c r="L1" s="2" t="s">
        <v>17</v>
      </c>
    </row>
    <row r="2" ht="13.5" customHeight="1">
      <c r="A2" s="5">
        <v>1.0</v>
      </c>
      <c r="B2" s="3"/>
      <c r="C2" s="5" t="s">
        <v>44</v>
      </c>
      <c r="D2" s="5" t="s">
        <v>419</v>
      </c>
      <c r="E2" s="5">
        <v>9.0</v>
      </c>
      <c r="F2" s="5">
        <v>4.0</v>
      </c>
      <c r="G2" s="5">
        <v>4.0</v>
      </c>
      <c r="H2" s="5">
        <v>0.0</v>
      </c>
      <c r="I2" s="5">
        <v>11.0</v>
      </c>
      <c r="J2" s="5" t="s">
        <v>146</v>
      </c>
      <c r="K2" s="8"/>
      <c r="L2" s="3"/>
    </row>
    <row r="3" ht="13.5" customHeight="1">
      <c r="A3" s="5">
        <v>2.0</v>
      </c>
      <c r="B3" s="3"/>
      <c r="C3" s="5" t="s">
        <v>44</v>
      </c>
      <c r="D3" s="5" t="s">
        <v>420</v>
      </c>
      <c r="E3" s="59">
        <v>46060.0</v>
      </c>
      <c r="F3" s="5">
        <v>3.0</v>
      </c>
      <c r="G3" s="5">
        <v>3.0</v>
      </c>
      <c r="H3" s="5">
        <v>0.0</v>
      </c>
      <c r="I3" s="5">
        <v>1.0</v>
      </c>
      <c r="J3" s="5" t="s">
        <v>146</v>
      </c>
      <c r="K3" s="8"/>
      <c r="L3" s="3"/>
    </row>
    <row r="4" ht="13.5" customHeight="1">
      <c r="A4" s="5">
        <v>3.0</v>
      </c>
      <c r="B4" s="3"/>
      <c r="C4" s="5" t="s">
        <v>44</v>
      </c>
      <c r="D4" s="5" t="s">
        <v>421</v>
      </c>
      <c r="E4" s="59">
        <v>46240.0</v>
      </c>
      <c r="F4" s="5">
        <v>3.0</v>
      </c>
      <c r="G4" s="5">
        <v>3.0</v>
      </c>
      <c r="H4" s="5">
        <v>0.0</v>
      </c>
      <c r="I4" s="5">
        <v>6.0</v>
      </c>
      <c r="J4" s="5" t="s">
        <v>146</v>
      </c>
      <c r="K4" s="8"/>
      <c r="L4" s="3"/>
    </row>
    <row r="5" ht="13.5" customHeight="1">
      <c r="A5" s="3"/>
      <c r="B5" s="3"/>
      <c r="C5" s="5" t="s">
        <v>44</v>
      </c>
      <c r="D5" s="5" t="s">
        <v>422</v>
      </c>
      <c r="E5" s="5">
        <v>438.0</v>
      </c>
      <c r="F5" s="5">
        <v>171.0</v>
      </c>
      <c r="G5" s="5">
        <v>171.0</v>
      </c>
      <c r="H5" s="5">
        <v>0.0</v>
      </c>
      <c r="I5" s="5">
        <v>157.0</v>
      </c>
      <c r="J5" s="3"/>
      <c r="K5" s="8"/>
      <c r="L5" s="3"/>
    </row>
    <row r="6" ht="13.5" customHeight="1">
      <c r="A6" s="3"/>
      <c r="B6" s="3"/>
      <c r="C6" s="5" t="s">
        <v>44</v>
      </c>
      <c r="D6" s="5" t="s">
        <v>423</v>
      </c>
      <c r="E6" s="5">
        <v>122.0</v>
      </c>
      <c r="F6" s="5">
        <v>48.0</v>
      </c>
      <c r="G6" s="5">
        <v>48.0</v>
      </c>
      <c r="H6" s="5">
        <v>0.0</v>
      </c>
      <c r="I6" s="5">
        <v>52.0</v>
      </c>
      <c r="J6" s="3"/>
      <c r="K6" s="8"/>
      <c r="L6" s="3"/>
    </row>
    <row r="7" ht="13.5" customHeight="1">
      <c r="A7" s="3"/>
      <c r="B7" s="3"/>
      <c r="C7" s="5" t="s">
        <v>44</v>
      </c>
      <c r="D7" s="5" t="s">
        <v>424</v>
      </c>
      <c r="E7" s="5">
        <v>77.0</v>
      </c>
      <c r="F7" s="5">
        <v>28.0</v>
      </c>
      <c r="G7" s="5">
        <v>0.0</v>
      </c>
      <c r="H7" s="5">
        <v>28.0</v>
      </c>
      <c r="I7" s="3"/>
      <c r="J7" s="3"/>
      <c r="K7" s="8"/>
      <c r="L7" s="3"/>
    </row>
    <row r="8" ht="13.5" customHeight="1">
      <c r="A8" s="3"/>
      <c r="B8" s="3"/>
      <c r="C8" s="5" t="s">
        <v>279</v>
      </c>
      <c r="D8" s="5" t="s">
        <v>425</v>
      </c>
      <c r="E8" s="5">
        <v>25.0</v>
      </c>
      <c r="F8" s="5">
        <v>0.0</v>
      </c>
      <c r="G8" s="5">
        <v>0.0</v>
      </c>
      <c r="H8" s="3"/>
      <c r="I8" s="5">
        <v>5.0</v>
      </c>
      <c r="J8" s="3"/>
      <c r="K8" s="8"/>
      <c r="L8" s="3"/>
    </row>
    <row r="9" ht="13.5" customHeight="1">
      <c r="A9" s="3"/>
      <c r="B9" s="3"/>
      <c r="C9" s="5" t="s">
        <v>279</v>
      </c>
      <c r="D9" s="5" t="s">
        <v>426</v>
      </c>
      <c r="E9" s="5">
        <v>15.0</v>
      </c>
      <c r="F9" s="5">
        <v>5.0</v>
      </c>
      <c r="G9" s="5">
        <v>5.0</v>
      </c>
      <c r="H9" s="3"/>
      <c r="I9" s="5">
        <v>11.0</v>
      </c>
      <c r="J9" s="3"/>
      <c r="K9" s="8"/>
      <c r="L9" s="3"/>
    </row>
    <row r="10" ht="13.5" customHeight="1">
      <c r="A10" s="3"/>
      <c r="B10" s="3"/>
      <c r="C10" s="5" t="s">
        <v>279</v>
      </c>
      <c r="D10" s="5" t="s">
        <v>427</v>
      </c>
      <c r="E10" s="5">
        <v>38.0</v>
      </c>
      <c r="F10" s="5">
        <v>11.0</v>
      </c>
      <c r="G10" s="5">
        <v>11.0</v>
      </c>
      <c r="H10" s="3"/>
      <c r="I10" s="5">
        <v>36.0</v>
      </c>
      <c r="J10" s="3"/>
      <c r="K10" s="8"/>
      <c r="L10" s="3"/>
    </row>
    <row r="11" ht="13.5" customHeight="1">
      <c r="A11" s="3"/>
      <c r="B11" s="3"/>
      <c r="C11" s="5" t="s">
        <v>279</v>
      </c>
      <c r="D11" s="5" t="s">
        <v>428</v>
      </c>
      <c r="E11" s="5">
        <v>57.0</v>
      </c>
      <c r="F11" s="5">
        <v>16.0</v>
      </c>
      <c r="G11" s="5">
        <v>16.0</v>
      </c>
      <c r="H11" s="3"/>
      <c r="I11" s="5">
        <v>10.0</v>
      </c>
      <c r="J11" s="3"/>
      <c r="K11" s="8"/>
      <c r="L11" s="3"/>
    </row>
    <row r="12" ht="13.5" customHeight="1">
      <c r="A12" s="3"/>
      <c r="B12" s="3"/>
      <c r="C12" s="5" t="s">
        <v>279</v>
      </c>
      <c r="D12" s="5" t="s">
        <v>429</v>
      </c>
      <c r="E12" s="5">
        <v>27.0</v>
      </c>
      <c r="F12" s="5">
        <v>11.0</v>
      </c>
      <c r="G12" s="5">
        <v>11.0</v>
      </c>
      <c r="H12" s="3"/>
      <c r="I12" s="5">
        <v>11.0</v>
      </c>
      <c r="J12" s="3"/>
      <c r="K12" s="8"/>
      <c r="L12" s="3"/>
    </row>
    <row r="13" ht="13.5" customHeight="1">
      <c r="A13" s="3"/>
      <c r="B13" s="3"/>
      <c r="C13" s="5" t="s">
        <v>279</v>
      </c>
      <c r="D13" s="5" t="s">
        <v>430</v>
      </c>
      <c r="E13" s="5">
        <v>34.0</v>
      </c>
      <c r="F13" s="5">
        <v>4.0</v>
      </c>
      <c r="G13" s="5">
        <v>4.0</v>
      </c>
      <c r="H13" s="3"/>
      <c r="I13" s="5">
        <v>6.0</v>
      </c>
      <c r="J13" s="3"/>
      <c r="K13" s="8"/>
      <c r="L13" s="3"/>
    </row>
    <row r="14" ht="13.5" customHeight="1">
      <c r="A14" s="3"/>
      <c r="B14" s="3"/>
      <c r="C14" s="5" t="s">
        <v>279</v>
      </c>
      <c r="D14" s="5" t="s">
        <v>431</v>
      </c>
      <c r="E14" s="5">
        <v>111.0</v>
      </c>
      <c r="F14" s="5">
        <v>63.0</v>
      </c>
      <c r="G14" s="5">
        <v>63.0</v>
      </c>
      <c r="H14" s="3"/>
      <c r="I14" s="5">
        <v>60.0</v>
      </c>
      <c r="J14" s="3"/>
      <c r="K14" s="8"/>
      <c r="L14" s="3"/>
    </row>
    <row r="15" ht="13.5" customHeight="1">
      <c r="A15" s="3"/>
      <c r="B15" s="3"/>
      <c r="C15" s="5" t="s">
        <v>279</v>
      </c>
      <c r="D15" s="5" t="s">
        <v>432</v>
      </c>
      <c r="E15" s="5">
        <v>32.0</v>
      </c>
      <c r="F15" s="5">
        <v>18.0</v>
      </c>
      <c r="G15" s="5">
        <v>18.0</v>
      </c>
      <c r="H15" s="3"/>
      <c r="I15" s="5">
        <v>17.0</v>
      </c>
      <c r="J15" s="3"/>
      <c r="K15" s="8"/>
      <c r="L15" s="3"/>
    </row>
    <row r="16" ht="13.5" customHeight="1">
      <c r="A16" s="3"/>
      <c r="B16" s="3"/>
      <c r="C16" s="5" t="s">
        <v>279</v>
      </c>
      <c r="D16" s="5" t="s">
        <v>433</v>
      </c>
      <c r="E16" s="5">
        <v>48.0</v>
      </c>
      <c r="F16" s="5">
        <v>23.0</v>
      </c>
      <c r="G16" s="5">
        <v>23.0</v>
      </c>
      <c r="H16" s="3"/>
      <c r="I16" s="5">
        <v>23.0</v>
      </c>
      <c r="J16" s="3"/>
      <c r="K16" s="8"/>
      <c r="L16" s="3"/>
    </row>
    <row r="17" ht="13.5" customHeight="1">
      <c r="A17" s="3"/>
      <c r="B17" s="3"/>
      <c r="C17" s="5" t="s">
        <v>279</v>
      </c>
      <c r="D17" s="5" t="s">
        <v>434</v>
      </c>
      <c r="E17" s="5">
        <v>90.0</v>
      </c>
      <c r="F17" s="5">
        <v>18.0</v>
      </c>
      <c r="G17" s="5">
        <v>18.0</v>
      </c>
      <c r="H17" s="3"/>
      <c r="I17" s="5">
        <v>46.0</v>
      </c>
      <c r="J17" s="3"/>
      <c r="K17" s="8"/>
      <c r="L17" s="3"/>
    </row>
    <row r="18" ht="13.5" customHeight="1">
      <c r="A18" s="3"/>
      <c r="B18" s="3"/>
      <c r="C18" s="5" t="s">
        <v>279</v>
      </c>
      <c r="D18" s="5" t="s">
        <v>435</v>
      </c>
      <c r="E18" s="5">
        <v>127.0</v>
      </c>
      <c r="F18" s="5">
        <v>34.0</v>
      </c>
      <c r="G18" s="5">
        <v>34.0</v>
      </c>
      <c r="H18" s="3"/>
      <c r="I18" s="5">
        <v>56.0</v>
      </c>
      <c r="J18" s="3"/>
      <c r="K18" s="8"/>
      <c r="L18" s="3"/>
    </row>
    <row r="19" ht="13.5" customHeight="1">
      <c r="A19" s="3"/>
      <c r="B19" s="3"/>
      <c r="C19" s="5" t="s">
        <v>279</v>
      </c>
      <c r="D19" s="5" t="s">
        <v>436</v>
      </c>
      <c r="E19" s="5">
        <v>97.0</v>
      </c>
      <c r="F19" s="5">
        <v>6.0</v>
      </c>
      <c r="G19" s="5">
        <v>6.0</v>
      </c>
      <c r="H19" s="3"/>
      <c r="I19" s="5">
        <v>5.0</v>
      </c>
      <c r="J19" s="3"/>
      <c r="K19" s="8"/>
      <c r="L19" s="3"/>
    </row>
    <row r="20" ht="13.5" customHeight="1">
      <c r="A20" s="3"/>
      <c r="B20" s="3"/>
      <c r="C20" s="5" t="s">
        <v>279</v>
      </c>
      <c r="D20" s="5" t="s">
        <v>437</v>
      </c>
      <c r="E20" s="5">
        <v>18.0</v>
      </c>
      <c r="F20" s="5">
        <v>4.0</v>
      </c>
      <c r="G20" s="5">
        <v>4.0</v>
      </c>
      <c r="H20" s="3"/>
      <c r="I20" s="5">
        <v>2.0</v>
      </c>
      <c r="J20" s="3"/>
      <c r="K20" s="8"/>
      <c r="L20" s="3"/>
    </row>
    <row r="21" ht="13.5" customHeight="1">
      <c r="A21" s="3"/>
      <c r="B21" s="3"/>
      <c r="C21" s="5" t="s">
        <v>279</v>
      </c>
      <c r="D21" s="5" t="s">
        <v>438</v>
      </c>
      <c r="E21" s="5">
        <v>11.0</v>
      </c>
      <c r="F21" s="5">
        <v>4.0</v>
      </c>
      <c r="G21" s="5">
        <v>4.0</v>
      </c>
      <c r="H21" s="3"/>
      <c r="I21" s="5">
        <v>4.0</v>
      </c>
      <c r="J21" s="3"/>
      <c r="K21" s="8"/>
      <c r="L21" s="3"/>
    </row>
    <row r="22" ht="13.5" customHeight="1">
      <c r="A22" s="3"/>
      <c r="B22" s="3"/>
      <c r="C22" s="5" t="s">
        <v>279</v>
      </c>
      <c r="D22" s="5" t="s">
        <v>439</v>
      </c>
      <c r="E22" s="5">
        <v>11.0</v>
      </c>
      <c r="F22" s="5">
        <v>4.0</v>
      </c>
      <c r="G22" s="5">
        <v>4.0</v>
      </c>
      <c r="H22" s="3"/>
      <c r="I22" s="5">
        <v>5.0</v>
      </c>
      <c r="J22" s="3"/>
      <c r="K22" s="8"/>
      <c r="L22" s="3"/>
    </row>
    <row r="23" ht="13.5" customHeight="1">
      <c r="A23" s="3"/>
      <c r="B23" s="3"/>
      <c r="C23" s="5" t="s">
        <v>279</v>
      </c>
      <c r="D23" s="5" t="s">
        <v>440</v>
      </c>
      <c r="E23" s="5">
        <v>25.0</v>
      </c>
      <c r="F23" s="5">
        <v>11.0</v>
      </c>
      <c r="G23" s="5">
        <v>11.0</v>
      </c>
      <c r="H23" s="3"/>
      <c r="I23" s="5">
        <v>7.0</v>
      </c>
      <c r="J23" s="3"/>
      <c r="K23" s="8"/>
      <c r="L23" s="3"/>
    </row>
    <row r="24" ht="13.5" customHeight="1">
      <c r="A24" s="3"/>
      <c r="B24" s="3"/>
      <c r="C24" s="5" t="s">
        <v>279</v>
      </c>
      <c r="D24" s="5" t="s">
        <v>441</v>
      </c>
      <c r="E24" s="5">
        <v>27.0</v>
      </c>
      <c r="F24" s="5">
        <v>6.0</v>
      </c>
      <c r="G24" s="5">
        <v>6.0</v>
      </c>
      <c r="H24" s="3"/>
      <c r="I24" s="5">
        <v>21.0</v>
      </c>
      <c r="J24" s="3"/>
      <c r="K24" s="8"/>
      <c r="L24" s="3"/>
    </row>
    <row r="25" ht="13.5" customHeight="1">
      <c r="A25" s="3"/>
      <c r="B25" s="3"/>
      <c r="C25" s="5" t="s">
        <v>279</v>
      </c>
      <c r="D25" s="5" t="s">
        <v>442</v>
      </c>
      <c r="E25" s="5">
        <v>19.0</v>
      </c>
      <c r="F25" s="5">
        <v>6.0</v>
      </c>
      <c r="G25" s="5">
        <v>6.0</v>
      </c>
      <c r="H25" s="3"/>
      <c r="I25" s="5">
        <v>7.0</v>
      </c>
      <c r="J25" s="3"/>
      <c r="K25" s="8"/>
      <c r="L25" s="3"/>
    </row>
    <row r="26" ht="13.5" customHeight="1">
      <c r="A26" s="3"/>
      <c r="B26" s="3"/>
      <c r="C26" s="5" t="s">
        <v>315</v>
      </c>
      <c r="D26" s="5" t="s">
        <v>443</v>
      </c>
      <c r="E26" s="5">
        <v>66.0</v>
      </c>
      <c r="F26" s="5">
        <v>33.0</v>
      </c>
      <c r="G26" s="5">
        <v>33.0</v>
      </c>
      <c r="H26" s="3"/>
      <c r="I26" s="5">
        <v>23.0</v>
      </c>
      <c r="J26" s="3"/>
      <c r="K26" s="8"/>
      <c r="L26" s="3"/>
    </row>
    <row r="27" ht="13.5" customHeight="1">
      <c r="A27" s="3"/>
      <c r="B27" s="3"/>
      <c r="C27" s="5" t="s">
        <v>315</v>
      </c>
      <c r="D27" s="5" t="s">
        <v>444</v>
      </c>
      <c r="E27" s="5">
        <v>9.0</v>
      </c>
      <c r="F27" s="5">
        <v>2.0</v>
      </c>
      <c r="G27" s="5">
        <v>2.0</v>
      </c>
      <c r="H27" s="3"/>
      <c r="I27" s="5">
        <v>4.0</v>
      </c>
      <c r="J27" s="3"/>
      <c r="K27" s="8"/>
      <c r="L27" s="3"/>
    </row>
    <row r="28" ht="13.5" customHeight="1">
      <c r="A28" s="3"/>
      <c r="B28" s="3"/>
      <c r="C28" s="5" t="s">
        <v>315</v>
      </c>
      <c r="D28" s="5" t="s">
        <v>445</v>
      </c>
      <c r="E28" s="5">
        <v>10.0</v>
      </c>
      <c r="F28" s="5">
        <v>4.0</v>
      </c>
      <c r="G28" s="5">
        <v>4.0</v>
      </c>
      <c r="H28" s="3"/>
      <c r="I28" s="5">
        <v>8.0</v>
      </c>
      <c r="J28" s="3"/>
      <c r="K28" s="8"/>
      <c r="L28" s="3"/>
    </row>
    <row r="29" ht="13.5" customHeight="1">
      <c r="A29" s="3"/>
      <c r="B29" s="3"/>
      <c r="C29" s="5" t="s">
        <v>315</v>
      </c>
      <c r="D29" s="5" t="s">
        <v>446</v>
      </c>
      <c r="E29" s="5">
        <v>14.0</v>
      </c>
      <c r="F29" s="5">
        <v>6.0</v>
      </c>
      <c r="G29" s="5">
        <v>6.0</v>
      </c>
      <c r="H29" s="3"/>
      <c r="I29" s="5">
        <v>4.0</v>
      </c>
      <c r="J29" s="3"/>
      <c r="K29" s="8"/>
      <c r="L29" s="3"/>
    </row>
    <row r="30" ht="13.5" customHeight="1">
      <c r="A30" s="3"/>
      <c r="B30" s="3"/>
      <c r="C30" s="5" t="s">
        <v>315</v>
      </c>
      <c r="D30" s="5" t="s">
        <v>447</v>
      </c>
      <c r="E30" s="5">
        <v>63.0</v>
      </c>
      <c r="F30" s="5">
        <v>15.0</v>
      </c>
      <c r="G30" s="5">
        <v>15.0</v>
      </c>
      <c r="H30" s="3"/>
      <c r="I30" s="5">
        <v>18.0</v>
      </c>
      <c r="J30" s="3"/>
      <c r="K30" s="8"/>
      <c r="L30" s="3"/>
    </row>
    <row r="31" ht="13.5" customHeight="1">
      <c r="A31" s="3"/>
      <c r="B31" s="3"/>
      <c r="C31" s="5" t="s">
        <v>315</v>
      </c>
      <c r="D31" s="5" t="s">
        <v>448</v>
      </c>
      <c r="E31" s="5">
        <v>10.0</v>
      </c>
      <c r="F31" s="5">
        <v>3.0</v>
      </c>
      <c r="G31" s="5">
        <v>3.0</v>
      </c>
      <c r="H31" s="3"/>
      <c r="I31" s="5">
        <v>1.0</v>
      </c>
      <c r="J31" s="3"/>
      <c r="K31" s="8"/>
      <c r="L31" s="3"/>
    </row>
    <row r="32" ht="13.5" customHeight="1">
      <c r="A32" s="3"/>
      <c r="B32" s="3"/>
      <c r="C32" s="5" t="s">
        <v>315</v>
      </c>
      <c r="D32" s="5" t="s">
        <v>449</v>
      </c>
      <c r="E32" s="5">
        <v>22.0</v>
      </c>
      <c r="F32" s="5">
        <v>4.0</v>
      </c>
      <c r="G32" s="5">
        <v>4.0</v>
      </c>
      <c r="H32" s="3"/>
      <c r="I32" s="5">
        <v>5.0</v>
      </c>
      <c r="J32" s="3"/>
      <c r="K32" s="8"/>
      <c r="L32" s="3"/>
    </row>
    <row r="33" ht="13.5" customHeight="1">
      <c r="A33" s="3"/>
      <c r="B33" s="3"/>
      <c r="C33" s="5" t="s">
        <v>315</v>
      </c>
      <c r="D33" s="5" t="s">
        <v>450</v>
      </c>
      <c r="E33" s="5">
        <v>50.0</v>
      </c>
      <c r="F33" s="5">
        <v>13.0</v>
      </c>
      <c r="G33" s="5">
        <v>13.0</v>
      </c>
      <c r="H33" s="3"/>
      <c r="I33" s="5">
        <v>10.0</v>
      </c>
      <c r="J33" s="3"/>
      <c r="K33" s="8"/>
      <c r="L33" s="3"/>
    </row>
    <row r="34" ht="13.5" customHeight="1">
      <c r="A34" s="3"/>
      <c r="B34" s="3"/>
      <c r="C34" s="5" t="s">
        <v>315</v>
      </c>
      <c r="D34" s="5" t="s">
        <v>451</v>
      </c>
      <c r="E34" s="5">
        <v>25.0</v>
      </c>
      <c r="F34" s="5">
        <v>8.0</v>
      </c>
      <c r="G34" s="5">
        <v>8.0</v>
      </c>
      <c r="H34" s="3"/>
      <c r="I34" s="5">
        <v>12.0</v>
      </c>
      <c r="J34" s="3"/>
      <c r="K34" s="8"/>
      <c r="L34" s="3"/>
    </row>
    <row r="35" ht="13.5" customHeight="1">
      <c r="A35" s="3"/>
      <c r="B35" s="3"/>
      <c r="C35" s="5" t="s">
        <v>315</v>
      </c>
      <c r="D35" s="5" t="s">
        <v>452</v>
      </c>
      <c r="E35" s="5">
        <v>14.0</v>
      </c>
      <c r="F35" s="5">
        <v>4.0</v>
      </c>
      <c r="G35" s="5">
        <v>4.0</v>
      </c>
      <c r="H35" s="3"/>
      <c r="I35" s="5">
        <v>7.0</v>
      </c>
      <c r="J35" s="3"/>
      <c r="K35" s="8"/>
      <c r="L35" s="3"/>
    </row>
    <row r="36" ht="13.5" customHeight="1">
      <c r="A36" s="3"/>
      <c r="B36" s="3"/>
      <c r="C36" s="5" t="s">
        <v>315</v>
      </c>
      <c r="D36" s="5" t="s">
        <v>453</v>
      </c>
      <c r="E36" s="5">
        <v>56.0</v>
      </c>
      <c r="F36" s="5">
        <v>6.0</v>
      </c>
      <c r="G36" s="5">
        <v>6.0</v>
      </c>
      <c r="H36" s="3"/>
      <c r="I36" s="5">
        <v>20.0</v>
      </c>
      <c r="J36" s="3"/>
      <c r="K36" s="8"/>
      <c r="L36" s="3"/>
    </row>
    <row r="37" ht="13.5" customHeight="1">
      <c r="A37" s="3"/>
      <c r="B37" s="3"/>
      <c r="C37" s="5" t="s">
        <v>315</v>
      </c>
      <c r="D37" s="5" t="s">
        <v>454</v>
      </c>
      <c r="E37" s="3"/>
      <c r="F37" s="5">
        <v>3.0</v>
      </c>
      <c r="G37" s="5">
        <v>3.0</v>
      </c>
      <c r="H37" s="3"/>
      <c r="I37" s="5">
        <v>5.0</v>
      </c>
      <c r="J37" s="3"/>
      <c r="K37" s="8"/>
      <c r="L37" s="3"/>
    </row>
    <row r="38" ht="13.5" customHeight="1">
      <c r="A38" s="3"/>
      <c r="B38" s="3"/>
      <c r="C38" s="5" t="s">
        <v>315</v>
      </c>
      <c r="D38" s="5" t="s">
        <v>455</v>
      </c>
      <c r="E38" s="5">
        <v>18.0</v>
      </c>
      <c r="F38" s="5">
        <v>6.0</v>
      </c>
      <c r="G38" s="5">
        <v>6.0</v>
      </c>
      <c r="H38" s="3"/>
      <c r="I38" s="5">
        <v>8.0</v>
      </c>
      <c r="J38" s="3"/>
      <c r="K38" s="8"/>
      <c r="L38" s="3"/>
    </row>
    <row r="39" ht="13.5" customHeight="1">
      <c r="A39" s="3"/>
      <c r="B39" s="3"/>
      <c r="C39" s="5" t="s">
        <v>315</v>
      </c>
      <c r="D39" s="5" t="s">
        <v>456</v>
      </c>
      <c r="E39" s="5">
        <v>121.0</v>
      </c>
      <c r="F39" s="5">
        <v>40.0</v>
      </c>
      <c r="G39" s="5">
        <v>40.0</v>
      </c>
      <c r="H39" s="3"/>
      <c r="I39" s="5">
        <v>24.0</v>
      </c>
      <c r="J39" s="3"/>
      <c r="K39" s="8"/>
      <c r="L39" s="3"/>
    </row>
    <row r="40" ht="13.5" customHeight="1">
      <c r="A40" s="3"/>
      <c r="B40" s="3"/>
      <c r="C40" s="5" t="s">
        <v>315</v>
      </c>
      <c r="D40" s="5" t="s">
        <v>457</v>
      </c>
      <c r="E40" s="5">
        <v>51.0</v>
      </c>
      <c r="F40" s="5">
        <v>29.0</v>
      </c>
      <c r="G40" s="5">
        <v>29.0</v>
      </c>
      <c r="H40" s="3"/>
      <c r="I40" s="5">
        <v>21.0</v>
      </c>
      <c r="J40" s="3"/>
      <c r="K40" s="8"/>
      <c r="L40" s="3"/>
    </row>
    <row r="41" ht="13.5" customHeight="1">
      <c r="A41" s="3"/>
      <c r="B41" s="3"/>
      <c r="C41" s="5" t="s">
        <v>315</v>
      </c>
      <c r="D41" s="5" t="s">
        <v>458</v>
      </c>
      <c r="E41" s="5">
        <v>25.0</v>
      </c>
      <c r="F41" s="5">
        <v>5.0</v>
      </c>
      <c r="G41" s="5">
        <v>5.0</v>
      </c>
      <c r="H41" s="3"/>
      <c r="I41" s="5">
        <v>6.0</v>
      </c>
      <c r="J41" s="3"/>
      <c r="K41" s="8"/>
      <c r="L41" s="3"/>
    </row>
    <row r="42" ht="13.5" customHeight="1">
      <c r="A42" s="3"/>
      <c r="B42" s="3"/>
      <c r="C42" s="5" t="s">
        <v>315</v>
      </c>
      <c r="D42" s="5" t="s">
        <v>459</v>
      </c>
      <c r="E42" s="5">
        <v>15.0</v>
      </c>
      <c r="F42" s="5">
        <v>4.0</v>
      </c>
      <c r="G42" s="5">
        <v>4.0</v>
      </c>
      <c r="H42" s="3"/>
      <c r="I42" s="5">
        <v>5.0</v>
      </c>
      <c r="J42" s="3"/>
      <c r="K42" s="8"/>
      <c r="L42" s="3"/>
    </row>
    <row r="43" ht="13.5" customHeight="1">
      <c r="A43" s="3"/>
      <c r="B43" s="3"/>
      <c r="C43" s="5" t="s">
        <v>315</v>
      </c>
      <c r="D43" s="5" t="s">
        <v>460</v>
      </c>
      <c r="E43" s="5">
        <v>11.0</v>
      </c>
      <c r="F43" s="5">
        <v>7.0</v>
      </c>
      <c r="G43" s="5">
        <v>7.0</v>
      </c>
      <c r="H43" s="3"/>
      <c r="I43" s="5">
        <v>11.0</v>
      </c>
      <c r="J43" s="3"/>
      <c r="K43" s="8"/>
      <c r="L43" s="3"/>
    </row>
    <row r="44" ht="13.5" customHeight="1">
      <c r="A44" s="3"/>
      <c r="B44" s="3"/>
      <c r="C44" s="5" t="s">
        <v>315</v>
      </c>
      <c r="D44" s="5" t="s">
        <v>461</v>
      </c>
      <c r="E44" s="5">
        <v>88.0</v>
      </c>
      <c r="F44" s="5">
        <v>20.0</v>
      </c>
      <c r="G44" s="5">
        <v>20.0</v>
      </c>
      <c r="H44" s="3"/>
      <c r="I44" s="5">
        <v>20.0</v>
      </c>
      <c r="J44" s="3"/>
      <c r="K44" s="8"/>
      <c r="L44" s="3"/>
    </row>
    <row r="45" ht="13.5" customHeight="1">
      <c r="A45" s="3"/>
      <c r="B45" s="3"/>
      <c r="C45" s="5" t="s">
        <v>315</v>
      </c>
      <c r="D45" s="5" t="s">
        <v>462</v>
      </c>
      <c r="E45" s="5">
        <v>8.0</v>
      </c>
      <c r="F45" s="5">
        <v>2.0</v>
      </c>
      <c r="G45" s="5">
        <v>2.0</v>
      </c>
      <c r="H45" s="3"/>
      <c r="I45" s="5">
        <v>6.0</v>
      </c>
      <c r="J45" s="3"/>
      <c r="K45" s="8"/>
      <c r="L45" s="3"/>
    </row>
    <row r="46" ht="13.5" customHeight="1">
      <c r="A46" s="3"/>
      <c r="B46" s="3"/>
      <c r="C46" s="5" t="s">
        <v>315</v>
      </c>
      <c r="D46" s="5" t="s">
        <v>463</v>
      </c>
      <c r="E46" s="5">
        <v>210.0</v>
      </c>
      <c r="F46" s="5">
        <v>30.0</v>
      </c>
      <c r="G46" s="5">
        <v>30.0</v>
      </c>
      <c r="H46" s="3"/>
      <c r="I46" s="5">
        <v>39.0</v>
      </c>
      <c r="J46" s="3"/>
      <c r="K46" s="8"/>
      <c r="L46" s="3"/>
    </row>
    <row r="47" ht="13.5" customHeight="1">
      <c r="A47" s="3"/>
      <c r="B47" s="3"/>
      <c r="C47" s="5" t="s">
        <v>315</v>
      </c>
      <c r="D47" s="5" t="s">
        <v>464</v>
      </c>
      <c r="E47" s="5">
        <v>260.0</v>
      </c>
      <c r="F47" s="5">
        <v>73.0</v>
      </c>
      <c r="G47" s="5">
        <v>73.0</v>
      </c>
      <c r="H47" s="3"/>
      <c r="I47" s="18">
        <v>106.0</v>
      </c>
      <c r="J47" s="3"/>
      <c r="K47" s="8"/>
      <c r="L47" s="3"/>
    </row>
    <row r="48" ht="13.5" customHeight="1">
      <c r="A48" s="3"/>
      <c r="B48" s="3"/>
      <c r="C48" s="5" t="s">
        <v>315</v>
      </c>
      <c r="D48" s="5" t="s">
        <v>465</v>
      </c>
      <c r="E48" s="5">
        <v>34.0</v>
      </c>
      <c r="F48" s="5">
        <v>12.0</v>
      </c>
      <c r="G48" s="5">
        <v>12.0</v>
      </c>
      <c r="H48" s="3"/>
      <c r="J48" s="3"/>
      <c r="K48" s="8"/>
      <c r="L48" s="3"/>
    </row>
    <row r="49" ht="13.5" customHeight="1">
      <c r="A49" s="3"/>
      <c r="B49" s="3"/>
      <c r="C49" s="5" t="s">
        <v>315</v>
      </c>
      <c r="D49" s="5" t="s">
        <v>466</v>
      </c>
      <c r="E49" s="5">
        <v>39.0</v>
      </c>
      <c r="F49" s="5">
        <v>16.0</v>
      </c>
      <c r="G49" s="5">
        <v>16.0</v>
      </c>
      <c r="H49" s="3"/>
      <c r="I49" s="5">
        <v>16.0</v>
      </c>
      <c r="J49" s="3"/>
      <c r="K49" s="8"/>
      <c r="L49" s="3"/>
    </row>
    <row r="50" ht="13.5" customHeight="1">
      <c r="A50" s="3"/>
      <c r="B50" s="3"/>
      <c r="C50" s="5" t="s">
        <v>315</v>
      </c>
      <c r="D50" s="5" t="s">
        <v>467</v>
      </c>
      <c r="E50" s="5">
        <v>57.0</v>
      </c>
      <c r="F50" s="5">
        <v>18.0</v>
      </c>
      <c r="G50" s="5">
        <v>18.0</v>
      </c>
      <c r="H50" s="3"/>
      <c r="I50" s="5">
        <v>16.0</v>
      </c>
      <c r="J50" s="3"/>
      <c r="K50" s="8"/>
      <c r="L50" s="3"/>
    </row>
    <row r="51" ht="13.5" customHeight="1">
      <c r="A51" s="3"/>
      <c r="B51" s="3"/>
      <c r="C51" s="5" t="s">
        <v>315</v>
      </c>
      <c r="D51" s="5" t="s">
        <v>364</v>
      </c>
      <c r="E51" s="5">
        <v>210.0</v>
      </c>
      <c r="F51" s="5">
        <v>75.0</v>
      </c>
      <c r="G51" s="5">
        <v>75.0</v>
      </c>
      <c r="H51" s="3"/>
      <c r="I51" s="5">
        <v>93.0</v>
      </c>
      <c r="J51" s="3"/>
      <c r="K51" s="8"/>
      <c r="L51" s="3"/>
    </row>
    <row r="52" ht="13.5" customHeight="1">
      <c r="A52" s="3"/>
      <c r="B52" s="3"/>
      <c r="C52" s="5" t="s">
        <v>315</v>
      </c>
      <c r="D52" s="5" t="s">
        <v>468</v>
      </c>
      <c r="E52" s="5">
        <v>59.0</v>
      </c>
      <c r="F52" s="5">
        <v>16.0</v>
      </c>
      <c r="G52" s="5">
        <v>16.0</v>
      </c>
      <c r="H52" s="3"/>
      <c r="I52" s="5">
        <v>24.0</v>
      </c>
      <c r="J52" s="3"/>
      <c r="K52" s="8"/>
      <c r="L52" s="3"/>
    </row>
    <row r="53" ht="13.5" customHeight="1">
      <c r="A53" s="3"/>
      <c r="B53" s="3"/>
      <c r="C53" s="5" t="s">
        <v>315</v>
      </c>
      <c r="D53" s="5" t="s">
        <v>469</v>
      </c>
      <c r="E53" s="5">
        <v>22.0</v>
      </c>
      <c r="F53" s="5">
        <v>2.0</v>
      </c>
      <c r="G53" s="5">
        <v>2.0</v>
      </c>
      <c r="H53" s="3"/>
      <c r="I53" s="5">
        <v>5.0</v>
      </c>
      <c r="J53" s="3"/>
      <c r="K53" s="8"/>
      <c r="L53" s="3"/>
    </row>
    <row r="54" ht="13.5" customHeight="1">
      <c r="A54" s="3"/>
      <c r="B54" s="3"/>
      <c r="C54" s="5" t="s">
        <v>315</v>
      </c>
      <c r="D54" s="5" t="s">
        <v>349</v>
      </c>
      <c r="E54" s="5">
        <v>28.0</v>
      </c>
      <c r="F54" s="5">
        <v>5.0</v>
      </c>
      <c r="G54" s="5">
        <v>5.0</v>
      </c>
      <c r="H54" s="3"/>
      <c r="I54" s="5">
        <v>6.0</v>
      </c>
      <c r="J54" s="3"/>
      <c r="K54" s="8"/>
      <c r="L54" s="3"/>
    </row>
    <row r="55" ht="13.5" customHeight="1">
      <c r="A55" s="3"/>
      <c r="B55" s="3"/>
      <c r="C55" s="5" t="s">
        <v>315</v>
      </c>
      <c r="D55" s="5" t="s">
        <v>453</v>
      </c>
      <c r="E55" s="5">
        <v>107.0</v>
      </c>
      <c r="F55" s="5">
        <v>16.0</v>
      </c>
      <c r="G55" s="5">
        <v>16.0</v>
      </c>
      <c r="H55" s="3"/>
      <c r="I55" s="5">
        <v>35.0</v>
      </c>
      <c r="J55" s="3"/>
      <c r="K55" s="8"/>
      <c r="L55" s="3"/>
    </row>
    <row r="56" ht="13.5" customHeight="1">
      <c r="A56" s="3"/>
      <c r="B56" s="3"/>
      <c r="C56" s="5" t="s">
        <v>99</v>
      </c>
      <c r="D56" s="5" t="s">
        <v>470</v>
      </c>
      <c r="E56" s="5">
        <v>130.0</v>
      </c>
      <c r="F56" s="5">
        <v>30.0</v>
      </c>
      <c r="G56" s="5">
        <v>30.0</v>
      </c>
      <c r="H56" s="3"/>
      <c r="I56" s="5">
        <v>29.0</v>
      </c>
      <c r="J56" s="3"/>
      <c r="K56" s="8"/>
      <c r="L56" s="3"/>
    </row>
    <row r="57" ht="13.5" customHeight="1">
      <c r="A57" s="3"/>
      <c r="B57" s="3"/>
      <c r="C57" s="5" t="s">
        <v>99</v>
      </c>
      <c r="D57" s="5" t="s">
        <v>471</v>
      </c>
      <c r="E57" s="5">
        <v>8.0</v>
      </c>
      <c r="F57" s="5">
        <v>4.0</v>
      </c>
      <c r="G57" s="5">
        <v>4.0</v>
      </c>
      <c r="H57" s="3"/>
      <c r="I57" s="5">
        <v>2.0</v>
      </c>
      <c r="J57" s="3"/>
      <c r="K57" s="8"/>
      <c r="L57" s="3"/>
    </row>
    <row r="58" ht="13.5" customHeight="1">
      <c r="A58" s="3"/>
      <c r="B58" s="3"/>
      <c r="C58" s="5" t="s">
        <v>99</v>
      </c>
      <c r="D58" s="5" t="s">
        <v>472</v>
      </c>
      <c r="E58" s="5">
        <v>27.0</v>
      </c>
      <c r="F58" s="5">
        <v>8.0</v>
      </c>
      <c r="G58" s="5">
        <v>8.0</v>
      </c>
      <c r="H58" s="3"/>
      <c r="I58" s="5">
        <v>10.0</v>
      </c>
      <c r="J58" s="3"/>
      <c r="K58" s="8"/>
      <c r="L58" s="3"/>
    </row>
    <row r="59" ht="13.5" customHeight="1">
      <c r="A59" s="3"/>
      <c r="B59" s="3"/>
      <c r="C59" s="5" t="s">
        <v>99</v>
      </c>
      <c r="D59" s="5" t="s">
        <v>473</v>
      </c>
      <c r="E59" s="5">
        <v>10.0</v>
      </c>
      <c r="F59" s="5">
        <v>3.0</v>
      </c>
      <c r="G59" s="5">
        <v>3.0</v>
      </c>
      <c r="H59" s="3"/>
      <c r="I59" s="5">
        <v>3.0</v>
      </c>
      <c r="J59" s="3"/>
      <c r="K59" s="8"/>
      <c r="L59" s="3"/>
    </row>
    <row r="60" ht="13.5" customHeight="1">
      <c r="A60" s="3"/>
      <c r="B60" s="3"/>
      <c r="C60" s="5" t="s">
        <v>99</v>
      </c>
      <c r="D60" s="5" t="s">
        <v>474</v>
      </c>
      <c r="E60" s="5">
        <v>3.0</v>
      </c>
      <c r="F60" s="5">
        <v>1.0</v>
      </c>
      <c r="G60" s="5">
        <v>1.0</v>
      </c>
      <c r="H60" s="3"/>
      <c r="I60" s="5">
        <v>1.0</v>
      </c>
      <c r="J60" s="3"/>
      <c r="K60" s="8"/>
      <c r="L60" s="3"/>
    </row>
    <row r="61" ht="13.5" customHeight="1">
      <c r="A61" s="3"/>
      <c r="B61" s="3"/>
      <c r="C61" s="5" t="s">
        <v>99</v>
      </c>
      <c r="D61" s="5" t="s">
        <v>475</v>
      </c>
      <c r="E61" s="5">
        <v>3.0</v>
      </c>
      <c r="F61" s="5">
        <v>1.0</v>
      </c>
      <c r="G61" s="5">
        <v>1.0</v>
      </c>
      <c r="H61" s="3"/>
      <c r="I61" s="5">
        <v>1.0</v>
      </c>
      <c r="J61" s="3"/>
      <c r="K61" s="8"/>
      <c r="L61" s="3"/>
    </row>
    <row r="62" ht="13.5" customHeight="1">
      <c r="A62" s="3"/>
      <c r="B62" s="3"/>
      <c r="C62" s="5" t="s">
        <v>99</v>
      </c>
      <c r="D62" s="5" t="s">
        <v>476</v>
      </c>
      <c r="E62" s="5">
        <v>33.0</v>
      </c>
      <c r="F62" s="5">
        <v>10.0</v>
      </c>
      <c r="G62" s="5">
        <v>10.0</v>
      </c>
      <c r="H62" s="3"/>
      <c r="I62" s="5">
        <v>9.0</v>
      </c>
      <c r="J62" s="3"/>
      <c r="K62" s="8"/>
      <c r="L62" s="3"/>
    </row>
    <row r="63" ht="13.5" customHeight="1">
      <c r="A63" s="3"/>
      <c r="B63" s="3"/>
      <c r="C63" s="5" t="s">
        <v>99</v>
      </c>
      <c r="D63" s="5" t="s">
        <v>477</v>
      </c>
      <c r="E63" s="5">
        <v>53.0</v>
      </c>
      <c r="F63" s="5">
        <v>16.0</v>
      </c>
      <c r="G63" s="5">
        <v>16.0</v>
      </c>
      <c r="H63" s="3"/>
      <c r="I63" s="5">
        <v>15.0</v>
      </c>
      <c r="J63" s="3"/>
      <c r="K63" s="8"/>
      <c r="L63" s="3"/>
    </row>
    <row r="64" ht="13.5" customHeight="1">
      <c r="A64" s="3"/>
      <c r="B64" s="3"/>
      <c r="C64" s="5" t="s">
        <v>99</v>
      </c>
      <c r="D64" s="5" t="s">
        <v>478</v>
      </c>
      <c r="E64" s="5">
        <v>23.0</v>
      </c>
      <c r="F64" s="5">
        <v>7.0</v>
      </c>
      <c r="G64" s="5">
        <v>7.0</v>
      </c>
      <c r="H64" s="3"/>
      <c r="I64" s="5">
        <v>7.0</v>
      </c>
      <c r="J64" s="3"/>
      <c r="K64" s="8"/>
      <c r="L64" s="3"/>
    </row>
    <row r="65" ht="13.5" customHeight="1">
      <c r="A65" s="3"/>
      <c r="B65" s="3"/>
      <c r="C65" s="5" t="s">
        <v>99</v>
      </c>
      <c r="D65" s="5" t="s">
        <v>479</v>
      </c>
      <c r="E65" s="5">
        <v>23.0</v>
      </c>
      <c r="F65" s="5">
        <v>7.0</v>
      </c>
      <c r="G65" s="5">
        <v>7.0</v>
      </c>
      <c r="H65" s="3"/>
      <c r="I65" s="5">
        <v>7.0</v>
      </c>
      <c r="J65" s="3"/>
      <c r="K65" s="8"/>
      <c r="L65" s="3"/>
    </row>
    <row r="66" ht="13.5" customHeight="1">
      <c r="A66" s="3"/>
      <c r="B66" s="3"/>
      <c r="C66" s="5" t="s">
        <v>99</v>
      </c>
      <c r="D66" s="5" t="s">
        <v>480</v>
      </c>
      <c r="E66" s="5">
        <v>3.0</v>
      </c>
      <c r="F66" s="5">
        <v>1.0</v>
      </c>
      <c r="G66" s="5">
        <v>1.0</v>
      </c>
      <c r="H66" s="3"/>
      <c r="I66" s="5">
        <v>1.0</v>
      </c>
      <c r="J66" s="3"/>
      <c r="K66" s="8"/>
      <c r="L66" s="3"/>
    </row>
    <row r="67" ht="13.5" customHeight="1">
      <c r="A67" s="3"/>
      <c r="B67" s="3"/>
      <c r="C67" s="5" t="s">
        <v>99</v>
      </c>
      <c r="D67" s="5" t="s">
        <v>481</v>
      </c>
      <c r="E67" s="5">
        <v>3.0</v>
      </c>
      <c r="F67" s="5">
        <v>1.0</v>
      </c>
      <c r="G67" s="5">
        <v>1.0</v>
      </c>
      <c r="H67" s="3"/>
      <c r="I67" s="5">
        <v>1.0</v>
      </c>
      <c r="J67" s="3"/>
      <c r="K67" s="8"/>
      <c r="L67" s="3"/>
    </row>
    <row r="68" ht="13.5" customHeight="1">
      <c r="A68" s="3"/>
      <c r="B68" s="3"/>
      <c r="C68" s="5" t="s">
        <v>99</v>
      </c>
      <c r="D68" s="5" t="s">
        <v>482</v>
      </c>
      <c r="E68" s="5">
        <v>3.0</v>
      </c>
      <c r="F68" s="5">
        <v>1.0</v>
      </c>
      <c r="G68" s="5">
        <v>1.0</v>
      </c>
      <c r="H68" s="3"/>
      <c r="I68" s="5">
        <v>1.0</v>
      </c>
      <c r="J68" s="3"/>
      <c r="K68" s="8"/>
      <c r="L68" s="3"/>
    </row>
    <row r="69" ht="13.5" customHeight="1">
      <c r="A69" s="3"/>
      <c r="B69" s="3"/>
      <c r="C69" s="5" t="s">
        <v>99</v>
      </c>
      <c r="D69" s="5" t="s">
        <v>483</v>
      </c>
      <c r="E69" s="5">
        <v>3.0</v>
      </c>
      <c r="F69" s="5">
        <v>1.0</v>
      </c>
      <c r="G69" s="5">
        <v>1.0</v>
      </c>
      <c r="H69" s="3"/>
      <c r="I69" s="5">
        <v>1.0</v>
      </c>
      <c r="J69" s="3"/>
      <c r="K69" s="8"/>
      <c r="L69" s="3"/>
    </row>
    <row r="70" ht="13.5" customHeight="1">
      <c r="A70" s="3"/>
      <c r="B70" s="3"/>
      <c r="C70" s="5" t="s">
        <v>99</v>
      </c>
      <c r="D70" s="5" t="s">
        <v>484</v>
      </c>
      <c r="E70" s="5">
        <v>10.0</v>
      </c>
      <c r="F70" s="5">
        <v>3.0</v>
      </c>
      <c r="G70" s="5">
        <v>3.0</v>
      </c>
      <c r="H70" s="3"/>
      <c r="I70" s="5">
        <v>3.0</v>
      </c>
      <c r="J70" s="3"/>
      <c r="K70" s="8"/>
      <c r="L70" s="3"/>
    </row>
    <row r="71" ht="13.5" customHeight="1">
      <c r="A71" s="3"/>
      <c r="B71" s="3"/>
      <c r="C71" s="5" t="s">
        <v>99</v>
      </c>
      <c r="D71" s="5" t="s">
        <v>485</v>
      </c>
      <c r="E71" s="5">
        <v>7.0</v>
      </c>
      <c r="F71" s="5">
        <v>2.0</v>
      </c>
      <c r="G71" s="5">
        <v>2.0</v>
      </c>
      <c r="H71" s="3"/>
      <c r="I71" s="5">
        <v>2.0</v>
      </c>
      <c r="J71" s="3"/>
      <c r="K71" s="8"/>
      <c r="L71" s="3"/>
    </row>
    <row r="72" ht="13.5" customHeight="1">
      <c r="A72" s="3"/>
      <c r="B72" s="3"/>
      <c r="C72" s="5" t="s">
        <v>99</v>
      </c>
      <c r="D72" s="5" t="s">
        <v>486</v>
      </c>
      <c r="E72" s="5">
        <v>0.0</v>
      </c>
      <c r="F72" s="5">
        <v>0.0</v>
      </c>
      <c r="G72" s="5">
        <v>0.0</v>
      </c>
      <c r="H72" s="3"/>
      <c r="I72" s="5">
        <v>10.0</v>
      </c>
      <c r="J72" s="3"/>
      <c r="K72" s="8"/>
      <c r="L72" s="3"/>
    </row>
    <row r="73" ht="13.5" customHeight="1">
      <c r="A73" s="3"/>
      <c r="B73" s="3"/>
      <c r="C73" s="5" t="s">
        <v>99</v>
      </c>
      <c r="D73" s="5" t="s">
        <v>487</v>
      </c>
      <c r="E73" s="5">
        <v>111.0</v>
      </c>
      <c r="F73" s="5">
        <v>31.0</v>
      </c>
      <c r="G73" s="5">
        <v>31.0</v>
      </c>
      <c r="H73" s="3"/>
      <c r="I73" s="5">
        <v>54.0</v>
      </c>
      <c r="J73" s="3"/>
      <c r="K73" s="8"/>
      <c r="L73" s="3"/>
    </row>
    <row r="74" ht="13.5" customHeight="1">
      <c r="A74" s="3"/>
      <c r="B74" s="3"/>
      <c r="C74" s="5" t="s">
        <v>99</v>
      </c>
      <c r="D74" s="5" t="s">
        <v>488</v>
      </c>
      <c r="E74" s="5">
        <v>50.0</v>
      </c>
      <c r="F74" s="5">
        <v>14.0</v>
      </c>
      <c r="G74" s="5">
        <v>14.0</v>
      </c>
      <c r="H74" s="3"/>
      <c r="I74" s="5">
        <v>20.0</v>
      </c>
      <c r="J74" s="3"/>
      <c r="K74" s="8"/>
      <c r="L74" s="3"/>
    </row>
    <row r="75" ht="13.5" customHeight="1">
      <c r="A75" s="3"/>
      <c r="B75" s="3"/>
      <c r="C75" s="5" t="s">
        <v>99</v>
      </c>
      <c r="D75" s="5" t="s">
        <v>489</v>
      </c>
      <c r="E75" s="5">
        <v>61.0</v>
      </c>
      <c r="F75" s="5">
        <v>17.0</v>
      </c>
      <c r="G75" s="5">
        <v>17.0</v>
      </c>
      <c r="H75" s="3"/>
      <c r="I75" s="5">
        <v>16.0</v>
      </c>
      <c r="J75" s="3"/>
      <c r="K75" s="8"/>
      <c r="L75" s="3"/>
    </row>
    <row r="76" ht="13.5" customHeight="1">
      <c r="A76" s="3"/>
      <c r="B76" s="3"/>
      <c r="C76" s="5" t="s">
        <v>99</v>
      </c>
      <c r="D76" s="5" t="s">
        <v>490</v>
      </c>
      <c r="E76" s="5">
        <v>4.0</v>
      </c>
      <c r="F76" s="5">
        <v>1.0</v>
      </c>
      <c r="G76" s="5">
        <v>1.0</v>
      </c>
      <c r="H76" s="3"/>
      <c r="I76" s="5">
        <v>0.0</v>
      </c>
      <c r="J76" s="3"/>
      <c r="K76" s="8"/>
      <c r="L76" s="3"/>
    </row>
    <row r="77" ht="13.5" customHeight="1">
      <c r="A77" s="3"/>
      <c r="B77" s="3"/>
      <c r="C77" s="5" t="s">
        <v>99</v>
      </c>
      <c r="D77" s="5" t="s">
        <v>472</v>
      </c>
      <c r="E77" s="5">
        <v>13.0</v>
      </c>
      <c r="F77" s="5">
        <v>6.0</v>
      </c>
      <c r="G77" s="5">
        <v>6.0</v>
      </c>
      <c r="H77" s="3"/>
      <c r="I77" s="5">
        <v>4.0</v>
      </c>
      <c r="J77" s="3"/>
      <c r="K77" s="8"/>
      <c r="L77" s="3"/>
    </row>
    <row r="78" ht="13.5" customHeight="1">
      <c r="A78" s="3"/>
      <c r="B78" s="3"/>
      <c r="C78" s="5" t="s">
        <v>99</v>
      </c>
      <c r="D78" s="5" t="s">
        <v>491</v>
      </c>
      <c r="E78" s="5">
        <v>62.0</v>
      </c>
      <c r="F78" s="5">
        <v>28.0</v>
      </c>
      <c r="G78" s="5">
        <v>28.0</v>
      </c>
      <c r="H78" s="3"/>
      <c r="I78" s="5">
        <v>28.0</v>
      </c>
      <c r="J78" s="3"/>
      <c r="K78" s="8"/>
      <c r="L78" s="3"/>
    </row>
    <row r="79" ht="13.5" customHeight="1">
      <c r="A79" s="3"/>
      <c r="B79" s="3"/>
      <c r="C79" s="5" t="s">
        <v>99</v>
      </c>
      <c r="D79" s="5" t="s">
        <v>492</v>
      </c>
      <c r="E79" s="5">
        <v>7.0</v>
      </c>
      <c r="F79" s="5">
        <v>3.0</v>
      </c>
      <c r="G79" s="5">
        <v>3.0</v>
      </c>
      <c r="H79" s="3"/>
      <c r="I79" s="5">
        <v>3.0</v>
      </c>
      <c r="J79" s="3"/>
      <c r="K79" s="8"/>
      <c r="L79" s="3"/>
    </row>
    <row r="80" ht="13.5" customHeight="1">
      <c r="A80" s="3"/>
      <c r="B80" s="3"/>
      <c r="C80" s="5" t="s">
        <v>99</v>
      </c>
      <c r="D80" s="5" t="s">
        <v>493</v>
      </c>
      <c r="E80" s="5">
        <v>13.0</v>
      </c>
      <c r="F80" s="5">
        <v>6.0</v>
      </c>
      <c r="G80" s="5">
        <v>6.0</v>
      </c>
      <c r="H80" s="3"/>
      <c r="I80" s="5">
        <v>6.0</v>
      </c>
      <c r="J80" s="3"/>
      <c r="K80" s="8"/>
      <c r="L80" s="3"/>
    </row>
    <row r="81" ht="13.5" customHeight="1">
      <c r="A81" s="3"/>
      <c r="B81" s="3"/>
      <c r="C81" s="5" t="s">
        <v>99</v>
      </c>
      <c r="D81" s="5" t="s">
        <v>494</v>
      </c>
      <c r="E81" s="5">
        <v>4.0</v>
      </c>
      <c r="F81" s="5">
        <v>2.0</v>
      </c>
      <c r="G81" s="5">
        <v>2.0</v>
      </c>
      <c r="H81" s="3"/>
      <c r="I81" s="5">
        <v>2.0</v>
      </c>
      <c r="J81" s="3"/>
      <c r="K81" s="8"/>
      <c r="L81" s="3"/>
    </row>
    <row r="82" ht="13.5" customHeight="1">
      <c r="A82" s="3"/>
      <c r="B82" s="3"/>
      <c r="C82" s="5" t="s">
        <v>99</v>
      </c>
      <c r="D82" s="5" t="s">
        <v>495</v>
      </c>
      <c r="E82" s="5">
        <v>2.0</v>
      </c>
      <c r="F82" s="5">
        <v>1.0</v>
      </c>
      <c r="G82" s="5">
        <v>1.0</v>
      </c>
      <c r="H82" s="3"/>
      <c r="I82" s="5">
        <v>1.0</v>
      </c>
      <c r="J82" s="3"/>
      <c r="K82" s="8"/>
      <c r="L82" s="3"/>
    </row>
    <row r="83" ht="13.5" customHeight="1">
      <c r="A83" s="3"/>
      <c r="B83" s="3"/>
      <c r="C83" s="5" t="s">
        <v>99</v>
      </c>
      <c r="D83" s="5" t="s">
        <v>496</v>
      </c>
      <c r="E83" s="5">
        <v>2.0</v>
      </c>
      <c r="F83" s="5">
        <v>1.0</v>
      </c>
      <c r="G83" s="5">
        <v>1.0</v>
      </c>
      <c r="H83" s="3"/>
      <c r="I83" s="5">
        <v>1.0</v>
      </c>
      <c r="J83" s="3"/>
      <c r="K83" s="8"/>
      <c r="L83" s="3"/>
    </row>
    <row r="84" ht="13.5" customHeight="1">
      <c r="A84" s="3"/>
      <c r="B84" s="3"/>
      <c r="C84" s="5" t="s">
        <v>99</v>
      </c>
      <c r="D84" s="5" t="s">
        <v>497</v>
      </c>
      <c r="E84" s="5">
        <v>2.0</v>
      </c>
      <c r="F84" s="5">
        <v>1.0</v>
      </c>
      <c r="G84" s="5">
        <v>1.0</v>
      </c>
      <c r="H84" s="3"/>
      <c r="I84" s="5">
        <v>1.0</v>
      </c>
      <c r="J84" s="3"/>
      <c r="K84" s="8"/>
      <c r="L84" s="3"/>
    </row>
    <row r="85" ht="13.5" customHeight="1">
      <c r="A85" s="3"/>
      <c r="B85" s="3"/>
      <c r="C85" s="5" t="s">
        <v>99</v>
      </c>
      <c r="D85" s="5" t="s">
        <v>472</v>
      </c>
      <c r="E85" s="5">
        <v>2.0</v>
      </c>
      <c r="F85" s="5">
        <v>1.0</v>
      </c>
      <c r="G85" s="5">
        <v>1.0</v>
      </c>
      <c r="H85" s="3"/>
      <c r="I85" s="5">
        <v>1.0</v>
      </c>
      <c r="J85" s="3"/>
      <c r="K85" s="8"/>
      <c r="L85" s="3"/>
    </row>
    <row r="86" ht="13.5" customHeight="1">
      <c r="A86" s="3"/>
      <c r="B86" s="3"/>
      <c r="C86" s="5" t="s">
        <v>99</v>
      </c>
      <c r="D86" s="5" t="s">
        <v>498</v>
      </c>
      <c r="E86" s="5">
        <v>4.0</v>
      </c>
      <c r="F86" s="5">
        <v>2.0</v>
      </c>
      <c r="G86" s="5">
        <v>2.0</v>
      </c>
      <c r="H86" s="3"/>
      <c r="I86" s="5">
        <v>2.0</v>
      </c>
      <c r="J86" s="3"/>
      <c r="K86" s="8"/>
      <c r="L86" s="3"/>
    </row>
    <row r="87" ht="13.5" customHeight="1">
      <c r="A87" s="3"/>
      <c r="B87" s="3"/>
      <c r="C87" s="5" t="s">
        <v>99</v>
      </c>
      <c r="D87" s="5" t="s">
        <v>499</v>
      </c>
      <c r="E87" s="5">
        <v>11.0</v>
      </c>
      <c r="F87" s="5">
        <v>1.0</v>
      </c>
      <c r="G87" s="5">
        <v>1.0</v>
      </c>
      <c r="H87" s="3"/>
      <c r="I87" s="5">
        <v>1.0</v>
      </c>
      <c r="J87" s="3"/>
      <c r="K87" s="8"/>
      <c r="L87" s="3"/>
    </row>
    <row r="88" ht="13.5" customHeight="1">
      <c r="A88" s="3"/>
      <c r="B88" s="3"/>
      <c r="C88" s="5" t="s">
        <v>99</v>
      </c>
      <c r="D88" s="5" t="s">
        <v>500</v>
      </c>
      <c r="E88" s="5">
        <v>11.0</v>
      </c>
      <c r="F88" s="5">
        <v>5.0</v>
      </c>
      <c r="G88" s="5">
        <v>5.0</v>
      </c>
      <c r="H88" s="3"/>
      <c r="I88" s="5">
        <v>3.0</v>
      </c>
      <c r="J88" s="3"/>
      <c r="K88" s="8"/>
      <c r="L88" s="3"/>
    </row>
    <row r="89" ht="13.5" customHeight="1">
      <c r="A89" s="3"/>
      <c r="B89" s="3"/>
      <c r="C89" s="5" t="s">
        <v>99</v>
      </c>
      <c r="D89" s="5" t="s">
        <v>501</v>
      </c>
      <c r="E89" s="5">
        <v>11.0</v>
      </c>
      <c r="F89" s="5">
        <v>5.0</v>
      </c>
      <c r="G89" s="5">
        <v>5.0</v>
      </c>
      <c r="H89" s="3"/>
      <c r="I89" s="5">
        <v>3.0</v>
      </c>
      <c r="J89" s="3"/>
      <c r="K89" s="8"/>
      <c r="L89" s="3"/>
    </row>
    <row r="90" ht="13.5" customHeight="1">
      <c r="A90" s="3"/>
      <c r="B90" s="3"/>
      <c r="C90" s="5" t="s">
        <v>99</v>
      </c>
      <c r="D90" s="5" t="s">
        <v>502</v>
      </c>
      <c r="E90" s="5">
        <v>13.0</v>
      </c>
      <c r="F90" s="5">
        <v>6.0</v>
      </c>
      <c r="G90" s="5">
        <v>6.0</v>
      </c>
      <c r="H90" s="3"/>
      <c r="I90" s="5">
        <v>0.0</v>
      </c>
      <c r="J90" s="3"/>
      <c r="K90" s="8"/>
      <c r="L90" s="3"/>
    </row>
    <row r="91" ht="13.5" customHeight="1">
      <c r="A91" s="3"/>
      <c r="B91" s="3"/>
      <c r="C91" s="5" t="s">
        <v>99</v>
      </c>
      <c r="D91" s="5" t="s">
        <v>503</v>
      </c>
      <c r="E91" s="5">
        <v>32.0</v>
      </c>
      <c r="F91" s="5">
        <v>10.0</v>
      </c>
      <c r="G91" s="5">
        <v>10.0</v>
      </c>
      <c r="H91" s="3"/>
      <c r="I91" s="5">
        <v>12.0</v>
      </c>
      <c r="J91" s="3"/>
      <c r="K91" s="8"/>
      <c r="L91" s="3"/>
    </row>
    <row r="92" ht="13.5" customHeight="1">
      <c r="A92" s="3"/>
      <c r="B92" s="3"/>
      <c r="C92" s="5" t="s">
        <v>70</v>
      </c>
      <c r="D92" s="5" t="s">
        <v>504</v>
      </c>
      <c r="E92" s="5">
        <v>571.0</v>
      </c>
      <c r="F92" s="5">
        <v>95.0</v>
      </c>
      <c r="G92" s="5">
        <v>95.0</v>
      </c>
      <c r="H92" s="3"/>
      <c r="I92" s="5">
        <v>145.0</v>
      </c>
      <c r="J92" s="3"/>
      <c r="K92" s="8"/>
      <c r="L92" s="3"/>
    </row>
    <row r="93" ht="13.5" customHeight="1">
      <c r="A93" s="3"/>
      <c r="B93" s="3"/>
      <c r="C93" s="5" t="s">
        <v>505</v>
      </c>
      <c r="D93" s="5" t="s">
        <v>506</v>
      </c>
      <c r="E93" s="3"/>
      <c r="F93" s="3"/>
      <c r="G93" s="3"/>
      <c r="H93" s="3"/>
      <c r="I93" s="5"/>
      <c r="J93" s="3"/>
      <c r="K93" s="8"/>
      <c r="L93" s="3"/>
    </row>
    <row r="94" ht="13.5" customHeight="1">
      <c r="A94" s="3"/>
      <c r="B94" s="3"/>
      <c r="C94" s="5"/>
      <c r="D94" s="5" t="s">
        <v>507</v>
      </c>
      <c r="E94" s="3"/>
      <c r="F94" s="3"/>
      <c r="G94" s="3"/>
      <c r="H94" s="3"/>
      <c r="I94" s="5"/>
      <c r="J94" s="3"/>
      <c r="K94" s="8"/>
      <c r="L94" s="3"/>
    </row>
    <row r="95" ht="13.5" customHeight="1">
      <c r="A95" s="3"/>
      <c r="B95" s="3"/>
      <c r="C95" s="5"/>
      <c r="D95" s="5" t="s">
        <v>508</v>
      </c>
      <c r="E95" s="3"/>
      <c r="F95" s="3"/>
      <c r="G95" s="3"/>
      <c r="H95" s="3"/>
      <c r="I95" s="5"/>
      <c r="J95" s="3"/>
      <c r="K95" s="8"/>
      <c r="L95" s="3"/>
    </row>
    <row r="96" ht="13.5" customHeight="1">
      <c r="A96" s="3"/>
      <c r="B96" s="3"/>
      <c r="C96" s="5"/>
      <c r="D96" s="5" t="s">
        <v>509</v>
      </c>
      <c r="E96" s="3"/>
      <c r="F96" s="3"/>
      <c r="G96" s="3"/>
      <c r="H96" s="3"/>
      <c r="I96" s="5"/>
      <c r="J96" s="3"/>
      <c r="K96" s="8"/>
      <c r="L96" s="3"/>
    </row>
    <row r="97" ht="13.5" customHeight="1">
      <c r="A97" s="3"/>
      <c r="B97" s="3"/>
      <c r="C97" s="5"/>
      <c r="D97" s="5" t="s">
        <v>510</v>
      </c>
      <c r="E97" s="3"/>
      <c r="F97" s="3"/>
      <c r="G97" s="3"/>
      <c r="H97" s="3"/>
      <c r="I97" s="5"/>
      <c r="J97" s="3"/>
      <c r="K97" s="8"/>
      <c r="L97" s="3"/>
    </row>
    <row r="98" ht="13.5" customHeight="1">
      <c r="A98" s="3"/>
      <c r="B98" s="3"/>
      <c r="C98" s="5"/>
      <c r="D98" s="5" t="s">
        <v>511</v>
      </c>
      <c r="E98" s="3"/>
      <c r="F98" s="3"/>
      <c r="G98" s="3"/>
      <c r="H98" s="3"/>
      <c r="I98" s="5"/>
      <c r="J98" s="3"/>
      <c r="K98" s="8"/>
      <c r="L98" s="3"/>
    </row>
    <row r="99" ht="13.5" customHeight="1">
      <c r="A99" s="3"/>
      <c r="B99" s="3"/>
      <c r="C99" s="5"/>
      <c r="D99" s="5" t="s">
        <v>512</v>
      </c>
      <c r="E99" s="3"/>
      <c r="F99" s="3"/>
      <c r="G99" s="3"/>
      <c r="H99" s="3"/>
      <c r="I99" s="5"/>
      <c r="J99" s="3"/>
      <c r="K99" s="8"/>
      <c r="L99" s="3"/>
    </row>
    <row r="100" ht="13.5" customHeight="1">
      <c r="A100" s="3"/>
      <c r="B100" s="3"/>
      <c r="C100" s="60" t="s">
        <v>410</v>
      </c>
      <c r="D100" s="61" t="s">
        <v>513</v>
      </c>
      <c r="E100" s="62">
        <v>1116.0</v>
      </c>
      <c r="F100" s="5">
        <v>187.0</v>
      </c>
      <c r="G100" s="5">
        <v>187.0</v>
      </c>
      <c r="H100" s="5">
        <v>0.0</v>
      </c>
      <c r="I100" s="5">
        <v>150.0</v>
      </c>
      <c r="J100" s="5" t="s">
        <v>261</v>
      </c>
      <c r="K100" s="8"/>
      <c r="L100" s="3"/>
    </row>
    <row r="101" ht="13.5" customHeight="1">
      <c r="A101" s="3"/>
      <c r="B101" s="3"/>
      <c r="C101" s="60" t="s">
        <v>412</v>
      </c>
      <c r="D101" s="61" t="s">
        <v>334</v>
      </c>
      <c r="E101" s="63">
        <v>65.0</v>
      </c>
      <c r="F101" s="5">
        <v>15.0</v>
      </c>
      <c r="G101" s="5">
        <v>15.0</v>
      </c>
      <c r="H101" s="5">
        <v>0.0</v>
      </c>
      <c r="I101" s="5">
        <v>22.0</v>
      </c>
      <c r="J101" s="5" t="s">
        <v>261</v>
      </c>
      <c r="K101" s="8"/>
      <c r="L101" s="3"/>
    </row>
    <row r="102" ht="13.5" customHeight="1">
      <c r="A102" s="3"/>
      <c r="B102" s="3"/>
      <c r="C102" s="64" t="s">
        <v>412</v>
      </c>
      <c r="D102" s="61" t="s">
        <v>331</v>
      </c>
      <c r="E102" s="63">
        <v>320.0</v>
      </c>
      <c r="F102" s="5">
        <v>44.0</v>
      </c>
      <c r="G102" s="5">
        <v>13.0</v>
      </c>
      <c r="H102" s="5">
        <v>0.0</v>
      </c>
      <c r="I102" s="5">
        <v>20.0</v>
      </c>
      <c r="J102" s="5" t="s">
        <v>261</v>
      </c>
      <c r="K102" s="8"/>
      <c r="L102" s="3"/>
    </row>
    <row r="103" ht="13.5" customHeight="1">
      <c r="A103" s="3"/>
      <c r="B103" s="3"/>
      <c r="C103" s="60" t="s">
        <v>413</v>
      </c>
      <c r="D103" s="60" t="s">
        <v>92</v>
      </c>
      <c r="E103" s="20">
        <v>800.0</v>
      </c>
      <c r="F103" s="5">
        <v>150.0</v>
      </c>
      <c r="G103" s="5">
        <v>20.0</v>
      </c>
      <c r="H103" s="5">
        <v>0.0</v>
      </c>
      <c r="I103" s="5">
        <v>20.0</v>
      </c>
      <c r="J103" s="5" t="s">
        <v>261</v>
      </c>
      <c r="K103" s="8"/>
      <c r="L103" s="3"/>
    </row>
    <row r="104" ht="13.5" customHeight="1">
      <c r="A104" s="3"/>
      <c r="B104" s="3"/>
      <c r="C104" s="64" t="s">
        <v>411</v>
      </c>
      <c r="D104" s="61" t="s">
        <v>519</v>
      </c>
      <c r="E104" s="20">
        <v>516.0</v>
      </c>
      <c r="F104" s="5">
        <v>220.0</v>
      </c>
      <c r="G104" s="5">
        <v>38.0</v>
      </c>
      <c r="H104" s="5">
        <v>0.0</v>
      </c>
      <c r="I104" s="5">
        <v>34.0</v>
      </c>
      <c r="J104" s="5" t="s">
        <v>261</v>
      </c>
      <c r="K104" s="8"/>
      <c r="L104" s="3"/>
    </row>
    <row r="105" ht="13.5" customHeight="1">
      <c r="A105" s="3"/>
      <c r="B105" s="3"/>
      <c r="C105" s="64" t="s">
        <v>383</v>
      </c>
      <c r="D105" s="61" t="s">
        <v>331</v>
      </c>
      <c r="E105" s="63">
        <v>82.0</v>
      </c>
      <c r="F105" s="65">
        <v>33.0</v>
      </c>
      <c r="G105" s="65">
        <v>33.0</v>
      </c>
      <c r="H105" s="5">
        <v>0.0</v>
      </c>
      <c r="I105" s="66">
        <v>31.0</v>
      </c>
      <c r="J105" s="5" t="s">
        <v>261</v>
      </c>
      <c r="K105" s="8"/>
      <c r="L105" s="3"/>
    </row>
    <row r="106" ht="13.5" customHeight="1">
      <c r="A106" s="3"/>
      <c r="B106" s="3"/>
      <c r="C106" s="64" t="s">
        <v>383</v>
      </c>
      <c r="D106" s="60" t="s">
        <v>341</v>
      </c>
      <c r="E106" s="67">
        <v>110.0</v>
      </c>
      <c r="F106" s="68">
        <v>23.0</v>
      </c>
      <c r="G106" s="68">
        <v>23.0</v>
      </c>
      <c r="H106" s="5">
        <v>0.0</v>
      </c>
      <c r="I106" s="69">
        <v>36.0</v>
      </c>
      <c r="J106" s="5" t="s">
        <v>261</v>
      </c>
      <c r="K106" s="8"/>
      <c r="L106" s="3"/>
    </row>
    <row r="107" ht="13.5" customHeight="1">
      <c r="A107" s="3"/>
      <c r="B107" s="3"/>
      <c r="C107" s="64" t="s">
        <v>383</v>
      </c>
      <c r="D107" s="60" t="s">
        <v>343</v>
      </c>
      <c r="E107" s="67">
        <v>26.0</v>
      </c>
      <c r="F107" s="68">
        <v>7.0</v>
      </c>
      <c r="G107" s="68">
        <v>7.0</v>
      </c>
      <c r="H107" s="5">
        <v>0.0</v>
      </c>
      <c r="I107" s="69">
        <v>15.0</v>
      </c>
      <c r="J107" s="5" t="s">
        <v>261</v>
      </c>
      <c r="K107" s="8"/>
      <c r="L107" s="3"/>
    </row>
    <row r="108" ht="13.5" customHeight="1">
      <c r="A108" s="3"/>
      <c r="B108" s="3"/>
      <c r="C108" s="64" t="s">
        <v>383</v>
      </c>
      <c r="D108" s="60" t="s">
        <v>521</v>
      </c>
      <c r="E108" s="67">
        <v>9.0</v>
      </c>
      <c r="F108" s="68">
        <v>3.0</v>
      </c>
      <c r="G108" s="68">
        <v>3.0</v>
      </c>
      <c r="H108" s="5">
        <v>0.0</v>
      </c>
      <c r="I108" s="69">
        <v>4.0</v>
      </c>
      <c r="J108" s="5" t="s">
        <v>261</v>
      </c>
      <c r="K108" s="8"/>
      <c r="L108" s="3"/>
    </row>
    <row r="109" ht="13.5" customHeight="1">
      <c r="A109" s="3"/>
      <c r="B109" s="3"/>
      <c r="C109" s="64" t="s">
        <v>383</v>
      </c>
      <c r="D109" s="60" t="s">
        <v>345</v>
      </c>
      <c r="E109" s="67">
        <v>153.0</v>
      </c>
      <c r="F109" s="68">
        <v>66.0</v>
      </c>
      <c r="G109" s="68">
        <v>66.0</v>
      </c>
      <c r="H109" s="5">
        <v>0.0</v>
      </c>
      <c r="I109" s="69">
        <v>80.0</v>
      </c>
      <c r="J109" s="5" t="s">
        <v>261</v>
      </c>
      <c r="K109" s="8"/>
      <c r="L109" s="3"/>
    </row>
    <row r="110" ht="13.5" customHeight="1">
      <c r="A110" s="3"/>
      <c r="B110" s="3"/>
      <c r="C110" s="60" t="s">
        <v>383</v>
      </c>
      <c r="D110" s="60" t="s">
        <v>523</v>
      </c>
      <c r="E110" s="67">
        <v>34.0</v>
      </c>
      <c r="F110" s="68">
        <v>6.0</v>
      </c>
      <c r="G110" s="68">
        <v>6.0</v>
      </c>
      <c r="H110" s="5">
        <v>0.0</v>
      </c>
      <c r="I110" s="69">
        <v>8.0</v>
      </c>
      <c r="J110" s="5" t="s">
        <v>261</v>
      </c>
      <c r="K110" s="8"/>
      <c r="L110" s="3"/>
    </row>
    <row r="111" ht="13.5" customHeight="1">
      <c r="A111" s="3"/>
      <c r="B111" s="3"/>
      <c r="C111" s="60" t="s">
        <v>383</v>
      </c>
      <c r="D111" s="60" t="s">
        <v>525</v>
      </c>
      <c r="E111" s="67">
        <v>115.0</v>
      </c>
      <c r="F111" s="68">
        <v>64.0</v>
      </c>
      <c r="G111" s="68">
        <v>64.0</v>
      </c>
      <c r="H111" s="5">
        <v>0.0</v>
      </c>
      <c r="I111" s="69">
        <v>60.0</v>
      </c>
      <c r="J111" s="5" t="s">
        <v>261</v>
      </c>
      <c r="K111" s="8"/>
      <c r="L111" s="3"/>
    </row>
    <row r="112" ht="13.5" customHeight="1">
      <c r="A112" s="3"/>
      <c r="B112" s="3"/>
      <c r="C112" s="60" t="s">
        <v>383</v>
      </c>
      <c r="D112" s="60" t="s">
        <v>527</v>
      </c>
      <c r="E112" s="67">
        <v>93.0</v>
      </c>
      <c r="F112" s="68">
        <v>20.0</v>
      </c>
      <c r="G112" s="68">
        <v>20.0</v>
      </c>
      <c r="H112" s="5">
        <v>0.0</v>
      </c>
      <c r="I112" s="69">
        <v>20.0</v>
      </c>
      <c r="J112" s="5" t="s">
        <v>261</v>
      </c>
      <c r="K112" s="8"/>
      <c r="L112" s="3"/>
    </row>
    <row r="113" ht="13.5" customHeight="1">
      <c r="A113" s="3"/>
      <c r="B113" s="3"/>
      <c r="C113" s="60" t="s">
        <v>383</v>
      </c>
      <c r="D113" s="60" t="s">
        <v>349</v>
      </c>
      <c r="E113" s="67">
        <v>30.0</v>
      </c>
      <c r="F113" s="68">
        <v>4.0</v>
      </c>
      <c r="G113" s="68">
        <v>4.0</v>
      </c>
      <c r="H113" s="5">
        <v>0.0</v>
      </c>
      <c r="I113" s="69">
        <v>4.0</v>
      </c>
      <c r="J113" s="5" t="s">
        <v>261</v>
      </c>
      <c r="K113" s="8"/>
      <c r="L113" s="3"/>
    </row>
    <row r="114" ht="13.5" customHeight="1">
      <c r="A114" s="3"/>
      <c r="B114" s="3"/>
      <c r="C114" s="60" t="s">
        <v>383</v>
      </c>
      <c r="D114" s="60" t="s">
        <v>529</v>
      </c>
      <c r="E114" s="67">
        <v>56.0</v>
      </c>
      <c r="F114" s="68">
        <v>27.0</v>
      </c>
      <c r="G114" s="68">
        <v>27.0</v>
      </c>
      <c r="H114" s="5">
        <v>0.0</v>
      </c>
      <c r="I114" s="69">
        <v>35.0</v>
      </c>
      <c r="J114" s="5" t="s">
        <v>261</v>
      </c>
      <c r="K114" s="8"/>
      <c r="L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8"/>
      <c r="L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8"/>
      <c r="L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8"/>
      <c r="L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8"/>
      <c r="L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8"/>
      <c r="L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8"/>
      <c r="L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8"/>
      <c r="L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8"/>
      <c r="L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8"/>
      <c r="L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8"/>
      <c r="L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8"/>
      <c r="L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8"/>
      <c r="L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8"/>
      <c r="L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8"/>
      <c r="L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8"/>
      <c r="L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8"/>
      <c r="L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8"/>
      <c r="L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8"/>
      <c r="L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8"/>
      <c r="L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8"/>
      <c r="L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8"/>
      <c r="L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8"/>
      <c r="L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8"/>
      <c r="L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8"/>
      <c r="L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8"/>
      <c r="L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8"/>
      <c r="L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8"/>
      <c r="L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8"/>
      <c r="L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8"/>
      <c r="L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8"/>
      <c r="L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8"/>
      <c r="L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8"/>
      <c r="L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8"/>
      <c r="L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8"/>
      <c r="L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8"/>
      <c r="L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8"/>
      <c r="L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8"/>
      <c r="L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8"/>
      <c r="L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8"/>
      <c r="L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8"/>
      <c r="L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8"/>
      <c r="L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8"/>
      <c r="L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8"/>
      <c r="L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8"/>
      <c r="L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8"/>
      <c r="L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8"/>
      <c r="L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8"/>
      <c r="L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8"/>
      <c r="L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8"/>
      <c r="L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8"/>
      <c r="L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8"/>
      <c r="L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8"/>
      <c r="L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8"/>
      <c r="L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8"/>
      <c r="L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8"/>
      <c r="L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8"/>
      <c r="L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8"/>
      <c r="L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8"/>
      <c r="L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8"/>
      <c r="L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8"/>
      <c r="L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8"/>
      <c r="L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8"/>
      <c r="L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8"/>
      <c r="L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8"/>
      <c r="L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8"/>
      <c r="L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8"/>
      <c r="L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8"/>
      <c r="L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8"/>
      <c r="L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8"/>
      <c r="L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8"/>
      <c r="L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8"/>
      <c r="L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8"/>
      <c r="L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8"/>
      <c r="L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8"/>
      <c r="L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8"/>
      <c r="L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8"/>
      <c r="L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8"/>
      <c r="L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8"/>
      <c r="L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8"/>
      <c r="L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8"/>
      <c r="L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8"/>
      <c r="L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8"/>
      <c r="L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8"/>
      <c r="L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8"/>
      <c r="L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8"/>
      <c r="L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8"/>
      <c r="L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8"/>
      <c r="L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8"/>
      <c r="L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8"/>
      <c r="L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8"/>
      <c r="L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8"/>
      <c r="L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8"/>
      <c r="L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8"/>
      <c r="L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8"/>
      <c r="L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8"/>
      <c r="L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8"/>
      <c r="L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8"/>
      <c r="L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8"/>
      <c r="L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8"/>
      <c r="L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8"/>
      <c r="L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8"/>
      <c r="L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8"/>
      <c r="L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8"/>
      <c r="L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8"/>
      <c r="L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8"/>
      <c r="L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8"/>
      <c r="L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8"/>
      <c r="L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8"/>
      <c r="L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8"/>
      <c r="L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8"/>
      <c r="L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8"/>
      <c r="L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8"/>
      <c r="L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8"/>
      <c r="L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8"/>
      <c r="L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8"/>
      <c r="L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8"/>
      <c r="L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8"/>
      <c r="L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8"/>
      <c r="L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8"/>
      <c r="L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8"/>
      <c r="L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8"/>
      <c r="L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8"/>
      <c r="L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8"/>
      <c r="L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8"/>
      <c r="L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8"/>
      <c r="L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8"/>
      <c r="L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8"/>
      <c r="L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8"/>
      <c r="L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8"/>
      <c r="L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8"/>
      <c r="L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8"/>
      <c r="L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8"/>
      <c r="L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8"/>
      <c r="L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8"/>
      <c r="L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8"/>
      <c r="L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8"/>
      <c r="L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8"/>
      <c r="L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8"/>
      <c r="L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8"/>
      <c r="L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8"/>
      <c r="L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8"/>
      <c r="L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8"/>
      <c r="L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8"/>
      <c r="L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8"/>
      <c r="L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8"/>
      <c r="L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8"/>
      <c r="L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8"/>
      <c r="L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8"/>
      <c r="L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8"/>
      <c r="L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8"/>
      <c r="L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8"/>
      <c r="L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8"/>
      <c r="L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8"/>
      <c r="L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8"/>
      <c r="L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8"/>
      <c r="L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8"/>
      <c r="L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8"/>
      <c r="L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8"/>
      <c r="L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8"/>
      <c r="L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8"/>
      <c r="L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8"/>
      <c r="L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8"/>
      <c r="L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8"/>
      <c r="L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8"/>
      <c r="L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8"/>
      <c r="L279" s="3"/>
    </row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  <row r="1007" ht="13.5" customHeight="1"/>
    <row r="1008" ht="13.5" customHeight="1"/>
    <row r="1009" ht="13.5" customHeight="1"/>
    <row r="1010" ht="13.5" customHeight="1"/>
    <row r="1011" ht="13.5" customHeight="1"/>
    <row r="1012" ht="13.5" customHeight="1"/>
    <row r="1013" ht="13.5" customHeight="1"/>
    <row r="1014" ht="13.5" customHeight="1"/>
    <row r="1015" ht="13.5" customHeight="1"/>
    <row r="1016" ht="13.5" customHeight="1"/>
    <row r="1017" ht="13.5" customHeight="1"/>
    <row r="1018" ht="13.5" customHeight="1"/>
    <row r="1019" ht="13.5" customHeight="1"/>
    <row r="1020" ht="13.5" customHeight="1"/>
    <row r="1021" ht="13.5" customHeight="1"/>
    <row r="1022" ht="13.5" customHeight="1"/>
    <row r="1023" ht="13.5" customHeight="1"/>
    <row r="1024" ht="13.5" customHeight="1"/>
    <row r="1025" ht="13.5" customHeight="1"/>
    <row r="1026" ht="13.5" customHeight="1"/>
    <row r="1027" ht="13.5" customHeight="1"/>
    <row r="1028" ht="13.5" customHeight="1"/>
    <row r="1029" ht="13.5" customHeight="1"/>
    <row r="1030" ht="13.5" customHeight="1"/>
    <row r="1031" ht="13.5" customHeight="1"/>
    <row r="1032" ht="13.5" customHeight="1"/>
    <row r="1033" ht="13.5" customHeight="1"/>
    <row r="1034" ht="13.5" customHeight="1"/>
    <row r="1035" ht="13.5" customHeight="1"/>
    <row r="1036" ht="13.5" customHeight="1"/>
    <row r="1037" ht="13.5" customHeight="1"/>
    <row r="1038" ht="13.5" customHeight="1"/>
    <row r="1039" ht="13.5" customHeight="1"/>
    <row r="1040" ht="13.5" customHeight="1"/>
    <row r="1041" ht="13.5" customHeight="1"/>
    <row r="1042" ht="13.5" customHeight="1"/>
    <row r="1043" ht="13.5" customHeight="1"/>
    <row r="1044" ht="13.5" customHeight="1"/>
    <row r="1045" ht="13.5" customHeight="1"/>
    <row r="1046" ht="13.5" customHeight="1"/>
    <row r="1047" ht="13.5" customHeight="1"/>
    <row r="1048" ht="13.5" customHeight="1"/>
    <row r="1049" ht="13.5" customHeight="1"/>
    <row r="1050" ht="13.5" customHeight="1"/>
    <row r="1051" ht="13.5" customHeight="1"/>
    <row r="1052" ht="13.5" customHeight="1"/>
    <row r="1053" ht="13.5" customHeight="1"/>
    <row r="1054" ht="13.5" customHeight="1"/>
    <row r="1055" ht="13.5" customHeight="1"/>
    <row r="1056" ht="13.5" customHeight="1"/>
    <row r="1057" ht="13.5" customHeight="1"/>
    <row r="1058" ht="13.5" customHeight="1"/>
    <row r="1059" ht="13.5" customHeight="1"/>
    <row r="1060" ht="13.5" customHeight="1"/>
    <row r="1061" ht="13.5" customHeight="1"/>
    <row r="1062" ht="13.5" customHeight="1"/>
    <row r="1063" ht="13.5" customHeight="1"/>
    <row r="1064" ht="13.5" customHeight="1"/>
    <row r="1065" ht="13.5" customHeight="1"/>
    <row r="1066" ht="13.5" customHeight="1"/>
    <row r="1067" ht="13.5" customHeight="1"/>
    <row r="1068" ht="13.5" customHeight="1"/>
    <row r="1069" ht="13.5" customHeight="1"/>
    <row r="1070" ht="13.5" customHeight="1"/>
    <row r="1071" ht="13.5" customHeight="1"/>
    <row r="1072" ht="13.5" customHeight="1"/>
    <row r="1073" ht="13.5" customHeight="1"/>
    <row r="1074" ht="13.5" customHeight="1"/>
    <row r="1075" ht="13.5" customHeight="1"/>
    <row r="1076" ht="13.5" customHeight="1"/>
    <row r="1077" ht="13.5" customHeight="1"/>
    <row r="1078" ht="13.5" customHeight="1"/>
  </sheetData>
  <mergeCells count="1">
    <mergeCell ref="I47:I4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23.88"/>
    <col customWidth="1" min="4" max="4" width="40.13"/>
    <col customWidth="1" min="5" max="5" width="18.0"/>
    <col customWidth="1" min="6" max="6" width="17.0"/>
    <col customWidth="1" min="7" max="7" width="12.0"/>
    <col customWidth="1" min="8" max="8" width="17.63"/>
    <col customWidth="1" min="9" max="9" width="17.0"/>
    <col customWidth="1" min="10" max="10" width="30.0"/>
    <col customWidth="1" min="11" max="24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55</v>
      </c>
      <c r="E1" s="2" t="s">
        <v>514</v>
      </c>
      <c r="F1" s="2" t="s">
        <v>515</v>
      </c>
      <c r="G1" s="2" t="s">
        <v>516</v>
      </c>
      <c r="H1" s="2" t="s">
        <v>15</v>
      </c>
      <c r="I1" s="2" t="s">
        <v>221</v>
      </c>
      <c r="J1" s="2" t="s">
        <v>17</v>
      </c>
    </row>
    <row r="2" ht="13.5" customHeight="1">
      <c r="A2" s="5">
        <v>1.0</v>
      </c>
      <c r="B2" s="3"/>
      <c r="C2" s="5" t="s">
        <v>44</v>
      </c>
      <c r="D2" s="5" t="s">
        <v>517</v>
      </c>
      <c r="E2" s="5">
        <v>11.0</v>
      </c>
      <c r="F2" s="5">
        <v>11.0</v>
      </c>
      <c r="G2" s="3"/>
      <c r="H2" s="5" t="s">
        <v>146</v>
      </c>
      <c r="I2" s="8"/>
      <c r="J2" s="3"/>
    </row>
    <row r="3" ht="13.5" customHeight="1">
      <c r="A3" s="5">
        <v>2.0</v>
      </c>
      <c r="B3" s="3"/>
      <c r="C3" s="3"/>
      <c r="D3" s="5" t="s">
        <v>518</v>
      </c>
      <c r="E3" s="5">
        <v>6.0</v>
      </c>
      <c r="F3" s="5">
        <v>6.0</v>
      </c>
      <c r="G3" s="3"/>
      <c r="H3" s="5" t="s">
        <v>146</v>
      </c>
      <c r="I3" s="8"/>
      <c r="J3" s="3"/>
    </row>
    <row r="4" ht="13.5" customHeight="1">
      <c r="A4" s="5">
        <v>3.0</v>
      </c>
      <c r="B4" s="3"/>
      <c r="C4" s="3"/>
      <c r="D4" s="5" t="s">
        <v>520</v>
      </c>
      <c r="E4" s="5">
        <v>140.0</v>
      </c>
      <c r="F4" s="5">
        <v>140.0</v>
      </c>
      <c r="G4" s="3"/>
      <c r="H4" s="5" t="s">
        <v>146</v>
      </c>
      <c r="I4" s="8"/>
      <c r="J4" s="3"/>
    </row>
    <row r="5" ht="13.5" customHeight="1">
      <c r="A5" s="3">
        <f t="shared" ref="A5:A31" si="1">A4+1</f>
        <v>4</v>
      </c>
      <c r="B5" s="3"/>
      <c r="C5" s="3"/>
      <c r="D5" s="5" t="s">
        <v>522</v>
      </c>
      <c r="E5" s="5">
        <v>52.0</v>
      </c>
      <c r="F5" s="5">
        <v>52.0</v>
      </c>
      <c r="G5" s="3"/>
      <c r="H5" s="3"/>
      <c r="I5" s="8"/>
      <c r="J5" s="3"/>
    </row>
    <row r="6" ht="13.5" customHeight="1">
      <c r="A6" s="3">
        <f t="shared" si="1"/>
        <v>5</v>
      </c>
      <c r="B6" s="3"/>
      <c r="C6" s="3"/>
      <c r="D6" s="5" t="s">
        <v>524</v>
      </c>
      <c r="E6" s="5">
        <v>1.0</v>
      </c>
      <c r="F6" s="5">
        <v>1.0</v>
      </c>
      <c r="G6" s="3"/>
      <c r="H6" s="3"/>
      <c r="I6" s="8"/>
      <c r="J6" s="3"/>
    </row>
    <row r="7" ht="13.5" customHeight="1">
      <c r="A7" s="3">
        <f t="shared" si="1"/>
        <v>6</v>
      </c>
      <c r="B7" s="3"/>
      <c r="C7" s="3"/>
      <c r="D7" s="5" t="s">
        <v>526</v>
      </c>
      <c r="E7" s="5">
        <v>1.0</v>
      </c>
      <c r="F7" s="5">
        <v>1.0</v>
      </c>
      <c r="G7" s="3"/>
      <c r="H7" s="3"/>
      <c r="I7" s="8"/>
      <c r="J7" s="3"/>
    </row>
    <row r="8" ht="13.5" customHeight="1">
      <c r="A8" s="3">
        <f t="shared" si="1"/>
        <v>7</v>
      </c>
      <c r="B8" s="3"/>
      <c r="C8" s="3"/>
      <c r="D8" s="5" t="s">
        <v>528</v>
      </c>
      <c r="E8" s="5">
        <v>5.0</v>
      </c>
      <c r="F8" s="5">
        <v>5.0</v>
      </c>
      <c r="G8" s="3"/>
      <c r="H8" s="3"/>
      <c r="I8" s="8"/>
      <c r="J8" s="3"/>
    </row>
    <row r="9" ht="13.5" customHeight="1">
      <c r="A9" s="3">
        <f t="shared" si="1"/>
        <v>8</v>
      </c>
      <c r="B9" s="3"/>
      <c r="C9" s="3"/>
      <c r="D9" s="5" t="s">
        <v>63</v>
      </c>
      <c r="E9" s="5">
        <v>4.0</v>
      </c>
      <c r="F9" s="5">
        <v>4.0</v>
      </c>
      <c r="G9" s="3"/>
      <c r="H9" s="3"/>
      <c r="I9" s="8"/>
      <c r="J9" s="3"/>
    </row>
    <row r="10" ht="13.5" customHeight="1">
      <c r="A10" s="3">
        <f t="shared" si="1"/>
        <v>9</v>
      </c>
      <c r="B10" s="3"/>
      <c r="C10" s="3"/>
      <c r="D10" s="5" t="s">
        <v>530</v>
      </c>
      <c r="E10" s="5">
        <v>1.0</v>
      </c>
      <c r="F10" s="5">
        <v>1.0</v>
      </c>
      <c r="G10" s="3"/>
      <c r="H10" s="3"/>
      <c r="I10" s="8"/>
      <c r="J10" s="3"/>
    </row>
    <row r="11" ht="13.5" customHeight="1">
      <c r="A11" s="3">
        <f t="shared" si="1"/>
        <v>10</v>
      </c>
      <c r="B11" s="3"/>
      <c r="C11" s="70"/>
      <c r="D11" s="3"/>
      <c r="E11" s="3"/>
      <c r="F11" s="3"/>
      <c r="G11" s="3"/>
      <c r="H11" s="3"/>
      <c r="I11" s="8"/>
      <c r="J11" s="3"/>
    </row>
    <row r="12" ht="13.5" customHeight="1">
      <c r="A12" s="3">
        <f t="shared" si="1"/>
        <v>11</v>
      </c>
      <c r="B12" s="3"/>
      <c r="C12" s="71" t="s">
        <v>410</v>
      </c>
      <c r="D12" s="72" t="s">
        <v>513</v>
      </c>
      <c r="E12" s="66">
        <v>150.0</v>
      </c>
      <c r="F12" s="66">
        <v>150.0</v>
      </c>
      <c r="G12" s="73"/>
      <c r="H12" s="74" t="s">
        <v>230</v>
      </c>
      <c r="I12" s="8"/>
      <c r="J12" s="3"/>
    </row>
    <row r="13" ht="13.5" customHeight="1">
      <c r="A13" s="3">
        <f t="shared" si="1"/>
        <v>12</v>
      </c>
      <c r="B13" s="3"/>
      <c r="C13" s="71" t="s">
        <v>412</v>
      </c>
      <c r="D13" s="75" t="s">
        <v>334</v>
      </c>
      <c r="E13" s="66">
        <v>22.0</v>
      </c>
      <c r="F13" s="66">
        <v>22.0</v>
      </c>
      <c r="G13" s="73"/>
      <c r="H13" s="74" t="s">
        <v>230</v>
      </c>
      <c r="I13" s="8"/>
      <c r="J13" s="3"/>
    </row>
    <row r="14" ht="13.5" customHeight="1">
      <c r="A14" s="3">
        <f t="shared" si="1"/>
        <v>13</v>
      </c>
      <c r="B14" s="3"/>
      <c r="C14" s="76" t="s">
        <v>412</v>
      </c>
      <c r="D14" s="75" t="s">
        <v>331</v>
      </c>
      <c r="E14" s="66">
        <v>20.0</v>
      </c>
      <c r="F14" s="66">
        <v>20.0</v>
      </c>
      <c r="G14" s="73"/>
      <c r="H14" s="74" t="s">
        <v>230</v>
      </c>
      <c r="I14" s="8"/>
      <c r="J14" s="3"/>
    </row>
    <row r="15" ht="13.5" customHeight="1">
      <c r="A15" s="3">
        <f t="shared" si="1"/>
        <v>14</v>
      </c>
      <c r="B15" s="3"/>
      <c r="C15" s="71" t="s">
        <v>413</v>
      </c>
      <c r="D15" s="71" t="s">
        <v>92</v>
      </c>
      <c r="E15" s="66">
        <v>20.0</v>
      </c>
      <c r="F15" s="66">
        <v>20.0</v>
      </c>
      <c r="G15" s="73"/>
      <c r="H15" s="74" t="s">
        <v>230</v>
      </c>
      <c r="I15" s="8"/>
      <c r="J15" s="3"/>
    </row>
    <row r="16" ht="13.5" customHeight="1">
      <c r="A16" s="3">
        <f t="shared" si="1"/>
        <v>15</v>
      </c>
      <c r="B16" s="3"/>
      <c r="C16" s="76" t="s">
        <v>411</v>
      </c>
      <c r="D16" s="75" t="s">
        <v>519</v>
      </c>
      <c r="E16" s="66">
        <v>34.0</v>
      </c>
      <c r="F16" s="66">
        <v>34.0</v>
      </c>
      <c r="G16" s="73"/>
      <c r="H16" s="74" t="s">
        <v>230</v>
      </c>
      <c r="I16" s="8"/>
      <c r="J16" s="3"/>
    </row>
    <row r="17" ht="13.5" customHeight="1">
      <c r="A17" s="3">
        <f t="shared" si="1"/>
        <v>16</v>
      </c>
      <c r="B17" s="3"/>
      <c r="C17" s="76" t="s">
        <v>383</v>
      </c>
      <c r="D17" s="75" t="s">
        <v>331</v>
      </c>
      <c r="E17" s="66">
        <v>31.0</v>
      </c>
      <c r="F17" s="66">
        <v>31.0</v>
      </c>
      <c r="G17" s="73"/>
      <c r="H17" s="74" t="s">
        <v>230</v>
      </c>
      <c r="I17" s="8"/>
      <c r="J17" s="3"/>
    </row>
    <row r="18" ht="13.5" customHeight="1">
      <c r="A18" s="3">
        <f t="shared" si="1"/>
        <v>17</v>
      </c>
      <c r="B18" s="3"/>
      <c r="C18" s="76" t="s">
        <v>383</v>
      </c>
      <c r="D18" s="71" t="s">
        <v>341</v>
      </c>
      <c r="E18" s="69">
        <v>36.0</v>
      </c>
      <c r="F18" s="69">
        <v>36.0</v>
      </c>
      <c r="G18" s="73"/>
      <c r="H18" s="74" t="s">
        <v>230</v>
      </c>
      <c r="I18" s="8"/>
      <c r="J18" s="3"/>
    </row>
    <row r="19" ht="13.5" customHeight="1">
      <c r="A19" s="3">
        <f t="shared" si="1"/>
        <v>18</v>
      </c>
      <c r="B19" s="3"/>
      <c r="C19" s="76" t="s">
        <v>383</v>
      </c>
      <c r="D19" s="71" t="s">
        <v>343</v>
      </c>
      <c r="E19" s="69">
        <v>15.0</v>
      </c>
      <c r="F19" s="69">
        <v>15.0</v>
      </c>
      <c r="G19" s="73"/>
      <c r="H19" s="74" t="s">
        <v>230</v>
      </c>
      <c r="I19" s="8"/>
      <c r="J19" s="3"/>
    </row>
    <row r="20" ht="13.5" customHeight="1">
      <c r="A20" s="3">
        <f t="shared" si="1"/>
        <v>19</v>
      </c>
      <c r="B20" s="3"/>
      <c r="C20" s="76" t="s">
        <v>383</v>
      </c>
      <c r="D20" s="71" t="s">
        <v>521</v>
      </c>
      <c r="E20" s="69">
        <v>4.0</v>
      </c>
      <c r="F20" s="69">
        <v>4.0</v>
      </c>
      <c r="G20" s="73"/>
      <c r="H20" s="74" t="s">
        <v>230</v>
      </c>
      <c r="I20" s="8"/>
      <c r="J20" s="3"/>
    </row>
    <row r="21" ht="13.5" customHeight="1">
      <c r="A21" s="3">
        <f t="shared" si="1"/>
        <v>20</v>
      </c>
      <c r="B21" s="3"/>
      <c r="C21" s="76" t="s">
        <v>383</v>
      </c>
      <c r="D21" s="71" t="s">
        <v>345</v>
      </c>
      <c r="E21" s="69">
        <v>80.0</v>
      </c>
      <c r="F21" s="69">
        <v>80.0</v>
      </c>
      <c r="G21" s="73"/>
      <c r="H21" s="74" t="s">
        <v>230</v>
      </c>
      <c r="I21" s="8"/>
      <c r="J21" s="3"/>
    </row>
    <row r="22" ht="13.5" customHeight="1">
      <c r="A22" s="3">
        <f t="shared" si="1"/>
        <v>21</v>
      </c>
      <c r="B22" s="3"/>
      <c r="C22" s="76" t="s">
        <v>383</v>
      </c>
      <c r="D22" s="71" t="s">
        <v>523</v>
      </c>
      <c r="E22" s="69">
        <v>8.0</v>
      </c>
      <c r="F22" s="69">
        <v>8.0</v>
      </c>
      <c r="G22" s="73"/>
      <c r="H22" s="74" t="s">
        <v>230</v>
      </c>
      <c r="I22" s="8"/>
      <c r="J22" s="3"/>
    </row>
    <row r="23" ht="13.5" customHeight="1">
      <c r="A23" s="3">
        <f t="shared" si="1"/>
        <v>22</v>
      </c>
      <c r="B23" s="3"/>
      <c r="C23" s="76" t="s">
        <v>383</v>
      </c>
      <c r="D23" s="71" t="s">
        <v>525</v>
      </c>
      <c r="E23" s="69">
        <v>60.0</v>
      </c>
      <c r="F23" s="69">
        <v>60.0</v>
      </c>
      <c r="G23" s="73"/>
      <c r="H23" s="74" t="s">
        <v>230</v>
      </c>
      <c r="I23" s="8"/>
      <c r="J23" s="3"/>
    </row>
    <row r="24" ht="13.5" customHeight="1">
      <c r="A24" s="3">
        <f t="shared" si="1"/>
        <v>23</v>
      </c>
      <c r="B24" s="3"/>
      <c r="C24" s="76" t="s">
        <v>383</v>
      </c>
      <c r="D24" s="71" t="s">
        <v>527</v>
      </c>
      <c r="E24" s="69">
        <v>20.0</v>
      </c>
      <c r="F24" s="69">
        <v>20.0</v>
      </c>
      <c r="G24" s="73"/>
      <c r="H24" s="74" t="s">
        <v>230</v>
      </c>
      <c r="I24" s="8"/>
      <c r="J24" s="3"/>
    </row>
    <row r="25" ht="13.5" customHeight="1">
      <c r="A25" s="3">
        <f t="shared" si="1"/>
        <v>24</v>
      </c>
      <c r="B25" s="3"/>
      <c r="C25" s="76" t="s">
        <v>383</v>
      </c>
      <c r="D25" s="71" t="s">
        <v>349</v>
      </c>
      <c r="E25" s="69">
        <v>4.0</v>
      </c>
      <c r="F25" s="69">
        <v>4.0</v>
      </c>
      <c r="G25" s="73"/>
      <c r="H25" s="74" t="s">
        <v>230</v>
      </c>
      <c r="I25" s="8"/>
      <c r="J25" s="3"/>
    </row>
    <row r="26" ht="13.5" customHeight="1">
      <c r="A26" s="3">
        <f t="shared" si="1"/>
        <v>25</v>
      </c>
      <c r="B26" s="3"/>
      <c r="C26" s="76" t="s">
        <v>383</v>
      </c>
      <c r="D26" s="77" t="s">
        <v>529</v>
      </c>
      <c r="E26" s="69">
        <v>35.0</v>
      </c>
      <c r="F26" s="69">
        <v>35.0</v>
      </c>
      <c r="G26" s="73"/>
      <c r="H26" s="74" t="s">
        <v>230</v>
      </c>
      <c r="I26" s="8"/>
      <c r="J26" s="3"/>
    </row>
    <row r="27" ht="13.5" customHeight="1">
      <c r="A27" s="3">
        <f t="shared" si="1"/>
        <v>26</v>
      </c>
      <c r="B27" s="3"/>
      <c r="C27" s="71" t="s">
        <v>410</v>
      </c>
      <c r="D27" s="78" t="s">
        <v>531</v>
      </c>
      <c r="E27" s="79">
        <v>6.0</v>
      </c>
      <c r="F27" s="79">
        <v>6.0</v>
      </c>
      <c r="G27" s="73"/>
      <c r="H27" s="74" t="s">
        <v>230</v>
      </c>
      <c r="I27" s="8"/>
      <c r="J27" s="3"/>
    </row>
    <row r="28" ht="13.5" customHeight="1">
      <c r="A28" s="3">
        <f t="shared" si="1"/>
        <v>27</v>
      </c>
      <c r="B28" s="3"/>
      <c r="C28" s="76" t="s">
        <v>411</v>
      </c>
      <c r="D28" s="78" t="s">
        <v>531</v>
      </c>
      <c r="E28" s="79">
        <v>3.0</v>
      </c>
      <c r="F28" s="79">
        <v>3.0</v>
      </c>
      <c r="G28" s="73"/>
      <c r="H28" s="74" t="s">
        <v>230</v>
      </c>
      <c r="I28" s="8"/>
      <c r="J28" s="3"/>
    </row>
    <row r="29" ht="13.5" customHeight="1">
      <c r="A29" s="3">
        <f t="shared" si="1"/>
        <v>28</v>
      </c>
      <c r="B29" s="3"/>
      <c r="C29" s="80" t="s">
        <v>412</v>
      </c>
      <c r="D29" s="78" t="s">
        <v>532</v>
      </c>
      <c r="E29" s="79">
        <v>3.0</v>
      </c>
      <c r="F29" s="79">
        <v>3.0</v>
      </c>
      <c r="G29" s="73"/>
      <c r="H29" s="74" t="s">
        <v>230</v>
      </c>
      <c r="I29" s="8"/>
      <c r="J29" s="3"/>
    </row>
    <row r="30" ht="13.5" customHeight="1">
      <c r="A30" s="3">
        <f t="shared" si="1"/>
        <v>29</v>
      </c>
      <c r="B30" s="3"/>
      <c r="C30" s="71" t="s">
        <v>413</v>
      </c>
      <c r="D30" s="81" t="s">
        <v>533</v>
      </c>
      <c r="E30" s="82">
        <v>2.0</v>
      </c>
      <c r="F30" s="82">
        <v>2.0</v>
      </c>
      <c r="G30" s="73"/>
      <c r="H30" s="74" t="s">
        <v>230</v>
      </c>
      <c r="I30" s="8"/>
      <c r="J30" s="3"/>
    </row>
    <row r="31" ht="13.5" customHeight="1">
      <c r="A31" s="3">
        <f t="shared" si="1"/>
        <v>30</v>
      </c>
      <c r="B31" s="3"/>
      <c r="C31" s="76" t="s">
        <v>383</v>
      </c>
      <c r="D31" s="78" t="s">
        <v>534</v>
      </c>
      <c r="E31" s="79">
        <v>6.0</v>
      </c>
      <c r="F31" s="79">
        <v>6.0</v>
      </c>
      <c r="G31" s="73"/>
      <c r="H31" s="74" t="s">
        <v>230</v>
      </c>
      <c r="I31" s="8"/>
      <c r="J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8"/>
      <c r="J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8"/>
      <c r="J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8"/>
      <c r="J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8"/>
      <c r="J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8"/>
      <c r="J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8"/>
      <c r="J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8"/>
      <c r="J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8"/>
      <c r="J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8"/>
      <c r="J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8"/>
      <c r="J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8"/>
      <c r="J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8"/>
      <c r="J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8"/>
      <c r="J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8"/>
      <c r="J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8"/>
      <c r="J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8"/>
      <c r="J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8"/>
      <c r="J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8"/>
      <c r="J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8"/>
      <c r="J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8"/>
      <c r="J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8"/>
      <c r="J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8"/>
      <c r="J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8"/>
      <c r="J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8"/>
      <c r="J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8"/>
      <c r="J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8"/>
      <c r="J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8"/>
      <c r="J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8"/>
      <c r="J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8"/>
      <c r="J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8"/>
      <c r="J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8"/>
      <c r="J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8"/>
      <c r="J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8"/>
      <c r="J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8"/>
      <c r="J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8"/>
      <c r="J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8"/>
      <c r="J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8"/>
      <c r="J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8"/>
      <c r="J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8"/>
      <c r="J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8"/>
      <c r="J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8"/>
      <c r="J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8"/>
      <c r="J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8"/>
      <c r="J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8"/>
      <c r="J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8"/>
      <c r="J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8"/>
      <c r="J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8"/>
      <c r="J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8"/>
      <c r="J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8"/>
      <c r="J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8"/>
      <c r="J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8"/>
      <c r="J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8"/>
      <c r="J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8"/>
      <c r="J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8"/>
      <c r="J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8"/>
      <c r="J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8"/>
      <c r="J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8"/>
      <c r="J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8"/>
      <c r="J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8"/>
      <c r="J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8"/>
      <c r="J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8"/>
      <c r="J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8"/>
      <c r="J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8"/>
      <c r="J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8"/>
      <c r="J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8"/>
      <c r="J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8"/>
      <c r="J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8"/>
      <c r="J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8"/>
      <c r="J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8"/>
      <c r="J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8"/>
      <c r="J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8"/>
      <c r="J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8"/>
      <c r="J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8"/>
      <c r="J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8"/>
      <c r="J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8"/>
      <c r="J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8"/>
      <c r="J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8"/>
      <c r="J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8"/>
      <c r="J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8"/>
      <c r="J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8"/>
      <c r="J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8"/>
      <c r="J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8"/>
      <c r="J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8"/>
      <c r="J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8"/>
      <c r="J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8"/>
      <c r="J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8"/>
      <c r="J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8"/>
      <c r="J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8"/>
      <c r="J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8"/>
      <c r="J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8"/>
      <c r="J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8"/>
      <c r="J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8"/>
      <c r="J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8"/>
      <c r="J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8"/>
      <c r="J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8"/>
      <c r="J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8"/>
      <c r="J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8"/>
      <c r="J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8"/>
      <c r="J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8"/>
      <c r="J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8"/>
      <c r="J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8"/>
      <c r="J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8"/>
      <c r="J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8"/>
      <c r="J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8"/>
      <c r="J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8"/>
      <c r="J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8"/>
      <c r="J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8"/>
      <c r="J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8"/>
      <c r="J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8"/>
      <c r="J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8"/>
      <c r="J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8"/>
      <c r="J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8"/>
      <c r="J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8"/>
      <c r="J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8"/>
      <c r="J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8"/>
      <c r="J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8"/>
      <c r="J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8"/>
      <c r="J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8"/>
      <c r="J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8"/>
      <c r="J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8"/>
      <c r="J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8"/>
      <c r="J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8"/>
      <c r="J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8"/>
      <c r="J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8"/>
      <c r="J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8"/>
      <c r="J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8"/>
      <c r="J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8"/>
      <c r="J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8"/>
      <c r="J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8"/>
      <c r="J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8"/>
      <c r="J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8"/>
      <c r="J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8"/>
      <c r="J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8"/>
      <c r="J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8"/>
      <c r="J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8"/>
      <c r="J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8"/>
      <c r="J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8"/>
      <c r="J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8"/>
      <c r="J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8"/>
      <c r="J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8"/>
      <c r="J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8"/>
      <c r="J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8"/>
      <c r="J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8"/>
      <c r="J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8"/>
      <c r="J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8"/>
      <c r="J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8"/>
      <c r="J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8"/>
      <c r="J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8"/>
      <c r="J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8"/>
      <c r="J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8"/>
      <c r="J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8"/>
      <c r="J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8"/>
      <c r="J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8"/>
      <c r="J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8"/>
      <c r="J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8"/>
      <c r="J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8"/>
      <c r="J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8"/>
      <c r="J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8"/>
      <c r="J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8"/>
      <c r="J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8"/>
      <c r="J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8"/>
      <c r="J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8"/>
      <c r="J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8"/>
      <c r="J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8"/>
      <c r="J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8"/>
      <c r="J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8"/>
      <c r="J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8"/>
      <c r="J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8"/>
      <c r="J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8"/>
      <c r="J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8"/>
      <c r="J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3" width="12.0"/>
    <col customWidth="1" min="4" max="4" width="14.0"/>
    <col customWidth="1" min="5" max="5" width="16.0"/>
    <col customWidth="1" min="6" max="7" width="18.0"/>
    <col customWidth="1" min="8" max="8" width="12.0"/>
    <col customWidth="1" min="9" max="9" width="16.0"/>
    <col customWidth="1" min="10" max="10" width="15.0"/>
    <col customWidth="1" min="11" max="13" width="12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535</v>
      </c>
      <c r="C1" s="2" t="s">
        <v>30</v>
      </c>
      <c r="D1" s="2" t="s">
        <v>19</v>
      </c>
      <c r="E1" s="2" t="s">
        <v>536</v>
      </c>
      <c r="F1" s="2" t="s">
        <v>537</v>
      </c>
      <c r="G1" s="2" t="s">
        <v>538</v>
      </c>
      <c r="H1" s="2" t="s">
        <v>12</v>
      </c>
      <c r="I1" s="2" t="s">
        <v>539</v>
      </c>
      <c r="J1" s="2" t="s">
        <v>540</v>
      </c>
      <c r="K1" s="2" t="s">
        <v>15</v>
      </c>
      <c r="L1" s="2" t="s">
        <v>3</v>
      </c>
      <c r="M1" s="2" t="s">
        <v>541</v>
      </c>
      <c r="N1" s="2" t="s">
        <v>17</v>
      </c>
    </row>
    <row r="2" ht="13.5" customHeight="1">
      <c r="A2" s="7">
        <v>1.0</v>
      </c>
      <c r="B2" s="3"/>
      <c r="C2" s="3"/>
      <c r="D2" s="3"/>
      <c r="E2" s="3"/>
      <c r="F2" s="3"/>
      <c r="G2" s="8"/>
      <c r="H2" s="8"/>
      <c r="I2" s="3"/>
      <c r="J2" s="3"/>
      <c r="K2" s="7" t="s">
        <v>542</v>
      </c>
      <c r="L2" s="3"/>
      <c r="M2" s="3"/>
      <c r="N2" s="3"/>
    </row>
    <row r="3" ht="13.5" customHeight="1">
      <c r="A3" s="7">
        <v>2.0</v>
      </c>
      <c r="B3" s="3"/>
      <c r="C3" s="3"/>
      <c r="D3" s="3"/>
      <c r="E3" s="3"/>
      <c r="F3" s="3"/>
      <c r="G3" s="8"/>
      <c r="H3" s="8"/>
      <c r="I3" s="3"/>
      <c r="J3" s="3"/>
      <c r="K3" s="7" t="s">
        <v>542</v>
      </c>
      <c r="L3" s="3"/>
      <c r="M3" s="3"/>
      <c r="N3" s="3"/>
    </row>
    <row r="4" ht="13.5" customHeight="1">
      <c r="A4" s="7">
        <v>3.0</v>
      </c>
      <c r="B4" s="3"/>
      <c r="C4" s="3"/>
      <c r="D4" s="3"/>
      <c r="E4" s="3"/>
      <c r="F4" s="3"/>
      <c r="G4" s="8"/>
      <c r="H4" s="8"/>
      <c r="I4" s="3"/>
      <c r="J4" s="3"/>
      <c r="K4" s="7" t="s">
        <v>542</v>
      </c>
      <c r="L4" s="3"/>
      <c r="M4" s="3"/>
      <c r="N4" s="3"/>
    </row>
    <row r="5" ht="13.5" customHeight="1">
      <c r="A5" s="3"/>
      <c r="B5" s="3"/>
      <c r="C5" s="3"/>
      <c r="D5" s="3"/>
      <c r="E5" s="3"/>
      <c r="F5" s="3"/>
      <c r="G5" s="8"/>
      <c r="H5" s="8"/>
      <c r="I5" s="3"/>
      <c r="J5" s="3"/>
      <c r="K5" s="3"/>
      <c r="L5" s="3"/>
      <c r="M5" s="3"/>
      <c r="N5" s="3"/>
    </row>
    <row r="6" ht="13.5" customHeight="1">
      <c r="A6" s="3"/>
      <c r="B6" s="3"/>
      <c r="C6" s="3"/>
      <c r="D6" s="3"/>
      <c r="E6" s="3"/>
      <c r="F6" s="3"/>
      <c r="G6" s="8"/>
      <c r="H6" s="8"/>
      <c r="I6" s="3"/>
      <c r="J6" s="3"/>
      <c r="K6" s="3"/>
      <c r="L6" s="3"/>
      <c r="M6" s="3"/>
      <c r="N6" s="3"/>
    </row>
    <row r="7" ht="13.5" customHeight="1">
      <c r="A7" s="3"/>
      <c r="B7" s="3"/>
      <c r="C7" s="3"/>
      <c r="D7" s="3"/>
      <c r="E7" s="3"/>
      <c r="F7" s="3"/>
      <c r="G7" s="8"/>
      <c r="H7" s="8"/>
      <c r="I7" s="3"/>
      <c r="J7" s="3"/>
      <c r="K7" s="3"/>
      <c r="L7" s="3"/>
      <c r="M7" s="3"/>
      <c r="N7" s="3"/>
    </row>
    <row r="8" ht="13.5" customHeight="1">
      <c r="A8" s="3"/>
      <c r="B8" s="3"/>
      <c r="C8" s="3"/>
      <c r="D8" s="3"/>
      <c r="E8" s="3"/>
      <c r="F8" s="3"/>
      <c r="G8" s="8"/>
      <c r="H8" s="8"/>
      <c r="I8" s="3"/>
      <c r="J8" s="3"/>
      <c r="K8" s="3"/>
      <c r="L8" s="3"/>
      <c r="M8" s="3"/>
      <c r="N8" s="3"/>
    </row>
    <row r="9" ht="13.5" customHeight="1">
      <c r="A9" s="3"/>
      <c r="B9" s="3"/>
      <c r="C9" s="3"/>
      <c r="D9" s="3"/>
      <c r="E9" s="3"/>
      <c r="F9" s="3"/>
      <c r="G9" s="8"/>
      <c r="H9" s="8"/>
      <c r="I9" s="3"/>
      <c r="J9" s="3"/>
      <c r="K9" s="3"/>
      <c r="L9" s="3"/>
      <c r="M9" s="3"/>
      <c r="N9" s="3"/>
    </row>
    <row r="10" ht="13.5" customHeight="1">
      <c r="A10" s="3"/>
      <c r="B10" s="3"/>
      <c r="C10" s="3"/>
      <c r="D10" s="3"/>
      <c r="E10" s="3"/>
      <c r="F10" s="3"/>
      <c r="G10" s="8"/>
      <c r="H10" s="8"/>
      <c r="I10" s="3"/>
      <c r="J10" s="3"/>
      <c r="K10" s="3"/>
      <c r="L10" s="3"/>
      <c r="M10" s="3"/>
      <c r="N10" s="3"/>
    </row>
    <row r="11" ht="13.5" customHeight="1">
      <c r="A11" s="3"/>
      <c r="B11" s="3"/>
      <c r="C11" s="3"/>
      <c r="D11" s="3"/>
      <c r="E11" s="3"/>
      <c r="F11" s="3"/>
      <c r="G11" s="8"/>
      <c r="H11" s="8"/>
      <c r="I11" s="3"/>
      <c r="J11" s="3"/>
      <c r="K11" s="3"/>
      <c r="L11" s="3"/>
      <c r="M11" s="3"/>
      <c r="N11" s="3"/>
    </row>
    <row r="12" ht="13.5" customHeight="1">
      <c r="A12" s="3"/>
      <c r="B12" s="3"/>
      <c r="C12" s="3"/>
      <c r="D12" s="3"/>
      <c r="E12" s="3"/>
      <c r="F12" s="3"/>
      <c r="G12" s="8"/>
      <c r="H12" s="8"/>
      <c r="I12" s="3"/>
      <c r="J12" s="3"/>
      <c r="K12" s="3"/>
      <c r="L12" s="3"/>
      <c r="M12" s="3"/>
      <c r="N12" s="3"/>
    </row>
    <row r="13" ht="13.5" customHeight="1">
      <c r="A13" s="3"/>
      <c r="B13" s="3"/>
      <c r="C13" s="3"/>
      <c r="D13" s="3"/>
      <c r="E13" s="3"/>
      <c r="F13" s="3"/>
      <c r="G13" s="8"/>
      <c r="H13" s="8"/>
      <c r="I13" s="3"/>
      <c r="J13" s="3"/>
      <c r="K13" s="3"/>
      <c r="L13" s="3"/>
      <c r="M13" s="3"/>
      <c r="N13" s="3"/>
    </row>
    <row r="14" ht="13.5" customHeight="1">
      <c r="A14" s="3"/>
      <c r="B14" s="3"/>
      <c r="C14" s="3"/>
      <c r="D14" s="3"/>
      <c r="E14" s="3"/>
      <c r="F14" s="3"/>
      <c r="G14" s="8"/>
      <c r="H14" s="8"/>
      <c r="I14" s="3"/>
      <c r="J14" s="3"/>
      <c r="K14" s="3"/>
      <c r="L14" s="3"/>
      <c r="M14" s="3"/>
      <c r="N14" s="3"/>
    </row>
    <row r="15" ht="13.5" customHeight="1">
      <c r="A15" s="3"/>
      <c r="B15" s="3"/>
      <c r="C15" s="3"/>
      <c r="D15" s="3"/>
      <c r="E15" s="3"/>
      <c r="F15" s="3"/>
      <c r="G15" s="8"/>
      <c r="H15" s="8"/>
      <c r="I15" s="3"/>
      <c r="J15" s="3"/>
      <c r="K15" s="3"/>
      <c r="L15" s="3"/>
      <c r="M15" s="3"/>
      <c r="N15" s="3"/>
    </row>
    <row r="16" ht="13.5" customHeight="1">
      <c r="A16" s="3"/>
      <c r="B16" s="3"/>
      <c r="C16" s="3"/>
      <c r="D16" s="3"/>
      <c r="E16" s="3"/>
      <c r="F16" s="3"/>
      <c r="G16" s="8"/>
      <c r="H16" s="8"/>
      <c r="I16" s="3"/>
      <c r="J16" s="3"/>
      <c r="K16" s="3"/>
      <c r="L16" s="3"/>
      <c r="M16" s="3"/>
      <c r="N16" s="3"/>
    </row>
    <row r="17" ht="13.5" customHeight="1">
      <c r="A17" s="3"/>
      <c r="B17" s="3"/>
      <c r="C17" s="3"/>
      <c r="D17" s="3"/>
      <c r="E17" s="3"/>
      <c r="F17" s="3"/>
      <c r="G17" s="8"/>
      <c r="H17" s="8"/>
      <c r="I17" s="3"/>
      <c r="J17" s="3"/>
      <c r="K17" s="3"/>
      <c r="L17" s="3"/>
      <c r="M17" s="3"/>
      <c r="N17" s="3"/>
    </row>
    <row r="18" ht="13.5" customHeight="1">
      <c r="A18" s="3"/>
      <c r="B18" s="3"/>
      <c r="C18" s="3"/>
      <c r="D18" s="3"/>
      <c r="E18" s="3"/>
      <c r="F18" s="3"/>
      <c r="G18" s="8"/>
      <c r="H18" s="8"/>
      <c r="I18" s="3"/>
      <c r="J18" s="3"/>
      <c r="K18" s="3"/>
      <c r="L18" s="3"/>
      <c r="M18" s="3"/>
      <c r="N18" s="3"/>
    </row>
    <row r="19" ht="13.5" customHeight="1">
      <c r="A19" s="3"/>
      <c r="B19" s="3"/>
      <c r="C19" s="3"/>
      <c r="D19" s="3"/>
      <c r="E19" s="3"/>
      <c r="F19" s="3"/>
      <c r="G19" s="8"/>
      <c r="H19" s="8"/>
      <c r="I19" s="3"/>
      <c r="J19" s="3"/>
      <c r="K19" s="3"/>
      <c r="L19" s="3"/>
      <c r="M19" s="3"/>
      <c r="N19" s="3"/>
    </row>
    <row r="20" ht="13.5" customHeight="1">
      <c r="A20" s="3"/>
      <c r="B20" s="3"/>
      <c r="C20" s="3"/>
      <c r="D20" s="3"/>
      <c r="E20" s="3"/>
      <c r="F20" s="3"/>
      <c r="G20" s="8"/>
      <c r="H20" s="8"/>
      <c r="I20" s="3"/>
      <c r="J20" s="3"/>
      <c r="K20" s="3"/>
      <c r="L20" s="3"/>
      <c r="M20" s="3"/>
      <c r="N20" s="3"/>
    </row>
    <row r="21" ht="13.5" customHeight="1">
      <c r="A21" s="3"/>
      <c r="B21" s="3"/>
      <c r="C21" s="3"/>
      <c r="D21" s="3"/>
      <c r="E21" s="3"/>
      <c r="F21" s="3"/>
      <c r="G21" s="8"/>
      <c r="H21" s="8"/>
      <c r="I21" s="3"/>
      <c r="J21" s="3"/>
      <c r="K21" s="3"/>
      <c r="L21" s="3"/>
      <c r="M21" s="3"/>
      <c r="N21" s="3"/>
    </row>
    <row r="22" ht="13.5" customHeight="1">
      <c r="A22" s="3"/>
      <c r="B22" s="3"/>
      <c r="C22" s="3"/>
      <c r="D22" s="3"/>
      <c r="E22" s="3"/>
      <c r="F22" s="3"/>
      <c r="G22" s="8"/>
      <c r="H22" s="8"/>
      <c r="I22" s="3"/>
      <c r="J22" s="3"/>
      <c r="K22" s="3"/>
      <c r="L22" s="3"/>
      <c r="M22" s="3"/>
      <c r="N22" s="3"/>
    </row>
    <row r="23" ht="13.5" customHeight="1">
      <c r="A23" s="3"/>
      <c r="B23" s="3"/>
      <c r="C23" s="3"/>
      <c r="D23" s="3"/>
      <c r="E23" s="3"/>
      <c r="F23" s="3"/>
      <c r="G23" s="8"/>
      <c r="H23" s="8"/>
      <c r="I23" s="3"/>
      <c r="J23" s="3"/>
      <c r="K23" s="3"/>
      <c r="L23" s="3"/>
      <c r="M23" s="3"/>
      <c r="N23" s="3"/>
    </row>
    <row r="24" ht="13.5" customHeight="1">
      <c r="A24" s="3"/>
      <c r="B24" s="3"/>
      <c r="C24" s="3"/>
      <c r="D24" s="3"/>
      <c r="E24" s="3"/>
      <c r="F24" s="3"/>
      <c r="G24" s="8"/>
      <c r="H24" s="8"/>
      <c r="I24" s="3"/>
      <c r="J24" s="3"/>
      <c r="K24" s="3"/>
      <c r="L24" s="3"/>
      <c r="M24" s="3"/>
      <c r="N24" s="3"/>
    </row>
    <row r="25" ht="13.5" customHeight="1">
      <c r="A25" s="3"/>
      <c r="B25" s="3"/>
      <c r="C25" s="3"/>
      <c r="D25" s="3"/>
      <c r="E25" s="3"/>
      <c r="F25" s="3"/>
      <c r="G25" s="8"/>
      <c r="H25" s="8"/>
      <c r="I25" s="3"/>
      <c r="J25" s="3"/>
      <c r="K25" s="3"/>
      <c r="L25" s="3"/>
      <c r="M25" s="3"/>
      <c r="N25" s="3"/>
    </row>
    <row r="26" ht="13.5" customHeight="1">
      <c r="A26" s="3"/>
      <c r="B26" s="3"/>
      <c r="C26" s="3"/>
      <c r="D26" s="3"/>
      <c r="E26" s="3"/>
      <c r="F26" s="3"/>
      <c r="G26" s="8"/>
      <c r="H26" s="8"/>
      <c r="I26" s="3"/>
      <c r="J26" s="3"/>
      <c r="K26" s="3"/>
      <c r="L26" s="3"/>
      <c r="M26" s="3"/>
      <c r="N26" s="3"/>
    </row>
    <row r="27" ht="13.5" customHeight="1">
      <c r="A27" s="3"/>
      <c r="B27" s="3"/>
      <c r="C27" s="3"/>
      <c r="D27" s="3"/>
      <c r="E27" s="3"/>
      <c r="F27" s="3"/>
      <c r="G27" s="8"/>
      <c r="H27" s="8"/>
      <c r="I27" s="3"/>
      <c r="J27" s="3"/>
      <c r="K27" s="3"/>
      <c r="L27" s="3"/>
      <c r="M27" s="3"/>
      <c r="N27" s="3"/>
    </row>
    <row r="28" ht="13.5" customHeight="1">
      <c r="A28" s="3"/>
      <c r="B28" s="3"/>
      <c r="C28" s="3"/>
      <c r="D28" s="3"/>
      <c r="E28" s="3"/>
      <c r="F28" s="3"/>
      <c r="G28" s="8"/>
      <c r="H28" s="8"/>
      <c r="I28" s="3"/>
      <c r="J28" s="3"/>
      <c r="K28" s="3"/>
      <c r="L28" s="3"/>
      <c r="M28" s="3"/>
      <c r="N28" s="3"/>
    </row>
    <row r="29" ht="13.5" customHeight="1">
      <c r="A29" s="3"/>
      <c r="B29" s="3"/>
      <c r="C29" s="3"/>
      <c r="D29" s="3"/>
      <c r="E29" s="3"/>
      <c r="F29" s="3"/>
      <c r="G29" s="8"/>
      <c r="H29" s="8"/>
      <c r="I29" s="3"/>
      <c r="J29" s="3"/>
      <c r="K29" s="3"/>
      <c r="L29" s="3"/>
      <c r="M29" s="3"/>
      <c r="N29" s="3"/>
    </row>
    <row r="30" ht="13.5" customHeight="1">
      <c r="A30" s="3"/>
      <c r="B30" s="3"/>
      <c r="C30" s="3"/>
      <c r="D30" s="3"/>
      <c r="E30" s="3"/>
      <c r="F30" s="3"/>
      <c r="G30" s="8"/>
      <c r="H30" s="8"/>
      <c r="I30" s="3"/>
      <c r="J30" s="3"/>
      <c r="K30" s="3"/>
      <c r="L30" s="3"/>
      <c r="M30" s="3"/>
      <c r="N30" s="3"/>
    </row>
    <row r="31" ht="13.5" customHeight="1">
      <c r="A31" s="3"/>
      <c r="B31" s="3"/>
      <c r="C31" s="3"/>
      <c r="D31" s="3"/>
      <c r="E31" s="3"/>
      <c r="F31" s="3"/>
      <c r="G31" s="8"/>
      <c r="H31" s="8"/>
      <c r="I31" s="3"/>
      <c r="J31" s="3"/>
      <c r="K31" s="3"/>
      <c r="L31" s="3"/>
      <c r="M31" s="3"/>
      <c r="N31" s="3"/>
    </row>
    <row r="32" ht="13.5" customHeight="1">
      <c r="A32" s="3"/>
      <c r="B32" s="3"/>
      <c r="C32" s="3"/>
      <c r="D32" s="3"/>
      <c r="E32" s="3"/>
      <c r="F32" s="3"/>
      <c r="G32" s="8"/>
      <c r="H32" s="8"/>
      <c r="I32" s="3"/>
      <c r="J32" s="3"/>
      <c r="K32" s="3"/>
      <c r="L32" s="3"/>
      <c r="M32" s="3"/>
      <c r="N32" s="3"/>
    </row>
    <row r="33" ht="13.5" customHeight="1">
      <c r="A33" s="3"/>
      <c r="B33" s="3"/>
      <c r="C33" s="3"/>
      <c r="D33" s="3"/>
      <c r="E33" s="3"/>
      <c r="F33" s="3"/>
      <c r="G33" s="8"/>
      <c r="H33" s="8"/>
      <c r="I33" s="3"/>
      <c r="J33" s="3"/>
      <c r="K33" s="3"/>
      <c r="L33" s="3"/>
      <c r="M33" s="3"/>
      <c r="N33" s="3"/>
    </row>
    <row r="34" ht="13.5" customHeight="1">
      <c r="A34" s="3"/>
      <c r="B34" s="3"/>
      <c r="C34" s="3"/>
      <c r="D34" s="3"/>
      <c r="E34" s="3"/>
      <c r="F34" s="3"/>
      <c r="G34" s="8"/>
      <c r="H34" s="8"/>
      <c r="I34" s="3"/>
      <c r="J34" s="3"/>
      <c r="K34" s="3"/>
      <c r="L34" s="3"/>
      <c r="M34" s="3"/>
      <c r="N34" s="3"/>
    </row>
    <row r="35" ht="13.5" customHeight="1">
      <c r="A35" s="3"/>
      <c r="B35" s="3"/>
      <c r="C35" s="3"/>
      <c r="D35" s="3"/>
      <c r="E35" s="3"/>
      <c r="F35" s="3"/>
      <c r="G35" s="8"/>
      <c r="H35" s="8"/>
      <c r="I35" s="3"/>
      <c r="J35" s="3"/>
      <c r="K35" s="3"/>
      <c r="L35" s="3"/>
      <c r="M35" s="3"/>
      <c r="N35" s="3"/>
    </row>
    <row r="36" ht="13.5" customHeight="1">
      <c r="A36" s="3"/>
      <c r="B36" s="3"/>
      <c r="C36" s="3"/>
      <c r="D36" s="3"/>
      <c r="E36" s="3"/>
      <c r="F36" s="3"/>
      <c r="G36" s="8"/>
      <c r="H36" s="8"/>
      <c r="I36" s="3"/>
      <c r="J36" s="3"/>
      <c r="K36" s="3"/>
      <c r="L36" s="3"/>
      <c r="M36" s="3"/>
      <c r="N36" s="3"/>
    </row>
    <row r="37" ht="13.5" customHeight="1">
      <c r="A37" s="3"/>
      <c r="B37" s="3"/>
      <c r="C37" s="3"/>
      <c r="D37" s="3"/>
      <c r="E37" s="3"/>
      <c r="F37" s="3"/>
      <c r="G37" s="8"/>
      <c r="H37" s="8"/>
      <c r="I37" s="3"/>
      <c r="J37" s="3"/>
      <c r="K37" s="3"/>
      <c r="L37" s="3"/>
      <c r="M37" s="3"/>
      <c r="N37" s="3"/>
    </row>
    <row r="38" ht="13.5" customHeight="1">
      <c r="A38" s="3"/>
      <c r="B38" s="3"/>
      <c r="C38" s="3"/>
      <c r="D38" s="3"/>
      <c r="E38" s="3"/>
      <c r="F38" s="3"/>
      <c r="G38" s="8"/>
      <c r="H38" s="8"/>
      <c r="I38" s="3"/>
      <c r="J38" s="3"/>
      <c r="K38" s="3"/>
      <c r="L38" s="3"/>
      <c r="M38" s="3"/>
      <c r="N38" s="3"/>
    </row>
    <row r="39" ht="13.5" customHeight="1">
      <c r="A39" s="3"/>
      <c r="B39" s="3"/>
      <c r="C39" s="3"/>
      <c r="D39" s="3"/>
      <c r="E39" s="3"/>
      <c r="F39" s="3"/>
      <c r="G39" s="8"/>
      <c r="H39" s="8"/>
      <c r="I39" s="3"/>
      <c r="J39" s="3"/>
      <c r="K39" s="3"/>
      <c r="L39" s="3"/>
      <c r="M39" s="3"/>
      <c r="N39" s="3"/>
    </row>
    <row r="40" ht="13.5" customHeight="1">
      <c r="A40" s="3"/>
      <c r="B40" s="3"/>
      <c r="C40" s="3"/>
      <c r="D40" s="3"/>
      <c r="E40" s="3"/>
      <c r="F40" s="3"/>
      <c r="G40" s="8"/>
      <c r="H40" s="8"/>
      <c r="I40" s="3"/>
      <c r="J40" s="3"/>
      <c r="K40" s="3"/>
      <c r="L40" s="3"/>
      <c r="M40" s="3"/>
      <c r="N40" s="3"/>
    </row>
    <row r="41" ht="13.5" customHeight="1">
      <c r="A41" s="3"/>
      <c r="B41" s="3"/>
      <c r="C41" s="3"/>
      <c r="D41" s="3"/>
      <c r="E41" s="3"/>
      <c r="F41" s="3"/>
      <c r="G41" s="8"/>
      <c r="H41" s="8"/>
      <c r="I41" s="3"/>
      <c r="J41" s="3"/>
      <c r="K41" s="3"/>
      <c r="L41" s="3"/>
      <c r="M41" s="3"/>
      <c r="N41" s="3"/>
    </row>
    <row r="42" ht="13.5" customHeight="1">
      <c r="A42" s="3"/>
      <c r="B42" s="3"/>
      <c r="C42" s="3"/>
      <c r="D42" s="3"/>
      <c r="E42" s="3"/>
      <c r="F42" s="3"/>
      <c r="G42" s="8"/>
      <c r="H42" s="8"/>
      <c r="I42" s="3"/>
      <c r="J42" s="3"/>
      <c r="K42" s="3"/>
      <c r="L42" s="3"/>
      <c r="M42" s="3"/>
      <c r="N42" s="3"/>
    </row>
    <row r="43" ht="13.5" customHeight="1">
      <c r="A43" s="3"/>
      <c r="B43" s="3"/>
      <c r="C43" s="3"/>
      <c r="D43" s="3"/>
      <c r="E43" s="3"/>
      <c r="F43" s="3"/>
      <c r="G43" s="8"/>
      <c r="H43" s="8"/>
      <c r="I43" s="3"/>
      <c r="J43" s="3"/>
      <c r="K43" s="3"/>
      <c r="L43" s="3"/>
      <c r="M43" s="3"/>
      <c r="N43" s="3"/>
    </row>
    <row r="44" ht="13.5" customHeight="1">
      <c r="A44" s="3"/>
      <c r="B44" s="3"/>
      <c r="C44" s="3"/>
      <c r="D44" s="3"/>
      <c r="E44" s="3"/>
      <c r="F44" s="3"/>
      <c r="G44" s="8"/>
      <c r="H44" s="8"/>
      <c r="I44" s="3"/>
      <c r="J44" s="3"/>
      <c r="K44" s="3"/>
      <c r="L44" s="3"/>
      <c r="M44" s="3"/>
      <c r="N44" s="3"/>
    </row>
    <row r="45" ht="13.5" customHeight="1">
      <c r="A45" s="3"/>
      <c r="B45" s="3"/>
      <c r="C45" s="3"/>
      <c r="D45" s="3"/>
      <c r="E45" s="3"/>
      <c r="F45" s="3"/>
      <c r="G45" s="8"/>
      <c r="H45" s="8"/>
      <c r="I45" s="3"/>
      <c r="J45" s="3"/>
      <c r="K45" s="3"/>
      <c r="L45" s="3"/>
      <c r="M45" s="3"/>
      <c r="N45" s="3"/>
    </row>
    <row r="46" ht="13.5" customHeight="1">
      <c r="A46" s="3"/>
      <c r="B46" s="3"/>
      <c r="C46" s="3"/>
      <c r="D46" s="3"/>
      <c r="E46" s="3"/>
      <c r="F46" s="3"/>
      <c r="G46" s="8"/>
      <c r="H46" s="8"/>
      <c r="I46" s="3"/>
      <c r="J46" s="3"/>
      <c r="K46" s="3"/>
      <c r="L46" s="3"/>
      <c r="M46" s="3"/>
      <c r="N46" s="3"/>
    </row>
    <row r="47" ht="13.5" customHeight="1">
      <c r="A47" s="3"/>
      <c r="B47" s="3"/>
      <c r="C47" s="3"/>
      <c r="D47" s="3"/>
      <c r="E47" s="3"/>
      <c r="F47" s="3"/>
      <c r="G47" s="8"/>
      <c r="H47" s="8"/>
      <c r="I47" s="3"/>
      <c r="J47" s="3"/>
      <c r="K47" s="3"/>
      <c r="L47" s="3"/>
      <c r="M47" s="3"/>
      <c r="N47" s="3"/>
    </row>
    <row r="48" ht="13.5" customHeight="1">
      <c r="A48" s="3"/>
      <c r="B48" s="3"/>
      <c r="C48" s="3"/>
      <c r="D48" s="3"/>
      <c r="E48" s="3"/>
      <c r="F48" s="3"/>
      <c r="G48" s="8"/>
      <c r="H48" s="8"/>
      <c r="I48" s="3"/>
      <c r="J48" s="3"/>
      <c r="K48" s="3"/>
      <c r="L48" s="3"/>
      <c r="M48" s="3"/>
      <c r="N48" s="3"/>
    </row>
    <row r="49" ht="13.5" customHeight="1">
      <c r="A49" s="3"/>
      <c r="B49" s="3"/>
      <c r="C49" s="3"/>
      <c r="D49" s="3"/>
      <c r="E49" s="3"/>
      <c r="F49" s="3"/>
      <c r="G49" s="8"/>
      <c r="H49" s="8"/>
      <c r="I49" s="3"/>
      <c r="J49" s="3"/>
      <c r="K49" s="3"/>
      <c r="L49" s="3"/>
      <c r="M49" s="3"/>
      <c r="N49" s="3"/>
    </row>
    <row r="50" ht="13.5" customHeight="1">
      <c r="A50" s="3"/>
      <c r="B50" s="3"/>
      <c r="C50" s="3"/>
      <c r="D50" s="3"/>
      <c r="E50" s="3"/>
      <c r="F50" s="3"/>
      <c r="G50" s="8"/>
      <c r="H50" s="8"/>
      <c r="I50" s="3"/>
      <c r="J50" s="3"/>
      <c r="K50" s="3"/>
      <c r="L50" s="3"/>
      <c r="M50" s="3"/>
      <c r="N50" s="3"/>
    </row>
    <row r="51" ht="13.5" customHeight="1">
      <c r="A51" s="3"/>
      <c r="B51" s="3"/>
      <c r="C51" s="3"/>
      <c r="D51" s="3"/>
      <c r="E51" s="3"/>
      <c r="F51" s="3"/>
      <c r="G51" s="8"/>
      <c r="H51" s="8"/>
      <c r="I51" s="3"/>
      <c r="J51" s="3"/>
      <c r="K51" s="3"/>
      <c r="L51" s="3"/>
      <c r="M51" s="3"/>
      <c r="N51" s="3"/>
    </row>
    <row r="52" ht="13.5" customHeight="1">
      <c r="A52" s="3"/>
      <c r="B52" s="3"/>
      <c r="C52" s="3"/>
      <c r="D52" s="3"/>
      <c r="E52" s="3"/>
      <c r="F52" s="3"/>
      <c r="G52" s="8"/>
      <c r="H52" s="8"/>
      <c r="I52" s="3"/>
      <c r="J52" s="3"/>
      <c r="K52" s="3"/>
      <c r="L52" s="3"/>
      <c r="M52" s="3"/>
      <c r="N52" s="3"/>
    </row>
    <row r="53" ht="13.5" customHeight="1">
      <c r="A53" s="3"/>
      <c r="B53" s="3"/>
      <c r="C53" s="3"/>
      <c r="D53" s="3"/>
      <c r="E53" s="3"/>
      <c r="F53" s="3"/>
      <c r="G53" s="8"/>
      <c r="H53" s="8"/>
      <c r="I53" s="3"/>
      <c r="J53" s="3"/>
      <c r="K53" s="3"/>
      <c r="L53" s="3"/>
      <c r="M53" s="3"/>
      <c r="N53" s="3"/>
    </row>
    <row r="54" ht="13.5" customHeight="1">
      <c r="A54" s="3"/>
      <c r="B54" s="3"/>
      <c r="C54" s="3"/>
      <c r="D54" s="3"/>
      <c r="E54" s="3"/>
      <c r="F54" s="3"/>
      <c r="G54" s="8"/>
      <c r="H54" s="8"/>
      <c r="I54" s="3"/>
      <c r="J54" s="3"/>
      <c r="K54" s="3"/>
      <c r="L54" s="3"/>
      <c r="M54" s="3"/>
      <c r="N54" s="3"/>
    </row>
    <row r="55" ht="13.5" customHeight="1">
      <c r="A55" s="3"/>
      <c r="B55" s="3"/>
      <c r="C55" s="3"/>
      <c r="D55" s="3"/>
      <c r="E55" s="3"/>
      <c r="F55" s="3"/>
      <c r="G55" s="8"/>
      <c r="H55" s="8"/>
      <c r="I55" s="3"/>
      <c r="J55" s="3"/>
      <c r="K55" s="3"/>
      <c r="L55" s="3"/>
      <c r="M55" s="3"/>
      <c r="N55" s="3"/>
    </row>
    <row r="56" ht="13.5" customHeight="1">
      <c r="A56" s="3"/>
      <c r="B56" s="3"/>
      <c r="C56" s="3"/>
      <c r="D56" s="3"/>
      <c r="E56" s="3"/>
      <c r="F56" s="3"/>
      <c r="G56" s="8"/>
      <c r="H56" s="8"/>
      <c r="I56" s="3"/>
      <c r="J56" s="3"/>
      <c r="K56" s="3"/>
      <c r="L56" s="3"/>
      <c r="M56" s="3"/>
      <c r="N56" s="3"/>
    </row>
    <row r="57" ht="13.5" customHeight="1">
      <c r="A57" s="3"/>
      <c r="B57" s="3"/>
      <c r="C57" s="3"/>
      <c r="D57" s="3"/>
      <c r="E57" s="3"/>
      <c r="F57" s="3"/>
      <c r="G57" s="8"/>
      <c r="H57" s="8"/>
      <c r="I57" s="3"/>
      <c r="J57" s="3"/>
      <c r="K57" s="3"/>
      <c r="L57" s="3"/>
      <c r="M57" s="3"/>
      <c r="N57" s="3"/>
    </row>
    <row r="58" ht="13.5" customHeight="1">
      <c r="A58" s="3"/>
      <c r="B58" s="3"/>
      <c r="C58" s="3"/>
      <c r="D58" s="3"/>
      <c r="E58" s="3"/>
      <c r="F58" s="3"/>
      <c r="G58" s="8"/>
      <c r="H58" s="8"/>
      <c r="I58" s="3"/>
      <c r="J58" s="3"/>
      <c r="K58" s="3"/>
      <c r="L58" s="3"/>
      <c r="M58" s="3"/>
      <c r="N58" s="3"/>
    </row>
    <row r="59" ht="13.5" customHeight="1">
      <c r="A59" s="3"/>
      <c r="B59" s="3"/>
      <c r="C59" s="3"/>
      <c r="D59" s="3"/>
      <c r="E59" s="3"/>
      <c r="F59" s="3"/>
      <c r="G59" s="8"/>
      <c r="H59" s="8"/>
      <c r="I59" s="3"/>
      <c r="J59" s="3"/>
      <c r="K59" s="3"/>
      <c r="L59" s="3"/>
      <c r="M59" s="3"/>
      <c r="N59" s="3"/>
    </row>
    <row r="60" ht="13.5" customHeight="1">
      <c r="A60" s="3"/>
      <c r="B60" s="3"/>
      <c r="C60" s="3"/>
      <c r="D60" s="3"/>
      <c r="E60" s="3"/>
      <c r="F60" s="3"/>
      <c r="G60" s="8"/>
      <c r="H60" s="8"/>
      <c r="I60" s="3"/>
      <c r="J60" s="3"/>
      <c r="K60" s="3"/>
      <c r="L60" s="3"/>
      <c r="M60" s="3"/>
      <c r="N60" s="3"/>
    </row>
    <row r="61" ht="13.5" customHeight="1">
      <c r="A61" s="3"/>
      <c r="B61" s="3"/>
      <c r="C61" s="3"/>
      <c r="D61" s="3"/>
      <c r="E61" s="3"/>
      <c r="F61" s="3"/>
      <c r="G61" s="8"/>
      <c r="H61" s="8"/>
      <c r="I61" s="3"/>
      <c r="J61" s="3"/>
      <c r="K61" s="3"/>
      <c r="L61" s="3"/>
      <c r="M61" s="3"/>
      <c r="N61" s="3"/>
    </row>
    <row r="62" ht="13.5" customHeight="1">
      <c r="A62" s="3"/>
      <c r="B62" s="3"/>
      <c r="C62" s="3"/>
      <c r="D62" s="3"/>
      <c r="E62" s="3"/>
      <c r="F62" s="3"/>
      <c r="G62" s="8"/>
      <c r="H62" s="8"/>
      <c r="I62" s="3"/>
      <c r="J62" s="3"/>
      <c r="K62" s="3"/>
      <c r="L62" s="3"/>
      <c r="M62" s="3"/>
      <c r="N62" s="3"/>
    </row>
    <row r="63" ht="13.5" customHeight="1">
      <c r="A63" s="3"/>
      <c r="B63" s="3"/>
      <c r="C63" s="3"/>
      <c r="D63" s="3"/>
      <c r="E63" s="3"/>
      <c r="F63" s="3"/>
      <c r="G63" s="8"/>
      <c r="H63" s="8"/>
      <c r="I63" s="3"/>
      <c r="J63" s="3"/>
      <c r="K63" s="3"/>
      <c r="L63" s="3"/>
      <c r="M63" s="3"/>
      <c r="N63" s="3"/>
    </row>
    <row r="64" ht="13.5" customHeight="1">
      <c r="A64" s="3"/>
      <c r="B64" s="3"/>
      <c r="C64" s="3"/>
      <c r="D64" s="3"/>
      <c r="E64" s="3"/>
      <c r="F64" s="3"/>
      <c r="G64" s="8"/>
      <c r="H64" s="8"/>
      <c r="I64" s="3"/>
      <c r="J64" s="3"/>
      <c r="K64" s="3"/>
      <c r="L64" s="3"/>
      <c r="M64" s="3"/>
      <c r="N64" s="3"/>
    </row>
    <row r="65" ht="13.5" customHeight="1">
      <c r="A65" s="3"/>
      <c r="B65" s="3"/>
      <c r="C65" s="3"/>
      <c r="D65" s="3"/>
      <c r="E65" s="3"/>
      <c r="F65" s="3"/>
      <c r="G65" s="8"/>
      <c r="H65" s="8"/>
      <c r="I65" s="3"/>
      <c r="J65" s="3"/>
      <c r="K65" s="3"/>
      <c r="L65" s="3"/>
      <c r="M65" s="3"/>
      <c r="N65" s="3"/>
    </row>
    <row r="66" ht="13.5" customHeight="1">
      <c r="A66" s="3"/>
      <c r="B66" s="3"/>
      <c r="C66" s="3"/>
      <c r="D66" s="3"/>
      <c r="E66" s="3"/>
      <c r="F66" s="3"/>
      <c r="G66" s="8"/>
      <c r="H66" s="8"/>
      <c r="I66" s="3"/>
      <c r="J66" s="3"/>
      <c r="K66" s="3"/>
      <c r="L66" s="3"/>
      <c r="M66" s="3"/>
      <c r="N66" s="3"/>
    </row>
    <row r="67" ht="13.5" customHeight="1">
      <c r="A67" s="3"/>
      <c r="B67" s="3"/>
      <c r="C67" s="3"/>
      <c r="D67" s="3"/>
      <c r="E67" s="3"/>
      <c r="F67" s="3"/>
      <c r="G67" s="8"/>
      <c r="H67" s="8"/>
      <c r="I67" s="3"/>
      <c r="J67" s="3"/>
      <c r="K67" s="3"/>
      <c r="L67" s="3"/>
      <c r="M67" s="3"/>
      <c r="N67" s="3"/>
    </row>
    <row r="68" ht="13.5" customHeight="1">
      <c r="A68" s="3"/>
      <c r="B68" s="3"/>
      <c r="C68" s="3"/>
      <c r="D68" s="3"/>
      <c r="E68" s="3"/>
      <c r="F68" s="3"/>
      <c r="G68" s="8"/>
      <c r="H68" s="8"/>
      <c r="I68" s="3"/>
      <c r="J68" s="3"/>
      <c r="K68" s="3"/>
      <c r="L68" s="3"/>
      <c r="M68" s="3"/>
      <c r="N68" s="3"/>
    </row>
    <row r="69" ht="13.5" customHeight="1">
      <c r="A69" s="3"/>
      <c r="B69" s="3"/>
      <c r="C69" s="3"/>
      <c r="D69" s="3"/>
      <c r="E69" s="3"/>
      <c r="F69" s="3"/>
      <c r="G69" s="8"/>
      <c r="H69" s="8"/>
      <c r="I69" s="3"/>
      <c r="J69" s="3"/>
      <c r="K69" s="3"/>
      <c r="L69" s="3"/>
      <c r="M69" s="3"/>
      <c r="N69" s="3"/>
    </row>
    <row r="70" ht="13.5" customHeight="1">
      <c r="A70" s="3"/>
      <c r="B70" s="3"/>
      <c r="C70" s="3"/>
      <c r="D70" s="3"/>
      <c r="E70" s="3"/>
      <c r="F70" s="3"/>
      <c r="G70" s="8"/>
      <c r="H70" s="8"/>
      <c r="I70" s="3"/>
      <c r="J70" s="3"/>
      <c r="K70" s="3"/>
      <c r="L70" s="3"/>
      <c r="M70" s="3"/>
      <c r="N70" s="3"/>
    </row>
    <row r="71" ht="13.5" customHeight="1">
      <c r="A71" s="3"/>
      <c r="B71" s="3"/>
      <c r="C71" s="3"/>
      <c r="D71" s="3"/>
      <c r="E71" s="3"/>
      <c r="F71" s="3"/>
      <c r="G71" s="8"/>
      <c r="H71" s="8"/>
      <c r="I71" s="3"/>
      <c r="J71" s="3"/>
      <c r="K71" s="3"/>
      <c r="L71" s="3"/>
      <c r="M71" s="3"/>
      <c r="N71" s="3"/>
    </row>
    <row r="72" ht="13.5" customHeight="1">
      <c r="A72" s="3"/>
      <c r="B72" s="3"/>
      <c r="C72" s="3"/>
      <c r="D72" s="3"/>
      <c r="E72" s="3"/>
      <c r="F72" s="3"/>
      <c r="G72" s="8"/>
      <c r="H72" s="8"/>
      <c r="I72" s="3"/>
      <c r="J72" s="3"/>
      <c r="K72" s="3"/>
      <c r="L72" s="3"/>
      <c r="M72" s="3"/>
      <c r="N72" s="3"/>
    </row>
    <row r="73" ht="13.5" customHeight="1">
      <c r="A73" s="3"/>
      <c r="B73" s="3"/>
      <c r="C73" s="3"/>
      <c r="D73" s="3"/>
      <c r="E73" s="3"/>
      <c r="F73" s="3"/>
      <c r="G73" s="8"/>
      <c r="H73" s="8"/>
      <c r="I73" s="3"/>
      <c r="J73" s="3"/>
      <c r="K73" s="3"/>
      <c r="L73" s="3"/>
      <c r="M73" s="3"/>
      <c r="N73" s="3"/>
    </row>
    <row r="74" ht="13.5" customHeight="1">
      <c r="A74" s="3"/>
      <c r="B74" s="3"/>
      <c r="C74" s="3"/>
      <c r="D74" s="3"/>
      <c r="E74" s="3"/>
      <c r="F74" s="3"/>
      <c r="G74" s="8"/>
      <c r="H74" s="8"/>
      <c r="I74" s="3"/>
      <c r="J74" s="3"/>
      <c r="K74" s="3"/>
      <c r="L74" s="3"/>
      <c r="M74" s="3"/>
      <c r="N74" s="3"/>
    </row>
    <row r="75" ht="13.5" customHeight="1">
      <c r="A75" s="3"/>
      <c r="B75" s="3"/>
      <c r="C75" s="3"/>
      <c r="D75" s="3"/>
      <c r="E75" s="3"/>
      <c r="F75" s="3"/>
      <c r="G75" s="8"/>
      <c r="H75" s="8"/>
      <c r="I75" s="3"/>
      <c r="J75" s="3"/>
      <c r="K75" s="3"/>
      <c r="L75" s="3"/>
      <c r="M75" s="3"/>
      <c r="N75" s="3"/>
    </row>
    <row r="76" ht="13.5" customHeight="1">
      <c r="A76" s="3"/>
      <c r="B76" s="3"/>
      <c r="C76" s="3"/>
      <c r="D76" s="3"/>
      <c r="E76" s="3"/>
      <c r="F76" s="3"/>
      <c r="G76" s="8"/>
      <c r="H76" s="8"/>
      <c r="I76" s="3"/>
      <c r="J76" s="3"/>
      <c r="K76" s="3"/>
      <c r="L76" s="3"/>
      <c r="M76" s="3"/>
      <c r="N76" s="3"/>
    </row>
    <row r="77" ht="13.5" customHeight="1">
      <c r="A77" s="3"/>
      <c r="B77" s="3"/>
      <c r="C77" s="3"/>
      <c r="D77" s="3"/>
      <c r="E77" s="3"/>
      <c r="F77" s="3"/>
      <c r="G77" s="8"/>
      <c r="H77" s="8"/>
      <c r="I77" s="3"/>
      <c r="J77" s="3"/>
      <c r="K77" s="3"/>
      <c r="L77" s="3"/>
      <c r="M77" s="3"/>
      <c r="N77" s="3"/>
    </row>
    <row r="78" ht="13.5" customHeight="1">
      <c r="A78" s="3"/>
      <c r="B78" s="3"/>
      <c r="C78" s="3"/>
      <c r="D78" s="3"/>
      <c r="E78" s="3"/>
      <c r="F78" s="3"/>
      <c r="G78" s="8"/>
      <c r="H78" s="8"/>
      <c r="I78" s="3"/>
      <c r="J78" s="3"/>
      <c r="K78" s="3"/>
      <c r="L78" s="3"/>
      <c r="M78" s="3"/>
      <c r="N78" s="3"/>
    </row>
    <row r="79" ht="13.5" customHeight="1">
      <c r="A79" s="3"/>
      <c r="B79" s="3"/>
      <c r="C79" s="3"/>
      <c r="D79" s="3"/>
      <c r="E79" s="3"/>
      <c r="F79" s="3"/>
      <c r="G79" s="8"/>
      <c r="H79" s="8"/>
      <c r="I79" s="3"/>
      <c r="J79" s="3"/>
      <c r="K79" s="3"/>
      <c r="L79" s="3"/>
      <c r="M79" s="3"/>
      <c r="N79" s="3"/>
    </row>
    <row r="80" ht="13.5" customHeight="1">
      <c r="A80" s="3"/>
      <c r="B80" s="3"/>
      <c r="C80" s="3"/>
      <c r="D80" s="3"/>
      <c r="E80" s="3"/>
      <c r="F80" s="3"/>
      <c r="G80" s="8"/>
      <c r="H80" s="8"/>
      <c r="I80" s="3"/>
      <c r="J80" s="3"/>
      <c r="K80" s="3"/>
      <c r="L80" s="3"/>
      <c r="M80" s="3"/>
      <c r="N80" s="3"/>
    </row>
    <row r="81" ht="13.5" customHeight="1">
      <c r="A81" s="3"/>
      <c r="B81" s="3"/>
      <c r="C81" s="3"/>
      <c r="D81" s="3"/>
      <c r="E81" s="3"/>
      <c r="F81" s="3"/>
      <c r="G81" s="8"/>
      <c r="H81" s="8"/>
      <c r="I81" s="3"/>
      <c r="J81" s="3"/>
      <c r="K81" s="3"/>
      <c r="L81" s="3"/>
      <c r="M81" s="3"/>
      <c r="N81" s="3"/>
    </row>
    <row r="82" ht="13.5" customHeight="1">
      <c r="A82" s="3"/>
      <c r="B82" s="3"/>
      <c r="C82" s="3"/>
      <c r="D82" s="3"/>
      <c r="E82" s="3"/>
      <c r="F82" s="3"/>
      <c r="G82" s="8"/>
      <c r="H82" s="8"/>
      <c r="I82" s="3"/>
      <c r="J82" s="3"/>
      <c r="K82" s="3"/>
      <c r="L82" s="3"/>
      <c r="M82" s="3"/>
      <c r="N82" s="3"/>
    </row>
    <row r="83" ht="13.5" customHeight="1">
      <c r="A83" s="3"/>
      <c r="B83" s="3"/>
      <c r="C83" s="3"/>
      <c r="D83" s="3"/>
      <c r="E83" s="3"/>
      <c r="F83" s="3"/>
      <c r="G83" s="8"/>
      <c r="H83" s="8"/>
      <c r="I83" s="3"/>
      <c r="J83" s="3"/>
      <c r="K83" s="3"/>
      <c r="L83" s="3"/>
      <c r="M83" s="3"/>
      <c r="N83" s="3"/>
    </row>
    <row r="84" ht="13.5" customHeight="1">
      <c r="A84" s="3"/>
      <c r="B84" s="3"/>
      <c r="C84" s="3"/>
      <c r="D84" s="3"/>
      <c r="E84" s="3"/>
      <c r="F84" s="3"/>
      <c r="G84" s="8"/>
      <c r="H84" s="8"/>
      <c r="I84" s="3"/>
      <c r="J84" s="3"/>
      <c r="K84" s="3"/>
      <c r="L84" s="3"/>
      <c r="M84" s="3"/>
      <c r="N84" s="3"/>
    </row>
    <row r="85" ht="13.5" customHeight="1">
      <c r="A85" s="3"/>
      <c r="B85" s="3"/>
      <c r="C85" s="3"/>
      <c r="D85" s="3"/>
      <c r="E85" s="3"/>
      <c r="F85" s="3"/>
      <c r="G85" s="8"/>
      <c r="H85" s="8"/>
      <c r="I85" s="3"/>
      <c r="J85" s="3"/>
      <c r="K85" s="3"/>
      <c r="L85" s="3"/>
      <c r="M85" s="3"/>
      <c r="N85" s="3"/>
    </row>
    <row r="86" ht="13.5" customHeight="1">
      <c r="A86" s="3"/>
      <c r="B86" s="3"/>
      <c r="C86" s="3"/>
      <c r="D86" s="3"/>
      <c r="E86" s="3"/>
      <c r="F86" s="3"/>
      <c r="G86" s="8"/>
      <c r="H86" s="8"/>
      <c r="I86" s="3"/>
      <c r="J86" s="3"/>
      <c r="K86" s="3"/>
      <c r="L86" s="3"/>
      <c r="M86" s="3"/>
      <c r="N86" s="3"/>
    </row>
    <row r="87" ht="13.5" customHeight="1">
      <c r="A87" s="3"/>
      <c r="B87" s="3"/>
      <c r="C87" s="3"/>
      <c r="D87" s="3"/>
      <c r="E87" s="3"/>
      <c r="F87" s="3"/>
      <c r="G87" s="8"/>
      <c r="H87" s="8"/>
      <c r="I87" s="3"/>
      <c r="J87" s="3"/>
      <c r="K87" s="3"/>
      <c r="L87" s="3"/>
      <c r="M87" s="3"/>
      <c r="N87" s="3"/>
    </row>
    <row r="88" ht="13.5" customHeight="1">
      <c r="A88" s="3"/>
      <c r="B88" s="3"/>
      <c r="C88" s="3"/>
      <c r="D88" s="3"/>
      <c r="E88" s="3"/>
      <c r="F88" s="3"/>
      <c r="G88" s="8"/>
      <c r="H88" s="8"/>
      <c r="I88" s="3"/>
      <c r="J88" s="3"/>
      <c r="K88" s="3"/>
      <c r="L88" s="3"/>
      <c r="M88" s="3"/>
      <c r="N88" s="3"/>
    </row>
    <row r="89" ht="13.5" customHeight="1">
      <c r="A89" s="3"/>
      <c r="B89" s="3"/>
      <c r="C89" s="3"/>
      <c r="D89" s="3"/>
      <c r="E89" s="3"/>
      <c r="F89" s="3"/>
      <c r="G89" s="8"/>
      <c r="H89" s="8"/>
      <c r="I89" s="3"/>
      <c r="J89" s="3"/>
      <c r="K89" s="3"/>
      <c r="L89" s="3"/>
      <c r="M89" s="3"/>
      <c r="N89" s="3"/>
    </row>
    <row r="90" ht="13.5" customHeight="1">
      <c r="A90" s="3"/>
      <c r="B90" s="3"/>
      <c r="C90" s="3"/>
      <c r="D90" s="3"/>
      <c r="E90" s="3"/>
      <c r="F90" s="3"/>
      <c r="G90" s="8"/>
      <c r="H90" s="8"/>
      <c r="I90" s="3"/>
      <c r="J90" s="3"/>
      <c r="K90" s="3"/>
      <c r="L90" s="3"/>
      <c r="M90" s="3"/>
      <c r="N90" s="3"/>
    </row>
    <row r="91" ht="13.5" customHeight="1">
      <c r="A91" s="3"/>
      <c r="B91" s="3"/>
      <c r="C91" s="3"/>
      <c r="D91" s="3"/>
      <c r="E91" s="3"/>
      <c r="F91" s="3"/>
      <c r="G91" s="8"/>
      <c r="H91" s="8"/>
      <c r="I91" s="3"/>
      <c r="J91" s="3"/>
      <c r="K91" s="3"/>
      <c r="L91" s="3"/>
      <c r="M91" s="3"/>
      <c r="N91" s="3"/>
    </row>
    <row r="92" ht="13.5" customHeight="1">
      <c r="A92" s="3"/>
      <c r="B92" s="3"/>
      <c r="C92" s="3"/>
      <c r="D92" s="3"/>
      <c r="E92" s="3"/>
      <c r="F92" s="3"/>
      <c r="G92" s="8"/>
      <c r="H92" s="8"/>
      <c r="I92" s="3"/>
      <c r="J92" s="3"/>
      <c r="K92" s="3"/>
      <c r="L92" s="3"/>
      <c r="M92" s="3"/>
      <c r="N92" s="3"/>
    </row>
    <row r="93" ht="13.5" customHeight="1">
      <c r="A93" s="3"/>
      <c r="B93" s="3"/>
      <c r="C93" s="3"/>
      <c r="D93" s="3"/>
      <c r="E93" s="3"/>
      <c r="F93" s="3"/>
      <c r="G93" s="8"/>
      <c r="H93" s="8"/>
      <c r="I93" s="3"/>
      <c r="J93" s="3"/>
      <c r="K93" s="3"/>
      <c r="L93" s="3"/>
      <c r="M93" s="3"/>
      <c r="N93" s="3"/>
    </row>
    <row r="94" ht="13.5" customHeight="1">
      <c r="A94" s="3"/>
      <c r="B94" s="3"/>
      <c r="C94" s="3"/>
      <c r="D94" s="3"/>
      <c r="E94" s="3"/>
      <c r="F94" s="3"/>
      <c r="G94" s="8"/>
      <c r="H94" s="8"/>
      <c r="I94" s="3"/>
      <c r="J94" s="3"/>
      <c r="K94" s="3"/>
      <c r="L94" s="3"/>
      <c r="M94" s="3"/>
      <c r="N94" s="3"/>
    </row>
    <row r="95" ht="13.5" customHeight="1">
      <c r="A95" s="3"/>
      <c r="B95" s="3"/>
      <c r="C95" s="3"/>
      <c r="D95" s="3"/>
      <c r="E95" s="3"/>
      <c r="F95" s="3"/>
      <c r="G95" s="8"/>
      <c r="H95" s="8"/>
      <c r="I95" s="3"/>
      <c r="J95" s="3"/>
      <c r="K95" s="3"/>
      <c r="L95" s="3"/>
      <c r="M95" s="3"/>
      <c r="N95" s="3"/>
    </row>
    <row r="96" ht="13.5" customHeight="1">
      <c r="A96" s="3"/>
      <c r="B96" s="3"/>
      <c r="C96" s="3"/>
      <c r="D96" s="3"/>
      <c r="E96" s="3"/>
      <c r="F96" s="3"/>
      <c r="G96" s="8"/>
      <c r="H96" s="8"/>
      <c r="I96" s="3"/>
      <c r="J96" s="3"/>
      <c r="K96" s="3"/>
      <c r="L96" s="3"/>
      <c r="M96" s="3"/>
      <c r="N96" s="3"/>
    </row>
    <row r="97" ht="13.5" customHeight="1">
      <c r="A97" s="3"/>
      <c r="B97" s="3"/>
      <c r="C97" s="3"/>
      <c r="D97" s="3"/>
      <c r="E97" s="3"/>
      <c r="F97" s="3"/>
      <c r="G97" s="8"/>
      <c r="H97" s="8"/>
      <c r="I97" s="3"/>
      <c r="J97" s="3"/>
      <c r="K97" s="3"/>
      <c r="L97" s="3"/>
      <c r="M97" s="3"/>
      <c r="N97" s="3"/>
    </row>
    <row r="98" ht="13.5" customHeight="1">
      <c r="A98" s="3"/>
      <c r="B98" s="3"/>
      <c r="C98" s="3"/>
      <c r="D98" s="3"/>
      <c r="E98" s="3"/>
      <c r="F98" s="3"/>
      <c r="G98" s="8"/>
      <c r="H98" s="8"/>
      <c r="I98" s="3"/>
      <c r="J98" s="3"/>
      <c r="K98" s="3"/>
      <c r="L98" s="3"/>
      <c r="M98" s="3"/>
      <c r="N98" s="3"/>
    </row>
    <row r="99" ht="13.5" customHeight="1">
      <c r="A99" s="3"/>
      <c r="B99" s="3"/>
      <c r="C99" s="3"/>
      <c r="D99" s="3"/>
      <c r="E99" s="3"/>
      <c r="F99" s="3"/>
      <c r="G99" s="8"/>
      <c r="H99" s="8"/>
      <c r="I99" s="3"/>
      <c r="J99" s="3"/>
      <c r="K99" s="3"/>
      <c r="L99" s="3"/>
      <c r="M99" s="3"/>
      <c r="N99" s="3"/>
    </row>
    <row r="100" ht="13.5" customHeight="1">
      <c r="A100" s="3"/>
      <c r="B100" s="3"/>
      <c r="C100" s="3"/>
      <c r="D100" s="3"/>
      <c r="E100" s="3"/>
      <c r="F100" s="3"/>
      <c r="G100" s="8"/>
      <c r="H100" s="8"/>
      <c r="I100" s="3"/>
      <c r="J100" s="3"/>
      <c r="K100" s="3"/>
      <c r="L100" s="3"/>
      <c r="M100" s="3"/>
      <c r="N100" s="3"/>
    </row>
    <row r="101" ht="13.5" customHeight="1">
      <c r="A101" s="3"/>
      <c r="B101" s="3"/>
      <c r="C101" s="3"/>
      <c r="D101" s="3"/>
      <c r="E101" s="3"/>
      <c r="F101" s="3"/>
      <c r="G101" s="8"/>
      <c r="H101" s="8"/>
      <c r="I101" s="3"/>
      <c r="J101" s="3"/>
      <c r="K101" s="3"/>
      <c r="L101" s="3"/>
      <c r="M101" s="3"/>
      <c r="N101" s="3"/>
    </row>
    <row r="102" ht="13.5" customHeight="1">
      <c r="A102" s="3"/>
      <c r="B102" s="3"/>
      <c r="C102" s="3"/>
      <c r="D102" s="3"/>
      <c r="E102" s="3"/>
      <c r="F102" s="3"/>
      <c r="G102" s="8"/>
      <c r="H102" s="8"/>
      <c r="I102" s="3"/>
      <c r="J102" s="3"/>
      <c r="K102" s="3"/>
      <c r="L102" s="3"/>
      <c r="M102" s="3"/>
      <c r="N102" s="3"/>
    </row>
    <row r="103" ht="13.5" customHeight="1">
      <c r="A103" s="3"/>
      <c r="B103" s="3"/>
      <c r="C103" s="3"/>
      <c r="D103" s="3"/>
      <c r="E103" s="3"/>
      <c r="F103" s="3"/>
      <c r="G103" s="8"/>
      <c r="H103" s="8"/>
      <c r="I103" s="3"/>
      <c r="J103" s="3"/>
      <c r="K103" s="3"/>
      <c r="L103" s="3"/>
      <c r="M103" s="3"/>
      <c r="N103" s="3"/>
    </row>
    <row r="104" ht="13.5" customHeight="1">
      <c r="A104" s="3"/>
      <c r="B104" s="3"/>
      <c r="C104" s="3"/>
      <c r="D104" s="3"/>
      <c r="E104" s="3"/>
      <c r="F104" s="3"/>
      <c r="G104" s="8"/>
      <c r="H104" s="8"/>
      <c r="I104" s="3"/>
      <c r="J104" s="3"/>
      <c r="K104" s="3"/>
      <c r="L104" s="3"/>
      <c r="M104" s="3"/>
      <c r="N104" s="3"/>
    </row>
    <row r="105" ht="13.5" customHeight="1">
      <c r="A105" s="3"/>
      <c r="B105" s="3"/>
      <c r="C105" s="3"/>
      <c r="D105" s="3"/>
      <c r="E105" s="3"/>
      <c r="F105" s="3"/>
      <c r="G105" s="8"/>
      <c r="H105" s="8"/>
      <c r="I105" s="3"/>
      <c r="J105" s="3"/>
      <c r="K105" s="3"/>
      <c r="L105" s="3"/>
      <c r="M105" s="3"/>
      <c r="N105" s="3"/>
    </row>
    <row r="106" ht="13.5" customHeight="1">
      <c r="A106" s="3"/>
      <c r="B106" s="3"/>
      <c r="C106" s="3"/>
      <c r="D106" s="3"/>
      <c r="E106" s="3"/>
      <c r="F106" s="3"/>
      <c r="G106" s="8"/>
      <c r="H106" s="8"/>
      <c r="I106" s="3"/>
      <c r="J106" s="3"/>
      <c r="K106" s="3"/>
      <c r="L106" s="3"/>
      <c r="M106" s="3"/>
      <c r="N106" s="3"/>
    </row>
    <row r="107" ht="13.5" customHeight="1">
      <c r="A107" s="3"/>
      <c r="B107" s="3"/>
      <c r="C107" s="3"/>
      <c r="D107" s="3"/>
      <c r="E107" s="3"/>
      <c r="F107" s="3"/>
      <c r="G107" s="8"/>
      <c r="H107" s="8"/>
      <c r="I107" s="3"/>
      <c r="J107" s="3"/>
      <c r="K107" s="3"/>
      <c r="L107" s="3"/>
      <c r="M107" s="3"/>
      <c r="N107" s="3"/>
    </row>
    <row r="108" ht="13.5" customHeight="1">
      <c r="A108" s="3"/>
      <c r="B108" s="3"/>
      <c r="C108" s="3"/>
      <c r="D108" s="3"/>
      <c r="E108" s="3"/>
      <c r="F108" s="3"/>
      <c r="G108" s="8"/>
      <c r="H108" s="8"/>
      <c r="I108" s="3"/>
      <c r="J108" s="3"/>
      <c r="K108" s="3"/>
      <c r="L108" s="3"/>
      <c r="M108" s="3"/>
      <c r="N108" s="3"/>
    </row>
    <row r="109" ht="13.5" customHeight="1">
      <c r="A109" s="3"/>
      <c r="B109" s="3"/>
      <c r="C109" s="3"/>
      <c r="D109" s="3"/>
      <c r="E109" s="3"/>
      <c r="F109" s="3"/>
      <c r="G109" s="8"/>
      <c r="H109" s="8"/>
      <c r="I109" s="3"/>
      <c r="J109" s="3"/>
      <c r="K109" s="3"/>
      <c r="L109" s="3"/>
      <c r="M109" s="3"/>
      <c r="N109" s="3"/>
    </row>
    <row r="110" ht="13.5" customHeight="1">
      <c r="A110" s="3"/>
      <c r="B110" s="3"/>
      <c r="C110" s="3"/>
      <c r="D110" s="3"/>
      <c r="E110" s="3"/>
      <c r="F110" s="3"/>
      <c r="G110" s="8"/>
      <c r="H110" s="8"/>
      <c r="I110" s="3"/>
      <c r="J110" s="3"/>
      <c r="K110" s="3"/>
      <c r="L110" s="3"/>
      <c r="M110" s="3"/>
      <c r="N110" s="3"/>
    </row>
    <row r="111" ht="13.5" customHeight="1">
      <c r="A111" s="3"/>
      <c r="B111" s="3"/>
      <c r="C111" s="3"/>
      <c r="D111" s="3"/>
      <c r="E111" s="3"/>
      <c r="F111" s="3"/>
      <c r="G111" s="8"/>
      <c r="H111" s="8"/>
      <c r="I111" s="3"/>
      <c r="J111" s="3"/>
      <c r="K111" s="3"/>
      <c r="L111" s="3"/>
      <c r="M111" s="3"/>
      <c r="N111" s="3"/>
    </row>
    <row r="112" ht="13.5" customHeight="1">
      <c r="A112" s="3"/>
      <c r="B112" s="3"/>
      <c r="C112" s="3"/>
      <c r="D112" s="3"/>
      <c r="E112" s="3"/>
      <c r="F112" s="3"/>
      <c r="G112" s="8"/>
      <c r="H112" s="8"/>
      <c r="I112" s="3"/>
      <c r="J112" s="3"/>
      <c r="K112" s="3"/>
      <c r="L112" s="3"/>
      <c r="M112" s="3"/>
      <c r="N112" s="3"/>
    </row>
    <row r="113" ht="13.5" customHeight="1">
      <c r="A113" s="3"/>
      <c r="B113" s="3"/>
      <c r="C113" s="3"/>
      <c r="D113" s="3"/>
      <c r="E113" s="3"/>
      <c r="F113" s="3"/>
      <c r="G113" s="8"/>
      <c r="H113" s="8"/>
      <c r="I113" s="3"/>
      <c r="J113" s="3"/>
      <c r="K113" s="3"/>
      <c r="L113" s="3"/>
      <c r="M113" s="3"/>
      <c r="N113" s="3"/>
    </row>
    <row r="114" ht="13.5" customHeight="1">
      <c r="A114" s="3"/>
      <c r="B114" s="3"/>
      <c r="C114" s="3"/>
      <c r="D114" s="3"/>
      <c r="E114" s="3"/>
      <c r="F114" s="3"/>
      <c r="G114" s="8"/>
      <c r="H114" s="8"/>
      <c r="I114" s="3"/>
      <c r="J114" s="3"/>
      <c r="K114" s="3"/>
      <c r="L114" s="3"/>
      <c r="M114" s="3"/>
      <c r="N114" s="3"/>
    </row>
    <row r="115" ht="13.5" customHeight="1">
      <c r="A115" s="3"/>
      <c r="B115" s="3"/>
      <c r="C115" s="3"/>
      <c r="D115" s="3"/>
      <c r="E115" s="3"/>
      <c r="F115" s="3"/>
      <c r="G115" s="8"/>
      <c r="H115" s="8"/>
      <c r="I115" s="3"/>
      <c r="J115" s="3"/>
      <c r="K115" s="3"/>
      <c r="L115" s="3"/>
      <c r="M115" s="3"/>
      <c r="N115" s="3"/>
    </row>
    <row r="116" ht="13.5" customHeight="1">
      <c r="A116" s="3"/>
      <c r="B116" s="3"/>
      <c r="C116" s="3"/>
      <c r="D116" s="3"/>
      <c r="E116" s="3"/>
      <c r="F116" s="3"/>
      <c r="G116" s="8"/>
      <c r="H116" s="8"/>
      <c r="I116" s="3"/>
      <c r="J116" s="3"/>
      <c r="K116" s="3"/>
      <c r="L116" s="3"/>
      <c r="M116" s="3"/>
      <c r="N116" s="3"/>
    </row>
    <row r="117" ht="13.5" customHeight="1">
      <c r="A117" s="3"/>
      <c r="B117" s="3"/>
      <c r="C117" s="3"/>
      <c r="D117" s="3"/>
      <c r="E117" s="3"/>
      <c r="F117" s="3"/>
      <c r="G117" s="8"/>
      <c r="H117" s="8"/>
      <c r="I117" s="3"/>
      <c r="J117" s="3"/>
      <c r="K117" s="3"/>
      <c r="L117" s="3"/>
      <c r="M117" s="3"/>
      <c r="N117" s="3"/>
    </row>
    <row r="118" ht="13.5" customHeight="1">
      <c r="A118" s="3"/>
      <c r="B118" s="3"/>
      <c r="C118" s="3"/>
      <c r="D118" s="3"/>
      <c r="E118" s="3"/>
      <c r="F118" s="3"/>
      <c r="G118" s="8"/>
      <c r="H118" s="8"/>
      <c r="I118" s="3"/>
      <c r="J118" s="3"/>
      <c r="K118" s="3"/>
      <c r="L118" s="3"/>
      <c r="M118" s="3"/>
      <c r="N118" s="3"/>
    </row>
    <row r="119" ht="13.5" customHeight="1">
      <c r="A119" s="3"/>
      <c r="B119" s="3"/>
      <c r="C119" s="3"/>
      <c r="D119" s="3"/>
      <c r="E119" s="3"/>
      <c r="F119" s="3"/>
      <c r="G119" s="8"/>
      <c r="H119" s="8"/>
      <c r="I119" s="3"/>
      <c r="J119" s="3"/>
      <c r="K119" s="3"/>
      <c r="L119" s="3"/>
      <c r="M119" s="3"/>
      <c r="N119" s="3"/>
    </row>
    <row r="120" ht="13.5" customHeight="1">
      <c r="A120" s="3"/>
      <c r="B120" s="3"/>
      <c r="C120" s="3"/>
      <c r="D120" s="3"/>
      <c r="E120" s="3"/>
      <c r="F120" s="3"/>
      <c r="G120" s="8"/>
      <c r="H120" s="8"/>
      <c r="I120" s="3"/>
      <c r="J120" s="3"/>
      <c r="K120" s="3"/>
      <c r="L120" s="3"/>
      <c r="M120" s="3"/>
      <c r="N120" s="3"/>
    </row>
    <row r="121" ht="13.5" customHeight="1">
      <c r="A121" s="3"/>
      <c r="B121" s="3"/>
      <c r="C121" s="3"/>
      <c r="D121" s="3"/>
      <c r="E121" s="3"/>
      <c r="F121" s="3"/>
      <c r="G121" s="8"/>
      <c r="H121" s="8"/>
      <c r="I121" s="3"/>
      <c r="J121" s="3"/>
      <c r="K121" s="3"/>
      <c r="L121" s="3"/>
      <c r="M121" s="3"/>
      <c r="N121" s="3"/>
    </row>
    <row r="122" ht="13.5" customHeight="1">
      <c r="A122" s="3"/>
      <c r="B122" s="3"/>
      <c r="C122" s="3"/>
      <c r="D122" s="3"/>
      <c r="E122" s="3"/>
      <c r="F122" s="3"/>
      <c r="G122" s="8"/>
      <c r="H122" s="8"/>
      <c r="I122" s="3"/>
      <c r="J122" s="3"/>
      <c r="K122" s="3"/>
      <c r="L122" s="3"/>
      <c r="M122" s="3"/>
      <c r="N122" s="3"/>
    </row>
    <row r="123" ht="13.5" customHeight="1">
      <c r="A123" s="3"/>
      <c r="B123" s="3"/>
      <c r="C123" s="3"/>
      <c r="D123" s="3"/>
      <c r="E123" s="3"/>
      <c r="F123" s="3"/>
      <c r="G123" s="8"/>
      <c r="H123" s="8"/>
      <c r="I123" s="3"/>
      <c r="J123" s="3"/>
      <c r="K123" s="3"/>
      <c r="L123" s="3"/>
      <c r="M123" s="3"/>
      <c r="N123" s="3"/>
    </row>
    <row r="124" ht="13.5" customHeight="1">
      <c r="A124" s="3"/>
      <c r="B124" s="3"/>
      <c r="C124" s="3"/>
      <c r="D124" s="3"/>
      <c r="E124" s="3"/>
      <c r="F124" s="3"/>
      <c r="G124" s="8"/>
      <c r="H124" s="8"/>
      <c r="I124" s="3"/>
      <c r="J124" s="3"/>
      <c r="K124" s="3"/>
      <c r="L124" s="3"/>
      <c r="M124" s="3"/>
      <c r="N124" s="3"/>
    </row>
    <row r="125" ht="13.5" customHeight="1">
      <c r="A125" s="3"/>
      <c r="B125" s="3"/>
      <c r="C125" s="3"/>
      <c r="D125" s="3"/>
      <c r="E125" s="3"/>
      <c r="F125" s="3"/>
      <c r="G125" s="8"/>
      <c r="H125" s="8"/>
      <c r="I125" s="3"/>
      <c r="J125" s="3"/>
      <c r="K125" s="3"/>
      <c r="L125" s="3"/>
      <c r="M125" s="3"/>
      <c r="N125" s="3"/>
    </row>
    <row r="126" ht="13.5" customHeight="1">
      <c r="A126" s="3"/>
      <c r="B126" s="3"/>
      <c r="C126" s="3"/>
      <c r="D126" s="3"/>
      <c r="E126" s="3"/>
      <c r="F126" s="3"/>
      <c r="G126" s="8"/>
      <c r="H126" s="8"/>
      <c r="I126" s="3"/>
      <c r="J126" s="3"/>
      <c r="K126" s="3"/>
      <c r="L126" s="3"/>
      <c r="M126" s="3"/>
      <c r="N126" s="3"/>
    </row>
    <row r="127" ht="13.5" customHeight="1">
      <c r="A127" s="3"/>
      <c r="B127" s="3"/>
      <c r="C127" s="3"/>
      <c r="D127" s="3"/>
      <c r="E127" s="3"/>
      <c r="F127" s="3"/>
      <c r="G127" s="8"/>
      <c r="H127" s="8"/>
      <c r="I127" s="3"/>
      <c r="J127" s="3"/>
      <c r="K127" s="3"/>
      <c r="L127" s="3"/>
      <c r="M127" s="3"/>
      <c r="N127" s="3"/>
    </row>
    <row r="128" ht="13.5" customHeight="1">
      <c r="A128" s="3"/>
      <c r="B128" s="3"/>
      <c r="C128" s="3"/>
      <c r="D128" s="3"/>
      <c r="E128" s="3"/>
      <c r="F128" s="3"/>
      <c r="G128" s="8"/>
      <c r="H128" s="8"/>
      <c r="I128" s="3"/>
      <c r="J128" s="3"/>
      <c r="K128" s="3"/>
      <c r="L128" s="3"/>
      <c r="M128" s="3"/>
      <c r="N128" s="3"/>
    </row>
    <row r="129" ht="13.5" customHeight="1">
      <c r="A129" s="3"/>
      <c r="B129" s="3"/>
      <c r="C129" s="3"/>
      <c r="D129" s="3"/>
      <c r="E129" s="3"/>
      <c r="F129" s="3"/>
      <c r="G129" s="8"/>
      <c r="H129" s="8"/>
      <c r="I129" s="3"/>
      <c r="J129" s="3"/>
      <c r="K129" s="3"/>
      <c r="L129" s="3"/>
      <c r="M129" s="3"/>
      <c r="N129" s="3"/>
    </row>
    <row r="130" ht="13.5" customHeight="1">
      <c r="A130" s="3"/>
      <c r="B130" s="3"/>
      <c r="C130" s="3"/>
      <c r="D130" s="3"/>
      <c r="E130" s="3"/>
      <c r="F130" s="3"/>
      <c r="G130" s="8"/>
      <c r="H130" s="8"/>
      <c r="I130" s="3"/>
      <c r="J130" s="3"/>
      <c r="K130" s="3"/>
      <c r="L130" s="3"/>
      <c r="M130" s="3"/>
      <c r="N130" s="3"/>
    </row>
    <row r="131" ht="13.5" customHeight="1">
      <c r="A131" s="3"/>
      <c r="B131" s="3"/>
      <c r="C131" s="3"/>
      <c r="D131" s="3"/>
      <c r="E131" s="3"/>
      <c r="F131" s="3"/>
      <c r="G131" s="8"/>
      <c r="H131" s="8"/>
      <c r="I131" s="3"/>
      <c r="J131" s="3"/>
      <c r="K131" s="3"/>
      <c r="L131" s="3"/>
      <c r="M131" s="3"/>
      <c r="N131" s="3"/>
    </row>
    <row r="132" ht="13.5" customHeight="1">
      <c r="A132" s="3"/>
      <c r="B132" s="3"/>
      <c r="C132" s="3"/>
      <c r="D132" s="3"/>
      <c r="E132" s="3"/>
      <c r="F132" s="3"/>
      <c r="G132" s="8"/>
      <c r="H132" s="8"/>
      <c r="I132" s="3"/>
      <c r="J132" s="3"/>
      <c r="K132" s="3"/>
      <c r="L132" s="3"/>
      <c r="M132" s="3"/>
      <c r="N132" s="3"/>
    </row>
    <row r="133" ht="13.5" customHeight="1">
      <c r="A133" s="3"/>
      <c r="B133" s="3"/>
      <c r="C133" s="3"/>
      <c r="D133" s="3"/>
      <c r="E133" s="3"/>
      <c r="F133" s="3"/>
      <c r="G133" s="8"/>
      <c r="H133" s="8"/>
      <c r="I133" s="3"/>
      <c r="J133" s="3"/>
      <c r="K133" s="3"/>
      <c r="L133" s="3"/>
      <c r="M133" s="3"/>
      <c r="N133" s="3"/>
    </row>
    <row r="134" ht="13.5" customHeight="1">
      <c r="A134" s="3"/>
      <c r="B134" s="3"/>
      <c r="C134" s="3"/>
      <c r="D134" s="3"/>
      <c r="E134" s="3"/>
      <c r="F134" s="3"/>
      <c r="G134" s="8"/>
      <c r="H134" s="8"/>
      <c r="I134" s="3"/>
      <c r="J134" s="3"/>
      <c r="K134" s="3"/>
      <c r="L134" s="3"/>
      <c r="M134" s="3"/>
      <c r="N134" s="3"/>
    </row>
    <row r="135" ht="13.5" customHeight="1">
      <c r="A135" s="3"/>
      <c r="B135" s="3"/>
      <c r="C135" s="3"/>
      <c r="D135" s="3"/>
      <c r="E135" s="3"/>
      <c r="F135" s="3"/>
      <c r="G135" s="8"/>
      <c r="H135" s="8"/>
      <c r="I135" s="3"/>
      <c r="J135" s="3"/>
      <c r="K135" s="3"/>
      <c r="L135" s="3"/>
      <c r="M135" s="3"/>
      <c r="N135" s="3"/>
    </row>
    <row r="136" ht="13.5" customHeight="1">
      <c r="A136" s="3"/>
      <c r="B136" s="3"/>
      <c r="C136" s="3"/>
      <c r="D136" s="3"/>
      <c r="E136" s="3"/>
      <c r="F136" s="3"/>
      <c r="G136" s="8"/>
      <c r="H136" s="8"/>
      <c r="I136" s="3"/>
      <c r="J136" s="3"/>
      <c r="K136" s="3"/>
      <c r="L136" s="3"/>
      <c r="M136" s="3"/>
      <c r="N136" s="3"/>
    </row>
    <row r="137" ht="13.5" customHeight="1">
      <c r="A137" s="3"/>
      <c r="B137" s="3"/>
      <c r="C137" s="3"/>
      <c r="D137" s="3"/>
      <c r="E137" s="3"/>
      <c r="F137" s="3"/>
      <c r="G137" s="8"/>
      <c r="H137" s="8"/>
      <c r="I137" s="3"/>
      <c r="J137" s="3"/>
      <c r="K137" s="3"/>
      <c r="L137" s="3"/>
      <c r="M137" s="3"/>
      <c r="N137" s="3"/>
    </row>
    <row r="138" ht="13.5" customHeight="1">
      <c r="A138" s="3"/>
      <c r="B138" s="3"/>
      <c r="C138" s="3"/>
      <c r="D138" s="3"/>
      <c r="E138" s="3"/>
      <c r="F138" s="3"/>
      <c r="G138" s="8"/>
      <c r="H138" s="8"/>
      <c r="I138" s="3"/>
      <c r="J138" s="3"/>
      <c r="K138" s="3"/>
      <c r="L138" s="3"/>
      <c r="M138" s="3"/>
      <c r="N138" s="3"/>
    </row>
    <row r="139" ht="13.5" customHeight="1">
      <c r="A139" s="3"/>
      <c r="B139" s="3"/>
      <c r="C139" s="3"/>
      <c r="D139" s="3"/>
      <c r="E139" s="3"/>
      <c r="F139" s="3"/>
      <c r="G139" s="8"/>
      <c r="H139" s="8"/>
      <c r="I139" s="3"/>
      <c r="J139" s="3"/>
      <c r="K139" s="3"/>
      <c r="L139" s="3"/>
      <c r="M139" s="3"/>
      <c r="N139" s="3"/>
    </row>
    <row r="140" ht="13.5" customHeight="1">
      <c r="A140" s="3"/>
      <c r="B140" s="3"/>
      <c r="C140" s="3"/>
      <c r="D140" s="3"/>
      <c r="E140" s="3"/>
      <c r="F140" s="3"/>
      <c r="G140" s="8"/>
      <c r="H140" s="8"/>
      <c r="I140" s="3"/>
      <c r="J140" s="3"/>
      <c r="K140" s="3"/>
      <c r="L140" s="3"/>
      <c r="M140" s="3"/>
      <c r="N140" s="3"/>
    </row>
    <row r="141" ht="13.5" customHeight="1">
      <c r="A141" s="3"/>
      <c r="B141" s="3"/>
      <c r="C141" s="3"/>
      <c r="D141" s="3"/>
      <c r="E141" s="3"/>
      <c r="F141" s="3"/>
      <c r="G141" s="8"/>
      <c r="H141" s="8"/>
      <c r="I141" s="3"/>
      <c r="J141" s="3"/>
      <c r="K141" s="3"/>
      <c r="L141" s="3"/>
      <c r="M141" s="3"/>
      <c r="N141" s="3"/>
    </row>
    <row r="142" ht="13.5" customHeight="1">
      <c r="A142" s="3"/>
      <c r="B142" s="3"/>
      <c r="C142" s="3"/>
      <c r="D142" s="3"/>
      <c r="E142" s="3"/>
      <c r="F142" s="3"/>
      <c r="G142" s="8"/>
      <c r="H142" s="8"/>
      <c r="I142" s="3"/>
      <c r="J142" s="3"/>
      <c r="K142" s="3"/>
      <c r="L142" s="3"/>
      <c r="M142" s="3"/>
      <c r="N142" s="3"/>
    </row>
    <row r="143" ht="13.5" customHeight="1">
      <c r="A143" s="3"/>
      <c r="B143" s="3"/>
      <c r="C143" s="3"/>
      <c r="D143" s="3"/>
      <c r="E143" s="3"/>
      <c r="F143" s="3"/>
      <c r="G143" s="8"/>
      <c r="H143" s="8"/>
      <c r="I143" s="3"/>
      <c r="J143" s="3"/>
      <c r="K143" s="3"/>
      <c r="L143" s="3"/>
      <c r="M143" s="3"/>
      <c r="N143" s="3"/>
    </row>
    <row r="144" ht="13.5" customHeight="1">
      <c r="A144" s="3"/>
      <c r="B144" s="3"/>
      <c r="C144" s="3"/>
      <c r="D144" s="3"/>
      <c r="E144" s="3"/>
      <c r="F144" s="3"/>
      <c r="G144" s="8"/>
      <c r="H144" s="8"/>
      <c r="I144" s="3"/>
      <c r="J144" s="3"/>
      <c r="K144" s="3"/>
      <c r="L144" s="3"/>
      <c r="M144" s="3"/>
      <c r="N144" s="3"/>
    </row>
    <row r="145" ht="13.5" customHeight="1">
      <c r="A145" s="3"/>
      <c r="B145" s="3"/>
      <c r="C145" s="3"/>
      <c r="D145" s="3"/>
      <c r="E145" s="3"/>
      <c r="F145" s="3"/>
      <c r="G145" s="8"/>
      <c r="H145" s="8"/>
      <c r="I145" s="3"/>
      <c r="J145" s="3"/>
      <c r="K145" s="3"/>
      <c r="L145" s="3"/>
      <c r="M145" s="3"/>
      <c r="N145" s="3"/>
    </row>
    <row r="146" ht="13.5" customHeight="1">
      <c r="A146" s="3"/>
      <c r="B146" s="3"/>
      <c r="C146" s="3"/>
      <c r="D146" s="3"/>
      <c r="E146" s="3"/>
      <c r="F146" s="3"/>
      <c r="G146" s="8"/>
      <c r="H146" s="8"/>
      <c r="I146" s="3"/>
      <c r="J146" s="3"/>
      <c r="K146" s="3"/>
      <c r="L146" s="3"/>
      <c r="M146" s="3"/>
      <c r="N146" s="3"/>
    </row>
    <row r="147" ht="13.5" customHeight="1">
      <c r="A147" s="3"/>
      <c r="B147" s="3"/>
      <c r="C147" s="3"/>
      <c r="D147" s="3"/>
      <c r="E147" s="3"/>
      <c r="F147" s="3"/>
      <c r="G147" s="8"/>
      <c r="H147" s="8"/>
      <c r="I147" s="3"/>
      <c r="J147" s="3"/>
      <c r="K147" s="3"/>
      <c r="L147" s="3"/>
      <c r="M147" s="3"/>
      <c r="N147" s="3"/>
    </row>
    <row r="148" ht="13.5" customHeight="1">
      <c r="A148" s="3"/>
      <c r="B148" s="3"/>
      <c r="C148" s="3"/>
      <c r="D148" s="3"/>
      <c r="E148" s="3"/>
      <c r="F148" s="3"/>
      <c r="G148" s="8"/>
      <c r="H148" s="8"/>
      <c r="I148" s="3"/>
      <c r="J148" s="3"/>
      <c r="K148" s="3"/>
      <c r="L148" s="3"/>
      <c r="M148" s="3"/>
      <c r="N148" s="3"/>
    </row>
    <row r="149" ht="13.5" customHeight="1">
      <c r="A149" s="3"/>
      <c r="B149" s="3"/>
      <c r="C149" s="3"/>
      <c r="D149" s="3"/>
      <c r="E149" s="3"/>
      <c r="F149" s="3"/>
      <c r="G149" s="8"/>
      <c r="H149" s="8"/>
      <c r="I149" s="3"/>
      <c r="J149" s="3"/>
      <c r="K149" s="3"/>
      <c r="L149" s="3"/>
      <c r="M149" s="3"/>
      <c r="N149" s="3"/>
    </row>
    <row r="150" ht="13.5" customHeight="1">
      <c r="A150" s="3"/>
      <c r="B150" s="3"/>
      <c r="C150" s="3"/>
      <c r="D150" s="3"/>
      <c r="E150" s="3"/>
      <c r="F150" s="3"/>
      <c r="G150" s="8"/>
      <c r="H150" s="8"/>
      <c r="I150" s="3"/>
      <c r="J150" s="3"/>
      <c r="K150" s="3"/>
      <c r="L150" s="3"/>
      <c r="M150" s="3"/>
      <c r="N150" s="3"/>
    </row>
    <row r="151" ht="13.5" customHeight="1">
      <c r="A151" s="3"/>
      <c r="B151" s="3"/>
      <c r="C151" s="3"/>
      <c r="D151" s="3"/>
      <c r="E151" s="3"/>
      <c r="F151" s="3"/>
      <c r="G151" s="8"/>
      <c r="H151" s="8"/>
      <c r="I151" s="3"/>
      <c r="J151" s="3"/>
      <c r="K151" s="3"/>
      <c r="L151" s="3"/>
      <c r="M151" s="3"/>
      <c r="N151" s="3"/>
    </row>
    <row r="152" ht="13.5" customHeight="1">
      <c r="A152" s="3"/>
      <c r="B152" s="3"/>
      <c r="C152" s="3"/>
      <c r="D152" s="3"/>
      <c r="E152" s="3"/>
      <c r="F152" s="3"/>
      <c r="G152" s="8"/>
      <c r="H152" s="8"/>
      <c r="I152" s="3"/>
      <c r="J152" s="3"/>
      <c r="K152" s="3"/>
      <c r="L152" s="3"/>
      <c r="M152" s="3"/>
      <c r="N152" s="3"/>
    </row>
    <row r="153" ht="13.5" customHeight="1">
      <c r="A153" s="3"/>
      <c r="B153" s="3"/>
      <c r="C153" s="3"/>
      <c r="D153" s="3"/>
      <c r="E153" s="3"/>
      <c r="F153" s="3"/>
      <c r="G153" s="8"/>
      <c r="H153" s="8"/>
      <c r="I153" s="3"/>
      <c r="J153" s="3"/>
      <c r="K153" s="3"/>
      <c r="L153" s="3"/>
      <c r="M153" s="3"/>
      <c r="N153" s="3"/>
    </row>
    <row r="154" ht="13.5" customHeight="1">
      <c r="A154" s="3"/>
      <c r="B154" s="3"/>
      <c r="C154" s="3"/>
      <c r="D154" s="3"/>
      <c r="E154" s="3"/>
      <c r="F154" s="3"/>
      <c r="G154" s="8"/>
      <c r="H154" s="8"/>
      <c r="I154" s="3"/>
      <c r="J154" s="3"/>
      <c r="K154" s="3"/>
      <c r="L154" s="3"/>
      <c r="M154" s="3"/>
      <c r="N154" s="3"/>
    </row>
    <row r="155" ht="13.5" customHeight="1">
      <c r="A155" s="3"/>
      <c r="B155" s="3"/>
      <c r="C155" s="3"/>
      <c r="D155" s="3"/>
      <c r="E155" s="3"/>
      <c r="F155" s="3"/>
      <c r="G155" s="8"/>
      <c r="H155" s="8"/>
      <c r="I155" s="3"/>
      <c r="J155" s="3"/>
      <c r="K155" s="3"/>
      <c r="L155" s="3"/>
      <c r="M155" s="3"/>
      <c r="N155" s="3"/>
    </row>
    <row r="156" ht="13.5" customHeight="1">
      <c r="A156" s="3"/>
      <c r="B156" s="3"/>
      <c r="C156" s="3"/>
      <c r="D156" s="3"/>
      <c r="E156" s="3"/>
      <c r="F156" s="3"/>
      <c r="G156" s="8"/>
      <c r="H156" s="8"/>
      <c r="I156" s="3"/>
      <c r="J156" s="3"/>
      <c r="K156" s="3"/>
      <c r="L156" s="3"/>
      <c r="M156" s="3"/>
      <c r="N156" s="3"/>
    </row>
    <row r="157" ht="13.5" customHeight="1">
      <c r="A157" s="3"/>
      <c r="B157" s="3"/>
      <c r="C157" s="3"/>
      <c r="D157" s="3"/>
      <c r="E157" s="3"/>
      <c r="F157" s="3"/>
      <c r="G157" s="8"/>
      <c r="H157" s="8"/>
      <c r="I157" s="3"/>
      <c r="J157" s="3"/>
      <c r="K157" s="3"/>
      <c r="L157" s="3"/>
      <c r="M157" s="3"/>
      <c r="N157" s="3"/>
    </row>
    <row r="158" ht="13.5" customHeight="1">
      <c r="A158" s="3"/>
      <c r="B158" s="3"/>
      <c r="C158" s="3"/>
      <c r="D158" s="3"/>
      <c r="E158" s="3"/>
      <c r="F158" s="3"/>
      <c r="G158" s="8"/>
      <c r="H158" s="8"/>
      <c r="I158" s="3"/>
      <c r="J158" s="3"/>
      <c r="K158" s="3"/>
      <c r="L158" s="3"/>
      <c r="M158" s="3"/>
      <c r="N158" s="3"/>
    </row>
    <row r="159" ht="13.5" customHeight="1">
      <c r="A159" s="3"/>
      <c r="B159" s="3"/>
      <c r="C159" s="3"/>
      <c r="D159" s="3"/>
      <c r="E159" s="3"/>
      <c r="F159" s="3"/>
      <c r="G159" s="8"/>
      <c r="H159" s="8"/>
      <c r="I159" s="3"/>
      <c r="J159" s="3"/>
      <c r="K159" s="3"/>
      <c r="L159" s="3"/>
      <c r="M159" s="3"/>
      <c r="N159" s="3"/>
    </row>
    <row r="160" ht="13.5" customHeight="1">
      <c r="A160" s="3"/>
      <c r="B160" s="3"/>
      <c r="C160" s="3"/>
      <c r="D160" s="3"/>
      <c r="E160" s="3"/>
      <c r="F160" s="3"/>
      <c r="G160" s="8"/>
      <c r="H160" s="8"/>
      <c r="I160" s="3"/>
      <c r="J160" s="3"/>
      <c r="K160" s="3"/>
      <c r="L160" s="3"/>
      <c r="M160" s="3"/>
      <c r="N160" s="3"/>
    </row>
    <row r="161" ht="13.5" customHeight="1">
      <c r="A161" s="3"/>
      <c r="B161" s="3"/>
      <c r="C161" s="3"/>
      <c r="D161" s="3"/>
      <c r="E161" s="3"/>
      <c r="F161" s="3"/>
      <c r="G161" s="8"/>
      <c r="H161" s="8"/>
      <c r="I161" s="3"/>
      <c r="J161" s="3"/>
      <c r="K161" s="3"/>
      <c r="L161" s="3"/>
      <c r="M161" s="3"/>
      <c r="N161" s="3"/>
    </row>
    <row r="162" ht="13.5" customHeight="1">
      <c r="A162" s="3"/>
      <c r="B162" s="3"/>
      <c r="C162" s="3"/>
      <c r="D162" s="3"/>
      <c r="E162" s="3"/>
      <c r="F162" s="3"/>
      <c r="G162" s="8"/>
      <c r="H162" s="8"/>
      <c r="I162" s="3"/>
      <c r="J162" s="3"/>
      <c r="K162" s="3"/>
      <c r="L162" s="3"/>
      <c r="M162" s="3"/>
      <c r="N162" s="3"/>
    </row>
    <row r="163" ht="13.5" customHeight="1">
      <c r="A163" s="3"/>
      <c r="B163" s="3"/>
      <c r="C163" s="3"/>
      <c r="D163" s="3"/>
      <c r="E163" s="3"/>
      <c r="F163" s="3"/>
      <c r="G163" s="8"/>
      <c r="H163" s="8"/>
      <c r="I163" s="3"/>
      <c r="J163" s="3"/>
      <c r="K163" s="3"/>
      <c r="L163" s="3"/>
      <c r="M163" s="3"/>
      <c r="N163" s="3"/>
    </row>
    <row r="164" ht="13.5" customHeight="1">
      <c r="A164" s="3"/>
      <c r="B164" s="3"/>
      <c r="C164" s="3"/>
      <c r="D164" s="3"/>
      <c r="E164" s="3"/>
      <c r="F164" s="3"/>
      <c r="G164" s="8"/>
      <c r="H164" s="8"/>
      <c r="I164" s="3"/>
      <c r="J164" s="3"/>
      <c r="K164" s="3"/>
      <c r="L164" s="3"/>
      <c r="M164" s="3"/>
      <c r="N164" s="3"/>
    </row>
    <row r="165" ht="13.5" customHeight="1">
      <c r="A165" s="3"/>
      <c r="B165" s="3"/>
      <c r="C165" s="3"/>
      <c r="D165" s="3"/>
      <c r="E165" s="3"/>
      <c r="F165" s="3"/>
      <c r="G165" s="8"/>
      <c r="H165" s="8"/>
      <c r="I165" s="3"/>
      <c r="J165" s="3"/>
      <c r="K165" s="3"/>
      <c r="L165" s="3"/>
      <c r="M165" s="3"/>
      <c r="N165" s="3"/>
    </row>
    <row r="166" ht="13.5" customHeight="1">
      <c r="A166" s="3"/>
      <c r="B166" s="3"/>
      <c r="C166" s="3"/>
      <c r="D166" s="3"/>
      <c r="E166" s="3"/>
      <c r="F166" s="3"/>
      <c r="G166" s="8"/>
      <c r="H166" s="8"/>
      <c r="I166" s="3"/>
      <c r="J166" s="3"/>
      <c r="K166" s="3"/>
      <c r="L166" s="3"/>
      <c r="M166" s="3"/>
      <c r="N166" s="3"/>
    </row>
    <row r="167" ht="13.5" customHeight="1">
      <c r="A167" s="3"/>
      <c r="B167" s="3"/>
      <c r="C167" s="3"/>
      <c r="D167" s="3"/>
      <c r="E167" s="3"/>
      <c r="F167" s="3"/>
      <c r="G167" s="8"/>
      <c r="H167" s="8"/>
      <c r="I167" s="3"/>
      <c r="J167" s="3"/>
      <c r="K167" s="3"/>
      <c r="L167" s="3"/>
      <c r="M167" s="3"/>
      <c r="N167" s="3"/>
    </row>
    <row r="168" ht="13.5" customHeight="1">
      <c r="A168" s="3"/>
      <c r="B168" s="3"/>
      <c r="C168" s="3"/>
      <c r="D168" s="3"/>
      <c r="E168" s="3"/>
      <c r="F168" s="3"/>
      <c r="G168" s="8"/>
      <c r="H168" s="8"/>
      <c r="I168" s="3"/>
      <c r="J168" s="3"/>
      <c r="K168" s="3"/>
      <c r="L168" s="3"/>
      <c r="M168" s="3"/>
      <c r="N168" s="3"/>
    </row>
    <row r="169" ht="13.5" customHeight="1">
      <c r="A169" s="3"/>
      <c r="B169" s="3"/>
      <c r="C169" s="3"/>
      <c r="D169" s="3"/>
      <c r="E169" s="3"/>
      <c r="F169" s="3"/>
      <c r="G169" s="8"/>
      <c r="H169" s="8"/>
      <c r="I169" s="3"/>
      <c r="J169" s="3"/>
      <c r="K169" s="3"/>
      <c r="L169" s="3"/>
      <c r="M169" s="3"/>
      <c r="N169" s="3"/>
    </row>
    <row r="170" ht="13.5" customHeight="1">
      <c r="A170" s="3"/>
      <c r="B170" s="3"/>
      <c r="C170" s="3"/>
      <c r="D170" s="3"/>
      <c r="E170" s="3"/>
      <c r="F170" s="3"/>
      <c r="G170" s="8"/>
      <c r="H170" s="8"/>
      <c r="I170" s="3"/>
      <c r="J170" s="3"/>
      <c r="K170" s="3"/>
      <c r="L170" s="3"/>
      <c r="M170" s="3"/>
      <c r="N170" s="3"/>
    </row>
    <row r="171" ht="13.5" customHeight="1">
      <c r="A171" s="3"/>
      <c r="B171" s="3"/>
      <c r="C171" s="3"/>
      <c r="D171" s="3"/>
      <c r="E171" s="3"/>
      <c r="F171" s="3"/>
      <c r="G171" s="8"/>
      <c r="H171" s="8"/>
      <c r="I171" s="3"/>
      <c r="J171" s="3"/>
      <c r="K171" s="3"/>
      <c r="L171" s="3"/>
      <c r="M171" s="3"/>
      <c r="N171" s="3"/>
    </row>
    <row r="172" ht="13.5" customHeight="1">
      <c r="A172" s="3"/>
      <c r="B172" s="3"/>
      <c r="C172" s="3"/>
      <c r="D172" s="3"/>
      <c r="E172" s="3"/>
      <c r="F172" s="3"/>
      <c r="G172" s="8"/>
      <c r="H172" s="8"/>
      <c r="I172" s="3"/>
      <c r="J172" s="3"/>
      <c r="K172" s="3"/>
      <c r="L172" s="3"/>
      <c r="M172" s="3"/>
      <c r="N172" s="3"/>
    </row>
    <row r="173" ht="13.5" customHeight="1">
      <c r="A173" s="3"/>
      <c r="B173" s="3"/>
      <c r="C173" s="3"/>
      <c r="D173" s="3"/>
      <c r="E173" s="3"/>
      <c r="F173" s="3"/>
      <c r="G173" s="8"/>
      <c r="H173" s="8"/>
      <c r="I173" s="3"/>
      <c r="J173" s="3"/>
      <c r="K173" s="3"/>
      <c r="L173" s="3"/>
      <c r="M173" s="3"/>
      <c r="N173" s="3"/>
    </row>
    <row r="174" ht="13.5" customHeight="1">
      <c r="A174" s="3"/>
      <c r="B174" s="3"/>
      <c r="C174" s="3"/>
      <c r="D174" s="3"/>
      <c r="E174" s="3"/>
      <c r="F174" s="3"/>
      <c r="G174" s="8"/>
      <c r="H174" s="8"/>
      <c r="I174" s="3"/>
      <c r="J174" s="3"/>
      <c r="K174" s="3"/>
      <c r="L174" s="3"/>
      <c r="M174" s="3"/>
      <c r="N174" s="3"/>
    </row>
    <row r="175" ht="13.5" customHeight="1">
      <c r="A175" s="3"/>
      <c r="B175" s="3"/>
      <c r="C175" s="3"/>
      <c r="D175" s="3"/>
      <c r="E175" s="3"/>
      <c r="F175" s="3"/>
      <c r="G175" s="8"/>
      <c r="H175" s="8"/>
      <c r="I175" s="3"/>
      <c r="J175" s="3"/>
      <c r="K175" s="3"/>
      <c r="L175" s="3"/>
      <c r="M175" s="3"/>
      <c r="N175" s="3"/>
    </row>
    <row r="176" ht="13.5" customHeight="1">
      <c r="A176" s="3"/>
      <c r="B176" s="3"/>
      <c r="C176" s="3"/>
      <c r="D176" s="3"/>
      <c r="E176" s="3"/>
      <c r="F176" s="3"/>
      <c r="G176" s="8"/>
      <c r="H176" s="8"/>
      <c r="I176" s="3"/>
      <c r="J176" s="3"/>
      <c r="K176" s="3"/>
      <c r="L176" s="3"/>
      <c r="M176" s="3"/>
      <c r="N176" s="3"/>
    </row>
    <row r="177" ht="13.5" customHeight="1">
      <c r="A177" s="3"/>
      <c r="B177" s="3"/>
      <c r="C177" s="3"/>
      <c r="D177" s="3"/>
      <c r="E177" s="3"/>
      <c r="F177" s="3"/>
      <c r="G177" s="8"/>
      <c r="H177" s="8"/>
      <c r="I177" s="3"/>
      <c r="J177" s="3"/>
      <c r="K177" s="3"/>
      <c r="L177" s="3"/>
      <c r="M177" s="3"/>
      <c r="N177" s="3"/>
    </row>
    <row r="178" ht="13.5" customHeight="1">
      <c r="A178" s="3"/>
      <c r="B178" s="3"/>
      <c r="C178" s="3"/>
      <c r="D178" s="3"/>
      <c r="E178" s="3"/>
      <c r="F178" s="3"/>
      <c r="G178" s="8"/>
      <c r="H178" s="8"/>
      <c r="I178" s="3"/>
      <c r="J178" s="3"/>
      <c r="K178" s="3"/>
      <c r="L178" s="3"/>
      <c r="M178" s="3"/>
      <c r="N178" s="3"/>
    </row>
    <row r="179" ht="13.5" customHeight="1">
      <c r="A179" s="3"/>
      <c r="B179" s="3"/>
      <c r="C179" s="3"/>
      <c r="D179" s="3"/>
      <c r="E179" s="3"/>
      <c r="F179" s="3"/>
      <c r="G179" s="8"/>
      <c r="H179" s="8"/>
      <c r="I179" s="3"/>
      <c r="J179" s="3"/>
      <c r="K179" s="3"/>
      <c r="L179" s="3"/>
      <c r="M179" s="3"/>
      <c r="N179" s="3"/>
    </row>
    <row r="180" ht="13.5" customHeight="1">
      <c r="A180" s="3"/>
      <c r="B180" s="3"/>
      <c r="C180" s="3"/>
      <c r="D180" s="3"/>
      <c r="E180" s="3"/>
      <c r="F180" s="3"/>
      <c r="G180" s="8"/>
      <c r="H180" s="8"/>
      <c r="I180" s="3"/>
      <c r="J180" s="3"/>
      <c r="K180" s="3"/>
      <c r="L180" s="3"/>
      <c r="M180" s="3"/>
      <c r="N180" s="3"/>
    </row>
    <row r="181" ht="13.5" customHeight="1">
      <c r="A181" s="3"/>
      <c r="B181" s="3"/>
      <c r="C181" s="3"/>
      <c r="D181" s="3"/>
      <c r="E181" s="3"/>
      <c r="F181" s="3"/>
      <c r="G181" s="8"/>
      <c r="H181" s="8"/>
      <c r="I181" s="3"/>
      <c r="J181" s="3"/>
      <c r="K181" s="3"/>
      <c r="L181" s="3"/>
      <c r="M181" s="3"/>
      <c r="N181" s="3"/>
    </row>
    <row r="182" ht="13.5" customHeight="1">
      <c r="A182" s="3"/>
      <c r="B182" s="3"/>
      <c r="C182" s="3"/>
      <c r="D182" s="3"/>
      <c r="E182" s="3"/>
      <c r="F182" s="3"/>
      <c r="G182" s="8"/>
      <c r="H182" s="8"/>
      <c r="I182" s="3"/>
      <c r="J182" s="3"/>
      <c r="K182" s="3"/>
      <c r="L182" s="3"/>
      <c r="M182" s="3"/>
      <c r="N182" s="3"/>
    </row>
    <row r="183" ht="13.5" customHeight="1">
      <c r="A183" s="3"/>
      <c r="B183" s="3"/>
      <c r="C183" s="3"/>
      <c r="D183" s="3"/>
      <c r="E183" s="3"/>
      <c r="F183" s="3"/>
      <c r="G183" s="8"/>
      <c r="H183" s="8"/>
      <c r="I183" s="3"/>
      <c r="J183" s="3"/>
      <c r="K183" s="3"/>
      <c r="L183" s="3"/>
      <c r="M183" s="3"/>
      <c r="N183" s="3"/>
    </row>
    <row r="184" ht="13.5" customHeight="1">
      <c r="A184" s="3"/>
      <c r="B184" s="3"/>
      <c r="C184" s="3"/>
      <c r="D184" s="3"/>
      <c r="E184" s="3"/>
      <c r="F184" s="3"/>
      <c r="G184" s="8"/>
      <c r="H184" s="8"/>
      <c r="I184" s="3"/>
      <c r="J184" s="3"/>
      <c r="K184" s="3"/>
      <c r="L184" s="3"/>
      <c r="M184" s="3"/>
      <c r="N184" s="3"/>
    </row>
    <row r="185" ht="13.5" customHeight="1">
      <c r="A185" s="3"/>
      <c r="B185" s="3"/>
      <c r="C185" s="3"/>
      <c r="D185" s="3"/>
      <c r="E185" s="3"/>
      <c r="F185" s="3"/>
      <c r="G185" s="8"/>
      <c r="H185" s="8"/>
      <c r="I185" s="3"/>
      <c r="J185" s="3"/>
      <c r="K185" s="3"/>
      <c r="L185" s="3"/>
      <c r="M185" s="3"/>
      <c r="N185" s="3"/>
    </row>
    <row r="186" ht="13.5" customHeight="1">
      <c r="A186" s="3"/>
      <c r="B186" s="3"/>
      <c r="C186" s="3"/>
      <c r="D186" s="3"/>
      <c r="E186" s="3"/>
      <c r="F186" s="3"/>
      <c r="G186" s="8"/>
      <c r="H186" s="8"/>
      <c r="I186" s="3"/>
      <c r="J186" s="3"/>
      <c r="K186" s="3"/>
      <c r="L186" s="3"/>
      <c r="M186" s="3"/>
      <c r="N186" s="3"/>
    </row>
    <row r="187" ht="13.5" customHeight="1">
      <c r="A187" s="3"/>
      <c r="B187" s="3"/>
      <c r="C187" s="3"/>
      <c r="D187" s="3"/>
      <c r="E187" s="3"/>
      <c r="F187" s="3"/>
      <c r="G187" s="8"/>
      <c r="H187" s="8"/>
      <c r="I187" s="3"/>
      <c r="J187" s="3"/>
      <c r="K187" s="3"/>
      <c r="L187" s="3"/>
      <c r="M187" s="3"/>
      <c r="N187" s="3"/>
    </row>
    <row r="188" ht="13.5" customHeight="1">
      <c r="A188" s="3"/>
      <c r="B188" s="3"/>
      <c r="C188" s="3"/>
      <c r="D188" s="3"/>
      <c r="E188" s="3"/>
      <c r="F188" s="3"/>
      <c r="G188" s="8"/>
      <c r="H188" s="8"/>
      <c r="I188" s="3"/>
      <c r="J188" s="3"/>
      <c r="K188" s="3"/>
      <c r="L188" s="3"/>
      <c r="M188" s="3"/>
      <c r="N188" s="3"/>
    </row>
    <row r="189" ht="13.5" customHeight="1">
      <c r="A189" s="3"/>
      <c r="B189" s="3"/>
      <c r="C189" s="3"/>
      <c r="D189" s="3"/>
      <c r="E189" s="3"/>
      <c r="F189" s="3"/>
      <c r="G189" s="8"/>
      <c r="H189" s="8"/>
      <c r="I189" s="3"/>
      <c r="J189" s="3"/>
      <c r="K189" s="3"/>
      <c r="L189" s="3"/>
      <c r="M189" s="3"/>
      <c r="N189" s="3"/>
    </row>
    <row r="190" ht="13.5" customHeight="1">
      <c r="A190" s="3"/>
      <c r="B190" s="3"/>
      <c r="C190" s="3"/>
      <c r="D190" s="3"/>
      <c r="E190" s="3"/>
      <c r="F190" s="3"/>
      <c r="G190" s="8"/>
      <c r="H190" s="8"/>
      <c r="I190" s="3"/>
      <c r="J190" s="3"/>
      <c r="K190" s="3"/>
      <c r="L190" s="3"/>
      <c r="M190" s="3"/>
      <c r="N190" s="3"/>
    </row>
    <row r="191" ht="13.5" customHeight="1">
      <c r="A191" s="3"/>
      <c r="B191" s="3"/>
      <c r="C191" s="3"/>
      <c r="D191" s="3"/>
      <c r="E191" s="3"/>
      <c r="F191" s="3"/>
      <c r="G191" s="8"/>
      <c r="H191" s="8"/>
      <c r="I191" s="3"/>
      <c r="J191" s="3"/>
      <c r="K191" s="3"/>
      <c r="L191" s="3"/>
      <c r="M191" s="3"/>
      <c r="N191" s="3"/>
    </row>
    <row r="192" ht="13.5" customHeight="1">
      <c r="A192" s="3"/>
      <c r="B192" s="3"/>
      <c r="C192" s="3"/>
      <c r="D192" s="3"/>
      <c r="E192" s="3"/>
      <c r="F192" s="3"/>
      <c r="G192" s="8"/>
      <c r="H192" s="8"/>
      <c r="I192" s="3"/>
      <c r="J192" s="3"/>
      <c r="K192" s="3"/>
      <c r="L192" s="3"/>
      <c r="M192" s="3"/>
      <c r="N192" s="3"/>
    </row>
    <row r="193" ht="13.5" customHeight="1">
      <c r="A193" s="3"/>
      <c r="B193" s="3"/>
      <c r="C193" s="3"/>
      <c r="D193" s="3"/>
      <c r="E193" s="3"/>
      <c r="F193" s="3"/>
      <c r="G193" s="8"/>
      <c r="H193" s="8"/>
      <c r="I193" s="3"/>
      <c r="J193" s="3"/>
      <c r="K193" s="3"/>
      <c r="L193" s="3"/>
      <c r="M193" s="3"/>
      <c r="N193" s="3"/>
    </row>
    <row r="194" ht="13.5" customHeight="1">
      <c r="A194" s="3"/>
      <c r="B194" s="3"/>
      <c r="C194" s="3"/>
      <c r="D194" s="3"/>
      <c r="E194" s="3"/>
      <c r="F194" s="3"/>
      <c r="G194" s="8"/>
      <c r="H194" s="8"/>
      <c r="I194" s="3"/>
      <c r="J194" s="3"/>
      <c r="K194" s="3"/>
      <c r="L194" s="3"/>
      <c r="M194" s="3"/>
      <c r="N194" s="3"/>
    </row>
    <row r="195" ht="13.5" customHeight="1">
      <c r="A195" s="3"/>
      <c r="B195" s="3"/>
      <c r="C195" s="3"/>
      <c r="D195" s="3"/>
      <c r="E195" s="3"/>
      <c r="F195" s="3"/>
      <c r="G195" s="8"/>
      <c r="H195" s="8"/>
      <c r="I195" s="3"/>
      <c r="J195" s="3"/>
      <c r="K195" s="3"/>
      <c r="L195" s="3"/>
      <c r="M195" s="3"/>
      <c r="N195" s="3"/>
    </row>
    <row r="196" ht="13.5" customHeight="1">
      <c r="A196" s="3"/>
      <c r="B196" s="3"/>
      <c r="C196" s="3"/>
      <c r="D196" s="3"/>
      <c r="E196" s="3"/>
      <c r="F196" s="3"/>
      <c r="G196" s="8"/>
      <c r="H196" s="8"/>
      <c r="I196" s="3"/>
      <c r="J196" s="3"/>
      <c r="K196" s="3"/>
      <c r="L196" s="3"/>
      <c r="M196" s="3"/>
      <c r="N196" s="3"/>
    </row>
    <row r="197" ht="13.5" customHeight="1">
      <c r="A197" s="3"/>
      <c r="B197" s="3"/>
      <c r="C197" s="3"/>
      <c r="D197" s="3"/>
      <c r="E197" s="3"/>
      <c r="F197" s="3"/>
      <c r="G197" s="8"/>
      <c r="H197" s="8"/>
      <c r="I197" s="3"/>
      <c r="J197" s="3"/>
      <c r="K197" s="3"/>
      <c r="L197" s="3"/>
      <c r="M197" s="3"/>
      <c r="N197" s="3"/>
    </row>
    <row r="198" ht="13.5" customHeight="1">
      <c r="A198" s="3"/>
      <c r="B198" s="3"/>
      <c r="C198" s="3"/>
      <c r="D198" s="3"/>
      <c r="E198" s="3"/>
      <c r="F198" s="3"/>
      <c r="G198" s="8"/>
      <c r="H198" s="8"/>
      <c r="I198" s="3"/>
      <c r="J198" s="3"/>
      <c r="K198" s="3"/>
      <c r="L198" s="3"/>
      <c r="M198" s="3"/>
      <c r="N198" s="3"/>
    </row>
    <row r="199" ht="13.5" customHeight="1">
      <c r="A199" s="3"/>
      <c r="B199" s="3"/>
      <c r="C199" s="3"/>
      <c r="D199" s="3"/>
      <c r="E199" s="3"/>
      <c r="F199" s="3"/>
      <c r="G199" s="8"/>
      <c r="H199" s="8"/>
      <c r="I199" s="3"/>
      <c r="J199" s="3"/>
      <c r="K199" s="3"/>
      <c r="L199" s="3"/>
      <c r="M199" s="3"/>
      <c r="N199" s="3"/>
    </row>
    <row r="200" ht="13.5" customHeight="1">
      <c r="A200" s="3"/>
      <c r="B200" s="3"/>
      <c r="C200" s="3"/>
      <c r="D200" s="3"/>
      <c r="E200" s="3"/>
      <c r="F200" s="3"/>
      <c r="G200" s="8"/>
      <c r="H200" s="8"/>
      <c r="I200" s="3"/>
      <c r="J200" s="3"/>
      <c r="K200" s="3"/>
      <c r="L200" s="3"/>
      <c r="M200" s="3"/>
      <c r="N200" s="3"/>
    </row>
    <row r="201" ht="13.5" customHeight="1">
      <c r="A201" s="3"/>
      <c r="B201" s="3"/>
      <c r="C201" s="3"/>
      <c r="D201" s="3"/>
      <c r="E201" s="3"/>
      <c r="F201" s="3"/>
      <c r="G201" s="8"/>
      <c r="H201" s="8"/>
      <c r="I201" s="3"/>
      <c r="J201" s="3"/>
      <c r="K201" s="3"/>
      <c r="L201" s="3"/>
      <c r="M201" s="3"/>
      <c r="N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L2:L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13.0"/>
    <col customWidth="1" min="3" max="3" width="12.0"/>
    <col customWidth="1" min="4" max="4" width="14.0"/>
    <col customWidth="1" min="5" max="5" width="16.0"/>
    <col customWidth="1" min="6" max="6" width="12.0"/>
    <col customWidth="1" min="7" max="7" width="16.0"/>
    <col customWidth="1" min="8" max="9" width="19.0"/>
    <col customWidth="1" min="10" max="10" width="21.0"/>
    <col customWidth="1" min="11" max="12" width="12.0"/>
    <col customWidth="1" min="13" max="13" width="30.0"/>
    <col customWidth="1" min="14" max="26" width="8.63"/>
  </cols>
  <sheetData>
    <row r="1" ht="18.0" customHeight="1">
      <c r="A1" s="2" t="s">
        <v>1</v>
      </c>
      <c r="B1" s="2" t="s">
        <v>535</v>
      </c>
      <c r="C1" s="2" t="s">
        <v>30</v>
      </c>
      <c r="D1" s="2" t="s">
        <v>19</v>
      </c>
      <c r="E1" s="2" t="s">
        <v>536</v>
      </c>
      <c r="F1" s="2" t="s">
        <v>6</v>
      </c>
      <c r="G1" s="2" t="s">
        <v>539</v>
      </c>
      <c r="H1" s="2" t="s">
        <v>543</v>
      </c>
      <c r="I1" s="2" t="s">
        <v>544</v>
      </c>
      <c r="J1" s="2" t="s">
        <v>545</v>
      </c>
      <c r="K1" s="2" t="s">
        <v>15</v>
      </c>
      <c r="L1" s="2" t="s">
        <v>3</v>
      </c>
      <c r="M1" s="2" t="s">
        <v>17</v>
      </c>
    </row>
    <row r="2" ht="13.5" customHeight="1">
      <c r="A2" s="5">
        <v>1.0</v>
      </c>
      <c r="B2" s="3"/>
      <c r="C2" s="3"/>
      <c r="D2" s="3"/>
      <c r="E2" s="3"/>
      <c r="F2" s="3"/>
      <c r="G2" s="3"/>
      <c r="H2" s="8"/>
      <c r="I2" s="8"/>
      <c r="J2" s="3"/>
      <c r="K2" s="7" t="s">
        <v>542</v>
      </c>
      <c r="L2" s="3"/>
      <c r="M2" s="3"/>
    </row>
    <row r="3" ht="13.5" customHeight="1">
      <c r="A3" s="5">
        <v>2.0</v>
      </c>
      <c r="B3" s="3"/>
      <c r="C3" s="3"/>
      <c r="D3" s="3"/>
      <c r="E3" s="3"/>
      <c r="F3" s="3"/>
      <c r="G3" s="3"/>
      <c r="H3" s="8"/>
      <c r="I3" s="8"/>
      <c r="J3" s="3"/>
      <c r="K3" s="7" t="s">
        <v>542</v>
      </c>
      <c r="L3" s="3"/>
      <c r="M3" s="3"/>
    </row>
    <row r="4" ht="13.5" customHeight="1">
      <c r="A4" s="5">
        <v>3.0</v>
      </c>
      <c r="B4" s="3"/>
      <c r="C4" s="3"/>
      <c r="D4" s="3"/>
      <c r="E4" s="3"/>
      <c r="F4" s="3"/>
      <c r="G4" s="3"/>
      <c r="H4" s="8"/>
      <c r="I4" s="8"/>
      <c r="J4" s="3"/>
      <c r="K4" s="7" t="s">
        <v>542</v>
      </c>
      <c r="L4" s="3"/>
      <c r="M4" s="3"/>
    </row>
    <row r="5" ht="13.5" customHeight="1">
      <c r="A5" s="3"/>
      <c r="B5" s="3"/>
      <c r="C5" s="3"/>
      <c r="D5" s="3"/>
      <c r="E5" s="3"/>
      <c r="F5" s="3"/>
      <c r="G5" s="3"/>
      <c r="H5" s="8"/>
      <c r="I5" s="8"/>
      <c r="J5" s="3"/>
      <c r="K5" s="3"/>
      <c r="L5" s="3"/>
      <c r="M5" s="3"/>
    </row>
    <row r="6" ht="13.5" customHeight="1">
      <c r="A6" s="3"/>
      <c r="B6" s="3"/>
      <c r="C6" s="3"/>
      <c r="D6" s="3"/>
      <c r="E6" s="3"/>
      <c r="F6" s="3"/>
      <c r="G6" s="3"/>
      <c r="H6" s="8"/>
      <c r="I6" s="8"/>
      <c r="J6" s="3"/>
      <c r="K6" s="3"/>
      <c r="L6" s="3"/>
      <c r="M6" s="3"/>
    </row>
    <row r="7" ht="13.5" customHeight="1">
      <c r="A7" s="3"/>
      <c r="B7" s="3"/>
      <c r="C7" s="3"/>
      <c r="D7" s="3"/>
      <c r="E7" s="3"/>
      <c r="F7" s="3"/>
      <c r="G7" s="3"/>
      <c r="H7" s="8"/>
      <c r="I7" s="8"/>
      <c r="J7" s="3"/>
      <c r="K7" s="3"/>
      <c r="L7" s="3"/>
      <c r="M7" s="3"/>
    </row>
    <row r="8" ht="13.5" customHeight="1">
      <c r="A8" s="3"/>
      <c r="B8" s="3"/>
      <c r="C8" s="3"/>
      <c r="D8" s="3"/>
      <c r="E8" s="3"/>
      <c r="F8" s="3"/>
      <c r="G8" s="3"/>
      <c r="H8" s="8"/>
      <c r="I8" s="8"/>
      <c r="J8" s="3"/>
      <c r="K8" s="3"/>
      <c r="L8" s="3"/>
      <c r="M8" s="3"/>
    </row>
    <row r="9" ht="13.5" customHeight="1">
      <c r="A9" s="3"/>
      <c r="B9" s="3"/>
      <c r="C9" s="3"/>
      <c r="D9" s="3"/>
      <c r="E9" s="3"/>
      <c r="F9" s="3"/>
      <c r="G9" s="3"/>
      <c r="H9" s="8"/>
      <c r="I9" s="8"/>
      <c r="J9" s="3"/>
      <c r="K9" s="3"/>
      <c r="L9" s="3"/>
      <c r="M9" s="3"/>
    </row>
    <row r="10" ht="13.5" customHeight="1">
      <c r="A10" s="3"/>
      <c r="B10" s="3"/>
      <c r="C10" s="3"/>
      <c r="D10" s="3"/>
      <c r="E10" s="3"/>
      <c r="F10" s="3"/>
      <c r="G10" s="3"/>
      <c r="H10" s="8"/>
      <c r="I10" s="8"/>
      <c r="J10" s="3"/>
      <c r="K10" s="3"/>
      <c r="L10" s="3"/>
      <c r="M10" s="3"/>
    </row>
    <row r="11" ht="13.5" customHeight="1">
      <c r="A11" s="3"/>
      <c r="B11" s="3"/>
      <c r="C11" s="3"/>
      <c r="D11" s="3"/>
      <c r="E11" s="3"/>
      <c r="F11" s="3"/>
      <c r="G11" s="3"/>
      <c r="H11" s="8"/>
      <c r="I11" s="8"/>
      <c r="J11" s="3"/>
      <c r="K11" s="3"/>
      <c r="L11" s="3"/>
      <c r="M11" s="3"/>
    </row>
    <row r="12" ht="13.5" customHeight="1">
      <c r="A12" s="3"/>
      <c r="B12" s="3"/>
      <c r="C12" s="3"/>
      <c r="D12" s="3"/>
      <c r="E12" s="3"/>
      <c r="F12" s="3"/>
      <c r="G12" s="3"/>
      <c r="H12" s="8"/>
      <c r="I12" s="8"/>
      <c r="J12" s="3"/>
      <c r="K12" s="3"/>
      <c r="L12" s="3"/>
      <c r="M12" s="3"/>
    </row>
    <row r="13" ht="13.5" customHeight="1">
      <c r="A13" s="3"/>
      <c r="B13" s="3"/>
      <c r="C13" s="3"/>
      <c r="D13" s="3"/>
      <c r="E13" s="3"/>
      <c r="F13" s="3"/>
      <c r="G13" s="3"/>
      <c r="H13" s="8"/>
      <c r="I13" s="8"/>
      <c r="J13" s="3"/>
      <c r="K13" s="3"/>
      <c r="L13" s="3"/>
      <c r="M13" s="3"/>
    </row>
    <row r="14" ht="13.5" customHeight="1">
      <c r="A14" s="3"/>
      <c r="B14" s="3"/>
      <c r="C14" s="3"/>
      <c r="D14" s="3"/>
      <c r="E14" s="3"/>
      <c r="F14" s="3"/>
      <c r="G14" s="3"/>
      <c r="H14" s="8"/>
      <c r="I14" s="8"/>
      <c r="J14" s="3"/>
      <c r="K14" s="3"/>
      <c r="L14" s="3"/>
      <c r="M14" s="3"/>
    </row>
    <row r="15" ht="13.5" customHeight="1">
      <c r="A15" s="3"/>
      <c r="B15" s="3"/>
      <c r="C15" s="3"/>
      <c r="D15" s="3"/>
      <c r="E15" s="3"/>
      <c r="F15" s="3"/>
      <c r="G15" s="3"/>
      <c r="H15" s="8"/>
      <c r="I15" s="8"/>
      <c r="J15" s="3"/>
      <c r="K15" s="3"/>
      <c r="L15" s="3"/>
      <c r="M15" s="3"/>
    </row>
    <row r="16" ht="13.5" customHeight="1">
      <c r="A16" s="3"/>
      <c r="B16" s="3"/>
      <c r="C16" s="3"/>
      <c r="D16" s="3"/>
      <c r="E16" s="3"/>
      <c r="F16" s="3"/>
      <c r="G16" s="3"/>
      <c r="H16" s="8"/>
      <c r="I16" s="8"/>
      <c r="J16" s="3"/>
      <c r="K16" s="3"/>
      <c r="L16" s="3"/>
      <c r="M16" s="3"/>
    </row>
    <row r="17" ht="13.5" customHeight="1">
      <c r="A17" s="3"/>
      <c r="B17" s="3"/>
      <c r="C17" s="3"/>
      <c r="D17" s="3"/>
      <c r="E17" s="3"/>
      <c r="F17" s="3"/>
      <c r="G17" s="3"/>
      <c r="H17" s="8"/>
      <c r="I17" s="8"/>
      <c r="J17" s="3"/>
      <c r="K17" s="3"/>
      <c r="L17" s="3"/>
      <c r="M17" s="3"/>
    </row>
    <row r="18" ht="13.5" customHeight="1">
      <c r="A18" s="3"/>
      <c r="B18" s="3"/>
      <c r="C18" s="3"/>
      <c r="D18" s="3"/>
      <c r="E18" s="3"/>
      <c r="F18" s="3"/>
      <c r="G18" s="3"/>
      <c r="H18" s="8"/>
      <c r="I18" s="8"/>
      <c r="J18" s="3"/>
      <c r="K18" s="3"/>
      <c r="L18" s="3"/>
      <c r="M18" s="3"/>
    </row>
    <row r="19" ht="13.5" customHeight="1">
      <c r="A19" s="3"/>
      <c r="B19" s="3"/>
      <c r="C19" s="3"/>
      <c r="D19" s="3"/>
      <c r="E19" s="3"/>
      <c r="F19" s="3"/>
      <c r="G19" s="3"/>
      <c r="H19" s="8"/>
      <c r="I19" s="8"/>
      <c r="J19" s="3"/>
      <c r="K19" s="3"/>
      <c r="L19" s="3"/>
      <c r="M19" s="3"/>
    </row>
    <row r="20" ht="13.5" customHeight="1">
      <c r="A20" s="3"/>
      <c r="B20" s="3"/>
      <c r="C20" s="3"/>
      <c r="D20" s="3"/>
      <c r="E20" s="3"/>
      <c r="F20" s="3"/>
      <c r="G20" s="3"/>
      <c r="H20" s="8"/>
      <c r="I20" s="8"/>
      <c r="J20" s="3"/>
      <c r="K20" s="3"/>
      <c r="L20" s="3"/>
      <c r="M20" s="3"/>
    </row>
    <row r="21" ht="13.5" customHeight="1">
      <c r="A21" s="3"/>
      <c r="B21" s="3"/>
      <c r="C21" s="3"/>
      <c r="D21" s="3"/>
      <c r="E21" s="3"/>
      <c r="F21" s="3"/>
      <c r="G21" s="3"/>
      <c r="H21" s="8"/>
      <c r="I21" s="8"/>
      <c r="J21" s="3"/>
      <c r="K21" s="3"/>
      <c r="L21" s="3"/>
      <c r="M21" s="3"/>
    </row>
    <row r="22" ht="13.5" customHeight="1">
      <c r="A22" s="3"/>
      <c r="B22" s="3"/>
      <c r="C22" s="3"/>
      <c r="D22" s="3"/>
      <c r="E22" s="3"/>
      <c r="F22" s="3"/>
      <c r="G22" s="3"/>
      <c r="H22" s="8"/>
      <c r="I22" s="8"/>
      <c r="J22" s="3"/>
      <c r="K22" s="3"/>
      <c r="L22" s="3"/>
      <c r="M22" s="3"/>
    </row>
    <row r="23" ht="13.5" customHeight="1">
      <c r="A23" s="3"/>
      <c r="B23" s="3"/>
      <c r="C23" s="3"/>
      <c r="D23" s="3"/>
      <c r="E23" s="3"/>
      <c r="F23" s="3"/>
      <c r="G23" s="3"/>
      <c r="H23" s="8"/>
      <c r="I23" s="8"/>
      <c r="J23" s="3"/>
      <c r="K23" s="3"/>
      <c r="L23" s="3"/>
      <c r="M23" s="3"/>
    </row>
    <row r="24" ht="13.5" customHeight="1">
      <c r="A24" s="3"/>
      <c r="B24" s="3"/>
      <c r="C24" s="3"/>
      <c r="D24" s="3"/>
      <c r="E24" s="3"/>
      <c r="F24" s="3"/>
      <c r="G24" s="3"/>
      <c r="H24" s="8"/>
      <c r="I24" s="8"/>
      <c r="J24" s="3"/>
      <c r="K24" s="3"/>
      <c r="L24" s="3"/>
      <c r="M24" s="3"/>
    </row>
    <row r="25" ht="13.5" customHeight="1">
      <c r="A25" s="3"/>
      <c r="B25" s="3"/>
      <c r="C25" s="3"/>
      <c r="D25" s="3"/>
      <c r="E25" s="3"/>
      <c r="F25" s="3"/>
      <c r="G25" s="3"/>
      <c r="H25" s="8"/>
      <c r="I25" s="8"/>
      <c r="J25" s="3"/>
      <c r="K25" s="3"/>
      <c r="L25" s="3"/>
      <c r="M25" s="3"/>
    </row>
    <row r="26" ht="13.5" customHeight="1">
      <c r="A26" s="3"/>
      <c r="B26" s="3"/>
      <c r="C26" s="3"/>
      <c r="D26" s="3"/>
      <c r="E26" s="3"/>
      <c r="F26" s="3"/>
      <c r="G26" s="3"/>
      <c r="H26" s="8"/>
      <c r="I26" s="8"/>
      <c r="J26" s="3"/>
      <c r="K26" s="3"/>
      <c r="L26" s="3"/>
      <c r="M26" s="3"/>
    </row>
    <row r="27" ht="13.5" customHeight="1">
      <c r="A27" s="3"/>
      <c r="B27" s="3"/>
      <c r="C27" s="3"/>
      <c r="D27" s="3"/>
      <c r="E27" s="3"/>
      <c r="F27" s="3"/>
      <c r="G27" s="3"/>
      <c r="H27" s="8"/>
      <c r="I27" s="8"/>
      <c r="J27" s="3"/>
      <c r="K27" s="3"/>
      <c r="L27" s="3"/>
      <c r="M27" s="3"/>
    </row>
    <row r="28" ht="13.5" customHeight="1">
      <c r="A28" s="3"/>
      <c r="B28" s="3"/>
      <c r="C28" s="3"/>
      <c r="D28" s="3"/>
      <c r="E28" s="3"/>
      <c r="F28" s="3"/>
      <c r="G28" s="3"/>
      <c r="H28" s="8"/>
      <c r="I28" s="8"/>
      <c r="J28" s="3"/>
      <c r="K28" s="3"/>
      <c r="L28" s="3"/>
      <c r="M28" s="3"/>
    </row>
    <row r="29" ht="13.5" customHeight="1">
      <c r="A29" s="3"/>
      <c r="B29" s="3"/>
      <c r="C29" s="3"/>
      <c r="D29" s="3"/>
      <c r="E29" s="3"/>
      <c r="F29" s="3"/>
      <c r="G29" s="3"/>
      <c r="H29" s="8"/>
      <c r="I29" s="8"/>
      <c r="J29" s="3"/>
      <c r="K29" s="3"/>
      <c r="L29" s="3"/>
      <c r="M29" s="3"/>
    </row>
    <row r="30" ht="13.5" customHeight="1">
      <c r="A30" s="3"/>
      <c r="B30" s="3"/>
      <c r="C30" s="3"/>
      <c r="D30" s="3"/>
      <c r="E30" s="3"/>
      <c r="F30" s="3"/>
      <c r="G30" s="3"/>
      <c r="H30" s="8"/>
      <c r="I30" s="8"/>
      <c r="J30" s="3"/>
      <c r="K30" s="3"/>
      <c r="L30" s="3"/>
      <c r="M30" s="3"/>
    </row>
    <row r="31" ht="13.5" customHeight="1">
      <c r="A31" s="3"/>
      <c r="B31" s="3"/>
      <c r="C31" s="3"/>
      <c r="D31" s="3"/>
      <c r="E31" s="3"/>
      <c r="F31" s="3"/>
      <c r="G31" s="3"/>
      <c r="H31" s="8"/>
      <c r="I31" s="8"/>
      <c r="J31" s="3"/>
      <c r="K31" s="3"/>
      <c r="L31" s="3"/>
      <c r="M31" s="3"/>
    </row>
    <row r="32" ht="13.5" customHeight="1">
      <c r="A32" s="3"/>
      <c r="B32" s="3"/>
      <c r="C32" s="3"/>
      <c r="D32" s="3"/>
      <c r="E32" s="3"/>
      <c r="F32" s="3"/>
      <c r="G32" s="3"/>
      <c r="H32" s="8"/>
      <c r="I32" s="8"/>
      <c r="J32" s="3"/>
      <c r="K32" s="3"/>
      <c r="L32" s="3"/>
      <c r="M32" s="3"/>
    </row>
    <row r="33" ht="13.5" customHeight="1">
      <c r="A33" s="3"/>
      <c r="B33" s="3"/>
      <c r="C33" s="3"/>
      <c r="D33" s="3"/>
      <c r="E33" s="3"/>
      <c r="F33" s="3"/>
      <c r="G33" s="3"/>
      <c r="H33" s="8"/>
      <c r="I33" s="8"/>
      <c r="J33" s="3"/>
      <c r="K33" s="3"/>
      <c r="L33" s="3"/>
      <c r="M33" s="3"/>
    </row>
    <row r="34" ht="13.5" customHeight="1">
      <c r="A34" s="3"/>
      <c r="B34" s="3"/>
      <c r="C34" s="3"/>
      <c r="D34" s="3"/>
      <c r="E34" s="3"/>
      <c r="F34" s="3"/>
      <c r="G34" s="3"/>
      <c r="H34" s="8"/>
      <c r="I34" s="8"/>
      <c r="J34" s="3"/>
      <c r="K34" s="3"/>
      <c r="L34" s="3"/>
      <c r="M34" s="3"/>
    </row>
    <row r="35" ht="13.5" customHeight="1">
      <c r="A35" s="3"/>
      <c r="B35" s="3"/>
      <c r="C35" s="3"/>
      <c r="D35" s="3"/>
      <c r="E35" s="3"/>
      <c r="F35" s="3"/>
      <c r="G35" s="3"/>
      <c r="H35" s="8"/>
      <c r="I35" s="8"/>
      <c r="J35" s="3"/>
      <c r="K35" s="3"/>
      <c r="L35" s="3"/>
      <c r="M35" s="3"/>
    </row>
    <row r="36" ht="13.5" customHeight="1">
      <c r="A36" s="3"/>
      <c r="B36" s="3"/>
      <c r="C36" s="3"/>
      <c r="D36" s="3"/>
      <c r="E36" s="3"/>
      <c r="F36" s="3"/>
      <c r="G36" s="3"/>
      <c r="H36" s="8"/>
      <c r="I36" s="8"/>
      <c r="J36" s="3"/>
      <c r="K36" s="3"/>
      <c r="L36" s="3"/>
      <c r="M36" s="3"/>
    </row>
    <row r="37" ht="13.5" customHeight="1">
      <c r="A37" s="3"/>
      <c r="B37" s="3"/>
      <c r="C37" s="3"/>
      <c r="D37" s="3"/>
      <c r="E37" s="3"/>
      <c r="F37" s="3"/>
      <c r="G37" s="3"/>
      <c r="H37" s="8"/>
      <c r="I37" s="8"/>
      <c r="J37" s="3"/>
      <c r="K37" s="3"/>
      <c r="L37" s="3"/>
      <c r="M37" s="3"/>
    </row>
    <row r="38" ht="13.5" customHeight="1">
      <c r="A38" s="3"/>
      <c r="B38" s="3"/>
      <c r="C38" s="3"/>
      <c r="D38" s="3"/>
      <c r="E38" s="3"/>
      <c r="F38" s="3"/>
      <c r="G38" s="3"/>
      <c r="H38" s="8"/>
      <c r="I38" s="8"/>
      <c r="J38" s="3"/>
      <c r="K38" s="3"/>
      <c r="L38" s="3"/>
      <c r="M38" s="3"/>
    </row>
    <row r="39" ht="13.5" customHeight="1">
      <c r="A39" s="3"/>
      <c r="B39" s="3"/>
      <c r="C39" s="3"/>
      <c r="D39" s="3"/>
      <c r="E39" s="3"/>
      <c r="F39" s="3"/>
      <c r="G39" s="3"/>
      <c r="H39" s="8"/>
      <c r="I39" s="8"/>
      <c r="J39" s="3"/>
      <c r="K39" s="3"/>
      <c r="L39" s="3"/>
      <c r="M39" s="3"/>
    </row>
    <row r="40" ht="13.5" customHeight="1">
      <c r="A40" s="3"/>
      <c r="B40" s="3"/>
      <c r="C40" s="3"/>
      <c r="D40" s="3"/>
      <c r="E40" s="3"/>
      <c r="F40" s="3"/>
      <c r="G40" s="3"/>
      <c r="H40" s="8"/>
      <c r="I40" s="8"/>
      <c r="J40" s="3"/>
      <c r="K40" s="3"/>
      <c r="L40" s="3"/>
      <c r="M40" s="3"/>
    </row>
    <row r="41" ht="13.5" customHeight="1">
      <c r="A41" s="3"/>
      <c r="B41" s="3"/>
      <c r="C41" s="3"/>
      <c r="D41" s="3"/>
      <c r="E41" s="3"/>
      <c r="F41" s="3"/>
      <c r="G41" s="3"/>
      <c r="H41" s="8"/>
      <c r="I41" s="8"/>
      <c r="J41" s="3"/>
      <c r="K41" s="3"/>
      <c r="L41" s="3"/>
      <c r="M41" s="3"/>
    </row>
    <row r="42" ht="13.5" customHeight="1">
      <c r="A42" s="3"/>
      <c r="B42" s="3"/>
      <c r="C42" s="3"/>
      <c r="D42" s="3"/>
      <c r="E42" s="3"/>
      <c r="F42" s="3"/>
      <c r="G42" s="3"/>
      <c r="H42" s="8"/>
      <c r="I42" s="8"/>
      <c r="J42" s="3"/>
      <c r="K42" s="3"/>
      <c r="L42" s="3"/>
      <c r="M42" s="3"/>
    </row>
    <row r="43" ht="13.5" customHeight="1">
      <c r="A43" s="3"/>
      <c r="B43" s="3"/>
      <c r="C43" s="3"/>
      <c r="D43" s="3"/>
      <c r="E43" s="3"/>
      <c r="F43" s="3"/>
      <c r="G43" s="3"/>
      <c r="H43" s="8"/>
      <c r="I43" s="8"/>
      <c r="J43" s="3"/>
      <c r="K43" s="3"/>
      <c r="L43" s="3"/>
      <c r="M43" s="3"/>
    </row>
    <row r="44" ht="13.5" customHeight="1">
      <c r="A44" s="3"/>
      <c r="B44" s="3"/>
      <c r="C44" s="3"/>
      <c r="D44" s="3"/>
      <c r="E44" s="3"/>
      <c r="F44" s="3"/>
      <c r="G44" s="3"/>
      <c r="H44" s="8"/>
      <c r="I44" s="8"/>
      <c r="J44" s="3"/>
      <c r="K44" s="3"/>
      <c r="L44" s="3"/>
      <c r="M44" s="3"/>
    </row>
    <row r="45" ht="13.5" customHeight="1">
      <c r="A45" s="3"/>
      <c r="B45" s="3"/>
      <c r="C45" s="3"/>
      <c r="D45" s="3"/>
      <c r="E45" s="3"/>
      <c r="F45" s="3"/>
      <c r="G45" s="3"/>
      <c r="H45" s="8"/>
      <c r="I45" s="8"/>
      <c r="J45" s="3"/>
      <c r="K45" s="3"/>
      <c r="L45" s="3"/>
      <c r="M45" s="3"/>
    </row>
    <row r="46" ht="13.5" customHeight="1">
      <c r="A46" s="3"/>
      <c r="B46" s="3"/>
      <c r="C46" s="3"/>
      <c r="D46" s="3"/>
      <c r="E46" s="3"/>
      <c r="F46" s="3"/>
      <c r="G46" s="3"/>
      <c r="H46" s="8"/>
      <c r="I46" s="8"/>
      <c r="J46" s="3"/>
      <c r="K46" s="3"/>
      <c r="L46" s="3"/>
      <c r="M46" s="3"/>
    </row>
    <row r="47" ht="13.5" customHeight="1">
      <c r="A47" s="3"/>
      <c r="B47" s="3"/>
      <c r="C47" s="3"/>
      <c r="D47" s="3"/>
      <c r="E47" s="3"/>
      <c r="F47" s="3"/>
      <c r="G47" s="3"/>
      <c r="H47" s="8"/>
      <c r="I47" s="8"/>
      <c r="J47" s="3"/>
      <c r="K47" s="3"/>
      <c r="L47" s="3"/>
      <c r="M47" s="3"/>
    </row>
    <row r="48" ht="13.5" customHeight="1">
      <c r="A48" s="3"/>
      <c r="B48" s="3"/>
      <c r="C48" s="3"/>
      <c r="D48" s="3"/>
      <c r="E48" s="3"/>
      <c r="F48" s="3"/>
      <c r="G48" s="3"/>
      <c r="H48" s="8"/>
      <c r="I48" s="8"/>
      <c r="J48" s="3"/>
      <c r="K48" s="3"/>
      <c r="L48" s="3"/>
      <c r="M48" s="3"/>
    </row>
    <row r="49" ht="13.5" customHeight="1">
      <c r="A49" s="3"/>
      <c r="B49" s="3"/>
      <c r="C49" s="3"/>
      <c r="D49" s="3"/>
      <c r="E49" s="3"/>
      <c r="F49" s="3"/>
      <c r="G49" s="3"/>
      <c r="H49" s="8"/>
      <c r="I49" s="8"/>
      <c r="J49" s="3"/>
      <c r="K49" s="3"/>
      <c r="L49" s="3"/>
      <c r="M49" s="3"/>
    </row>
    <row r="50" ht="13.5" customHeight="1">
      <c r="A50" s="3"/>
      <c r="B50" s="3"/>
      <c r="C50" s="3"/>
      <c r="D50" s="3"/>
      <c r="E50" s="3"/>
      <c r="F50" s="3"/>
      <c r="G50" s="3"/>
      <c r="H50" s="8"/>
      <c r="I50" s="8"/>
      <c r="J50" s="3"/>
      <c r="K50" s="3"/>
      <c r="L50" s="3"/>
      <c r="M50" s="3"/>
    </row>
    <row r="51" ht="13.5" customHeight="1">
      <c r="A51" s="3"/>
      <c r="B51" s="3"/>
      <c r="C51" s="3"/>
      <c r="D51" s="3"/>
      <c r="E51" s="3"/>
      <c r="F51" s="3"/>
      <c r="G51" s="3"/>
      <c r="H51" s="8"/>
      <c r="I51" s="8"/>
      <c r="J51" s="3"/>
      <c r="K51" s="3"/>
      <c r="L51" s="3"/>
      <c r="M51" s="3"/>
    </row>
    <row r="52" ht="13.5" customHeight="1">
      <c r="A52" s="3"/>
      <c r="B52" s="3"/>
      <c r="C52" s="3"/>
      <c r="D52" s="3"/>
      <c r="E52" s="3"/>
      <c r="F52" s="3"/>
      <c r="G52" s="3"/>
      <c r="H52" s="8"/>
      <c r="I52" s="8"/>
      <c r="J52" s="3"/>
      <c r="K52" s="3"/>
      <c r="L52" s="3"/>
      <c r="M52" s="3"/>
    </row>
    <row r="53" ht="13.5" customHeight="1">
      <c r="A53" s="3"/>
      <c r="B53" s="3"/>
      <c r="C53" s="3"/>
      <c r="D53" s="3"/>
      <c r="E53" s="3"/>
      <c r="F53" s="3"/>
      <c r="G53" s="3"/>
      <c r="H53" s="8"/>
      <c r="I53" s="8"/>
      <c r="J53" s="3"/>
      <c r="K53" s="3"/>
      <c r="L53" s="3"/>
      <c r="M53" s="3"/>
    </row>
    <row r="54" ht="13.5" customHeight="1">
      <c r="A54" s="3"/>
      <c r="B54" s="3"/>
      <c r="C54" s="3"/>
      <c r="D54" s="3"/>
      <c r="E54" s="3"/>
      <c r="F54" s="3"/>
      <c r="G54" s="3"/>
      <c r="H54" s="8"/>
      <c r="I54" s="8"/>
      <c r="J54" s="3"/>
      <c r="K54" s="3"/>
      <c r="L54" s="3"/>
      <c r="M54" s="3"/>
    </row>
    <row r="55" ht="13.5" customHeight="1">
      <c r="A55" s="3"/>
      <c r="B55" s="3"/>
      <c r="C55" s="3"/>
      <c r="D55" s="3"/>
      <c r="E55" s="3"/>
      <c r="F55" s="3"/>
      <c r="G55" s="3"/>
      <c r="H55" s="8"/>
      <c r="I55" s="8"/>
      <c r="J55" s="3"/>
      <c r="K55" s="3"/>
      <c r="L55" s="3"/>
      <c r="M55" s="3"/>
    </row>
    <row r="56" ht="13.5" customHeight="1">
      <c r="A56" s="3"/>
      <c r="B56" s="3"/>
      <c r="C56" s="3"/>
      <c r="D56" s="3"/>
      <c r="E56" s="3"/>
      <c r="F56" s="3"/>
      <c r="G56" s="3"/>
      <c r="H56" s="8"/>
      <c r="I56" s="8"/>
      <c r="J56" s="3"/>
      <c r="K56" s="3"/>
      <c r="L56" s="3"/>
      <c r="M56" s="3"/>
    </row>
    <row r="57" ht="13.5" customHeight="1">
      <c r="A57" s="3"/>
      <c r="B57" s="3"/>
      <c r="C57" s="3"/>
      <c r="D57" s="3"/>
      <c r="E57" s="3"/>
      <c r="F57" s="3"/>
      <c r="G57" s="3"/>
      <c r="H57" s="8"/>
      <c r="I57" s="8"/>
      <c r="J57" s="3"/>
      <c r="K57" s="3"/>
      <c r="L57" s="3"/>
      <c r="M57" s="3"/>
    </row>
    <row r="58" ht="13.5" customHeight="1">
      <c r="A58" s="3"/>
      <c r="B58" s="3"/>
      <c r="C58" s="3"/>
      <c r="D58" s="3"/>
      <c r="E58" s="3"/>
      <c r="F58" s="3"/>
      <c r="G58" s="3"/>
      <c r="H58" s="8"/>
      <c r="I58" s="8"/>
      <c r="J58" s="3"/>
      <c r="K58" s="3"/>
      <c r="L58" s="3"/>
      <c r="M58" s="3"/>
    </row>
    <row r="59" ht="13.5" customHeight="1">
      <c r="A59" s="3"/>
      <c r="B59" s="3"/>
      <c r="C59" s="3"/>
      <c r="D59" s="3"/>
      <c r="E59" s="3"/>
      <c r="F59" s="3"/>
      <c r="G59" s="3"/>
      <c r="H59" s="8"/>
      <c r="I59" s="8"/>
      <c r="J59" s="3"/>
      <c r="K59" s="3"/>
      <c r="L59" s="3"/>
      <c r="M59" s="3"/>
    </row>
    <row r="60" ht="13.5" customHeight="1">
      <c r="A60" s="3"/>
      <c r="B60" s="3"/>
      <c r="C60" s="3"/>
      <c r="D60" s="3"/>
      <c r="E60" s="3"/>
      <c r="F60" s="3"/>
      <c r="G60" s="3"/>
      <c r="H60" s="8"/>
      <c r="I60" s="8"/>
      <c r="J60" s="3"/>
      <c r="K60" s="3"/>
      <c r="L60" s="3"/>
      <c r="M60" s="3"/>
    </row>
    <row r="61" ht="13.5" customHeight="1">
      <c r="A61" s="3"/>
      <c r="B61" s="3"/>
      <c r="C61" s="3"/>
      <c r="D61" s="3"/>
      <c r="E61" s="3"/>
      <c r="F61" s="3"/>
      <c r="G61" s="3"/>
      <c r="H61" s="8"/>
      <c r="I61" s="8"/>
      <c r="J61" s="3"/>
      <c r="K61" s="3"/>
      <c r="L61" s="3"/>
      <c r="M61" s="3"/>
    </row>
    <row r="62" ht="13.5" customHeight="1">
      <c r="A62" s="3"/>
      <c r="B62" s="3"/>
      <c r="C62" s="3"/>
      <c r="D62" s="3"/>
      <c r="E62" s="3"/>
      <c r="F62" s="3"/>
      <c r="G62" s="3"/>
      <c r="H62" s="8"/>
      <c r="I62" s="8"/>
      <c r="J62" s="3"/>
      <c r="K62" s="3"/>
      <c r="L62" s="3"/>
      <c r="M62" s="3"/>
    </row>
    <row r="63" ht="13.5" customHeight="1">
      <c r="A63" s="3"/>
      <c r="B63" s="3"/>
      <c r="C63" s="3"/>
      <c r="D63" s="3"/>
      <c r="E63" s="3"/>
      <c r="F63" s="3"/>
      <c r="G63" s="3"/>
      <c r="H63" s="8"/>
      <c r="I63" s="8"/>
      <c r="J63" s="3"/>
      <c r="K63" s="3"/>
      <c r="L63" s="3"/>
      <c r="M63" s="3"/>
    </row>
    <row r="64" ht="13.5" customHeight="1">
      <c r="A64" s="3"/>
      <c r="B64" s="3"/>
      <c r="C64" s="3"/>
      <c r="D64" s="3"/>
      <c r="E64" s="3"/>
      <c r="F64" s="3"/>
      <c r="G64" s="3"/>
      <c r="H64" s="8"/>
      <c r="I64" s="8"/>
      <c r="J64" s="3"/>
      <c r="K64" s="3"/>
      <c r="L64" s="3"/>
      <c r="M64" s="3"/>
    </row>
    <row r="65" ht="13.5" customHeight="1">
      <c r="A65" s="3"/>
      <c r="B65" s="3"/>
      <c r="C65" s="3"/>
      <c r="D65" s="3"/>
      <c r="E65" s="3"/>
      <c r="F65" s="3"/>
      <c r="G65" s="3"/>
      <c r="H65" s="8"/>
      <c r="I65" s="8"/>
      <c r="J65" s="3"/>
      <c r="K65" s="3"/>
      <c r="L65" s="3"/>
      <c r="M65" s="3"/>
    </row>
    <row r="66" ht="13.5" customHeight="1">
      <c r="A66" s="3"/>
      <c r="B66" s="3"/>
      <c r="C66" s="3"/>
      <c r="D66" s="3"/>
      <c r="E66" s="3"/>
      <c r="F66" s="3"/>
      <c r="G66" s="3"/>
      <c r="H66" s="8"/>
      <c r="I66" s="8"/>
      <c r="J66" s="3"/>
      <c r="K66" s="3"/>
      <c r="L66" s="3"/>
      <c r="M66" s="3"/>
    </row>
    <row r="67" ht="13.5" customHeight="1">
      <c r="A67" s="3"/>
      <c r="B67" s="3"/>
      <c r="C67" s="3"/>
      <c r="D67" s="3"/>
      <c r="E67" s="3"/>
      <c r="F67" s="3"/>
      <c r="G67" s="3"/>
      <c r="H67" s="8"/>
      <c r="I67" s="8"/>
      <c r="J67" s="3"/>
      <c r="K67" s="3"/>
      <c r="L67" s="3"/>
      <c r="M67" s="3"/>
    </row>
    <row r="68" ht="13.5" customHeight="1">
      <c r="A68" s="3"/>
      <c r="B68" s="3"/>
      <c r="C68" s="3"/>
      <c r="D68" s="3"/>
      <c r="E68" s="3"/>
      <c r="F68" s="3"/>
      <c r="G68" s="3"/>
      <c r="H68" s="8"/>
      <c r="I68" s="8"/>
      <c r="J68" s="3"/>
      <c r="K68" s="3"/>
      <c r="L68" s="3"/>
      <c r="M68" s="3"/>
    </row>
    <row r="69" ht="13.5" customHeight="1">
      <c r="A69" s="3"/>
      <c r="B69" s="3"/>
      <c r="C69" s="3"/>
      <c r="D69" s="3"/>
      <c r="E69" s="3"/>
      <c r="F69" s="3"/>
      <c r="G69" s="3"/>
      <c r="H69" s="8"/>
      <c r="I69" s="8"/>
      <c r="J69" s="3"/>
      <c r="K69" s="3"/>
      <c r="L69" s="3"/>
      <c r="M69" s="3"/>
    </row>
    <row r="70" ht="13.5" customHeight="1">
      <c r="A70" s="3"/>
      <c r="B70" s="3"/>
      <c r="C70" s="3"/>
      <c r="D70" s="3"/>
      <c r="E70" s="3"/>
      <c r="F70" s="3"/>
      <c r="G70" s="3"/>
      <c r="H70" s="8"/>
      <c r="I70" s="8"/>
      <c r="J70" s="3"/>
      <c r="K70" s="3"/>
      <c r="L70" s="3"/>
      <c r="M70" s="3"/>
    </row>
    <row r="71" ht="13.5" customHeight="1">
      <c r="A71" s="3"/>
      <c r="B71" s="3"/>
      <c r="C71" s="3"/>
      <c r="D71" s="3"/>
      <c r="E71" s="3"/>
      <c r="F71" s="3"/>
      <c r="G71" s="3"/>
      <c r="H71" s="8"/>
      <c r="I71" s="8"/>
      <c r="J71" s="3"/>
      <c r="K71" s="3"/>
      <c r="L71" s="3"/>
      <c r="M71" s="3"/>
    </row>
    <row r="72" ht="13.5" customHeight="1">
      <c r="A72" s="3"/>
      <c r="B72" s="3"/>
      <c r="C72" s="3"/>
      <c r="D72" s="3"/>
      <c r="E72" s="3"/>
      <c r="F72" s="3"/>
      <c r="G72" s="3"/>
      <c r="H72" s="8"/>
      <c r="I72" s="8"/>
      <c r="J72" s="3"/>
      <c r="K72" s="3"/>
      <c r="L72" s="3"/>
      <c r="M72" s="3"/>
    </row>
    <row r="73" ht="13.5" customHeight="1">
      <c r="A73" s="3"/>
      <c r="B73" s="3"/>
      <c r="C73" s="3"/>
      <c r="D73" s="3"/>
      <c r="E73" s="3"/>
      <c r="F73" s="3"/>
      <c r="G73" s="3"/>
      <c r="H73" s="8"/>
      <c r="I73" s="8"/>
      <c r="J73" s="3"/>
      <c r="K73" s="3"/>
      <c r="L73" s="3"/>
      <c r="M73" s="3"/>
    </row>
    <row r="74" ht="13.5" customHeight="1">
      <c r="A74" s="3"/>
      <c r="B74" s="3"/>
      <c r="C74" s="3"/>
      <c r="D74" s="3"/>
      <c r="E74" s="3"/>
      <c r="F74" s="3"/>
      <c r="G74" s="3"/>
      <c r="H74" s="8"/>
      <c r="I74" s="8"/>
      <c r="J74" s="3"/>
      <c r="K74" s="3"/>
      <c r="L74" s="3"/>
      <c r="M74" s="3"/>
    </row>
    <row r="75" ht="13.5" customHeight="1">
      <c r="A75" s="3"/>
      <c r="B75" s="3"/>
      <c r="C75" s="3"/>
      <c r="D75" s="3"/>
      <c r="E75" s="3"/>
      <c r="F75" s="3"/>
      <c r="G75" s="3"/>
      <c r="H75" s="8"/>
      <c r="I75" s="8"/>
      <c r="J75" s="3"/>
      <c r="K75" s="3"/>
      <c r="L75" s="3"/>
      <c r="M75" s="3"/>
    </row>
    <row r="76" ht="13.5" customHeight="1">
      <c r="A76" s="3"/>
      <c r="B76" s="3"/>
      <c r="C76" s="3"/>
      <c r="D76" s="3"/>
      <c r="E76" s="3"/>
      <c r="F76" s="3"/>
      <c r="G76" s="3"/>
      <c r="H76" s="8"/>
      <c r="I76" s="8"/>
      <c r="J76" s="3"/>
      <c r="K76" s="3"/>
      <c r="L76" s="3"/>
      <c r="M76" s="3"/>
    </row>
    <row r="77" ht="13.5" customHeight="1">
      <c r="A77" s="3"/>
      <c r="B77" s="3"/>
      <c r="C77" s="3"/>
      <c r="D77" s="3"/>
      <c r="E77" s="3"/>
      <c r="F77" s="3"/>
      <c r="G77" s="3"/>
      <c r="H77" s="8"/>
      <c r="I77" s="8"/>
      <c r="J77" s="3"/>
      <c r="K77" s="3"/>
      <c r="L77" s="3"/>
      <c r="M77" s="3"/>
    </row>
    <row r="78" ht="13.5" customHeight="1">
      <c r="A78" s="3"/>
      <c r="B78" s="3"/>
      <c r="C78" s="3"/>
      <c r="D78" s="3"/>
      <c r="E78" s="3"/>
      <c r="F78" s="3"/>
      <c r="G78" s="3"/>
      <c r="H78" s="8"/>
      <c r="I78" s="8"/>
      <c r="J78" s="3"/>
      <c r="K78" s="3"/>
      <c r="L78" s="3"/>
      <c r="M78" s="3"/>
    </row>
    <row r="79" ht="13.5" customHeight="1">
      <c r="A79" s="3"/>
      <c r="B79" s="3"/>
      <c r="C79" s="3"/>
      <c r="D79" s="3"/>
      <c r="E79" s="3"/>
      <c r="F79" s="3"/>
      <c r="G79" s="3"/>
      <c r="H79" s="8"/>
      <c r="I79" s="8"/>
      <c r="J79" s="3"/>
      <c r="K79" s="3"/>
      <c r="L79" s="3"/>
      <c r="M79" s="3"/>
    </row>
    <row r="80" ht="13.5" customHeight="1">
      <c r="A80" s="3"/>
      <c r="B80" s="3"/>
      <c r="C80" s="3"/>
      <c r="D80" s="3"/>
      <c r="E80" s="3"/>
      <c r="F80" s="3"/>
      <c r="G80" s="3"/>
      <c r="H80" s="8"/>
      <c r="I80" s="8"/>
      <c r="J80" s="3"/>
      <c r="K80" s="3"/>
      <c r="L80" s="3"/>
      <c r="M80" s="3"/>
    </row>
    <row r="81" ht="13.5" customHeight="1">
      <c r="A81" s="3"/>
      <c r="B81" s="3"/>
      <c r="C81" s="3"/>
      <c r="D81" s="3"/>
      <c r="E81" s="3"/>
      <c r="F81" s="3"/>
      <c r="G81" s="3"/>
      <c r="H81" s="8"/>
      <c r="I81" s="8"/>
      <c r="J81" s="3"/>
      <c r="K81" s="3"/>
      <c r="L81" s="3"/>
      <c r="M81" s="3"/>
    </row>
    <row r="82" ht="13.5" customHeight="1">
      <c r="A82" s="3"/>
      <c r="B82" s="3"/>
      <c r="C82" s="3"/>
      <c r="D82" s="3"/>
      <c r="E82" s="3"/>
      <c r="F82" s="3"/>
      <c r="G82" s="3"/>
      <c r="H82" s="8"/>
      <c r="I82" s="8"/>
      <c r="J82" s="3"/>
      <c r="K82" s="3"/>
      <c r="L82" s="3"/>
      <c r="M82" s="3"/>
    </row>
    <row r="83" ht="13.5" customHeight="1">
      <c r="A83" s="3"/>
      <c r="B83" s="3"/>
      <c r="C83" s="3"/>
      <c r="D83" s="3"/>
      <c r="E83" s="3"/>
      <c r="F83" s="3"/>
      <c r="G83" s="3"/>
      <c r="H83" s="8"/>
      <c r="I83" s="8"/>
      <c r="J83" s="3"/>
      <c r="K83" s="3"/>
      <c r="L83" s="3"/>
      <c r="M83" s="3"/>
    </row>
    <row r="84" ht="13.5" customHeight="1">
      <c r="A84" s="3"/>
      <c r="B84" s="3"/>
      <c r="C84" s="3"/>
      <c r="D84" s="3"/>
      <c r="E84" s="3"/>
      <c r="F84" s="3"/>
      <c r="G84" s="3"/>
      <c r="H84" s="8"/>
      <c r="I84" s="8"/>
      <c r="J84" s="3"/>
      <c r="K84" s="3"/>
      <c r="L84" s="3"/>
      <c r="M84" s="3"/>
    </row>
    <row r="85" ht="13.5" customHeight="1">
      <c r="A85" s="3"/>
      <c r="B85" s="3"/>
      <c r="C85" s="3"/>
      <c r="D85" s="3"/>
      <c r="E85" s="3"/>
      <c r="F85" s="3"/>
      <c r="G85" s="3"/>
      <c r="H85" s="8"/>
      <c r="I85" s="8"/>
      <c r="J85" s="3"/>
      <c r="K85" s="3"/>
      <c r="L85" s="3"/>
      <c r="M85" s="3"/>
    </row>
    <row r="86" ht="13.5" customHeight="1">
      <c r="A86" s="3"/>
      <c r="B86" s="3"/>
      <c r="C86" s="3"/>
      <c r="D86" s="3"/>
      <c r="E86" s="3"/>
      <c r="F86" s="3"/>
      <c r="G86" s="3"/>
      <c r="H86" s="8"/>
      <c r="I86" s="8"/>
      <c r="J86" s="3"/>
      <c r="K86" s="3"/>
      <c r="L86" s="3"/>
      <c r="M86" s="3"/>
    </row>
    <row r="87" ht="13.5" customHeight="1">
      <c r="A87" s="3"/>
      <c r="B87" s="3"/>
      <c r="C87" s="3"/>
      <c r="D87" s="3"/>
      <c r="E87" s="3"/>
      <c r="F87" s="3"/>
      <c r="G87" s="3"/>
      <c r="H87" s="8"/>
      <c r="I87" s="8"/>
      <c r="J87" s="3"/>
      <c r="K87" s="3"/>
      <c r="L87" s="3"/>
      <c r="M87" s="3"/>
    </row>
    <row r="88" ht="13.5" customHeight="1">
      <c r="A88" s="3"/>
      <c r="B88" s="3"/>
      <c r="C88" s="3"/>
      <c r="D88" s="3"/>
      <c r="E88" s="3"/>
      <c r="F88" s="3"/>
      <c r="G88" s="3"/>
      <c r="H88" s="8"/>
      <c r="I88" s="8"/>
      <c r="J88" s="3"/>
      <c r="K88" s="3"/>
      <c r="L88" s="3"/>
      <c r="M88" s="3"/>
    </row>
    <row r="89" ht="13.5" customHeight="1">
      <c r="A89" s="3"/>
      <c r="B89" s="3"/>
      <c r="C89" s="3"/>
      <c r="D89" s="3"/>
      <c r="E89" s="3"/>
      <c r="F89" s="3"/>
      <c r="G89" s="3"/>
      <c r="H89" s="8"/>
      <c r="I89" s="8"/>
      <c r="J89" s="3"/>
      <c r="K89" s="3"/>
      <c r="L89" s="3"/>
      <c r="M89" s="3"/>
    </row>
    <row r="90" ht="13.5" customHeight="1">
      <c r="A90" s="3"/>
      <c r="B90" s="3"/>
      <c r="C90" s="3"/>
      <c r="D90" s="3"/>
      <c r="E90" s="3"/>
      <c r="F90" s="3"/>
      <c r="G90" s="3"/>
      <c r="H90" s="8"/>
      <c r="I90" s="8"/>
      <c r="J90" s="3"/>
      <c r="K90" s="3"/>
      <c r="L90" s="3"/>
      <c r="M90" s="3"/>
    </row>
    <row r="91" ht="13.5" customHeight="1">
      <c r="A91" s="3"/>
      <c r="B91" s="3"/>
      <c r="C91" s="3"/>
      <c r="D91" s="3"/>
      <c r="E91" s="3"/>
      <c r="F91" s="3"/>
      <c r="G91" s="3"/>
      <c r="H91" s="8"/>
      <c r="I91" s="8"/>
      <c r="J91" s="3"/>
      <c r="K91" s="3"/>
      <c r="L91" s="3"/>
      <c r="M91" s="3"/>
    </row>
    <row r="92" ht="13.5" customHeight="1">
      <c r="A92" s="3"/>
      <c r="B92" s="3"/>
      <c r="C92" s="3"/>
      <c r="D92" s="3"/>
      <c r="E92" s="3"/>
      <c r="F92" s="3"/>
      <c r="G92" s="3"/>
      <c r="H92" s="8"/>
      <c r="I92" s="8"/>
      <c r="J92" s="3"/>
      <c r="K92" s="3"/>
      <c r="L92" s="3"/>
      <c r="M92" s="3"/>
    </row>
    <row r="93" ht="13.5" customHeight="1">
      <c r="A93" s="3"/>
      <c r="B93" s="3"/>
      <c r="C93" s="3"/>
      <c r="D93" s="3"/>
      <c r="E93" s="3"/>
      <c r="F93" s="3"/>
      <c r="G93" s="3"/>
      <c r="H93" s="8"/>
      <c r="I93" s="8"/>
      <c r="J93" s="3"/>
      <c r="K93" s="3"/>
      <c r="L93" s="3"/>
      <c r="M93" s="3"/>
    </row>
    <row r="94" ht="13.5" customHeight="1">
      <c r="A94" s="3"/>
      <c r="B94" s="3"/>
      <c r="C94" s="3"/>
      <c r="D94" s="3"/>
      <c r="E94" s="3"/>
      <c r="F94" s="3"/>
      <c r="G94" s="3"/>
      <c r="H94" s="8"/>
      <c r="I94" s="8"/>
      <c r="J94" s="3"/>
      <c r="K94" s="3"/>
      <c r="L94" s="3"/>
      <c r="M94" s="3"/>
    </row>
    <row r="95" ht="13.5" customHeight="1">
      <c r="A95" s="3"/>
      <c r="B95" s="3"/>
      <c r="C95" s="3"/>
      <c r="D95" s="3"/>
      <c r="E95" s="3"/>
      <c r="F95" s="3"/>
      <c r="G95" s="3"/>
      <c r="H95" s="8"/>
      <c r="I95" s="8"/>
      <c r="J95" s="3"/>
      <c r="K95" s="3"/>
      <c r="L95" s="3"/>
      <c r="M95" s="3"/>
    </row>
    <row r="96" ht="13.5" customHeight="1">
      <c r="A96" s="3"/>
      <c r="B96" s="3"/>
      <c r="C96" s="3"/>
      <c r="D96" s="3"/>
      <c r="E96" s="3"/>
      <c r="F96" s="3"/>
      <c r="G96" s="3"/>
      <c r="H96" s="8"/>
      <c r="I96" s="8"/>
      <c r="J96" s="3"/>
      <c r="K96" s="3"/>
      <c r="L96" s="3"/>
      <c r="M96" s="3"/>
    </row>
    <row r="97" ht="13.5" customHeight="1">
      <c r="A97" s="3"/>
      <c r="B97" s="3"/>
      <c r="C97" s="3"/>
      <c r="D97" s="3"/>
      <c r="E97" s="3"/>
      <c r="F97" s="3"/>
      <c r="G97" s="3"/>
      <c r="H97" s="8"/>
      <c r="I97" s="8"/>
      <c r="J97" s="3"/>
      <c r="K97" s="3"/>
      <c r="L97" s="3"/>
      <c r="M97" s="3"/>
    </row>
    <row r="98" ht="13.5" customHeight="1">
      <c r="A98" s="3"/>
      <c r="B98" s="3"/>
      <c r="C98" s="3"/>
      <c r="D98" s="3"/>
      <c r="E98" s="3"/>
      <c r="F98" s="3"/>
      <c r="G98" s="3"/>
      <c r="H98" s="8"/>
      <c r="I98" s="8"/>
      <c r="J98" s="3"/>
      <c r="K98" s="3"/>
      <c r="L98" s="3"/>
      <c r="M98" s="3"/>
    </row>
    <row r="99" ht="13.5" customHeight="1">
      <c r="A99" s="3"/>
      <c r="B99" s="3"/>
      <c r="C99" s="3"/>
      <c r="D99" s="3"/>
      <c r="E99" s="3"/>
      <c r="F99" s="3"/>
      <c r="G99" s="3"/>
      <c r="H99" s="8"/>
      <c r="I99" s="8"/>
      <c r="J99" s="3"/>
      <c r="K99" s="3"/>
      <c r="L99" s="3"/>
      <c r="M99" s="3"/>
    </row>
    <row r="100" ht="13.5" customHeight="1">
      <c r="A100" s="3"/>
      <c r="B100" s="3"/>
      <c r="C100" s="3"/>
      <c r="D100" s="3"/>
      <c r="E100" s="3"/>
      <c r="F100" s="3"/>
      <c r="G100" s="3"/>
      <c r="H100" s="8"/>
      <c r="I100" s="8"/>
      <c r="J100" s="3"/>
      <c r="K100" s="3"/>
      <c r="L100" s="3"/>
      <c r="M100" s="3"/>
    </row>
    <row r="101" ht="13.5" customHeight="1">
      <c r="A101" s="3"/>
      <c r="B101" s="3"/>
      <c r="C101" s="3"/>
      <c r="D101" s="3"/>
      <c r="E101" s="3"/>
      <c r="F101" s="3"/>
      <c r="G101" s="3"/>
      <c r="H101" s="8"/>
      <c r="I101" s="8"/>
      <c r="J101" s="3"/>
      <c r="K101" s="3"/>
      <c r="L101" s="3"/>
      <c r="M101" s="3"/>
    </row>
    <row r="102" ht="13.5" customHeight="1">
      <c r="A102" s="3"/>
      <c r="B102" s="3"/>
      <c r="C102" s="3"/>
      <c r="D102" s="3"/>
      <c r="E102" s="3"/>
      <c r="F102" s="3"/>
      <c r="G102" s="3"/>
      <c r="H102" s="8"/>
      <c r="I102" s="8"/>
      <c r="J102" s="3"/>
      <c r="K102" s="3"/>
      <c r="L102" s="3"/>
      <c r="M102" s="3"/>
    </row>
    <row r="103" ht="13.5" customHeight="1">
      <c r="A103" s="3"/>
      <c r="B103" s="3"/>
      <c r="C103" s="3"/>
      <c r="D103" s="3"/>
      <c r="E103" s="3"/>
      <c r="F103" s="3"/>
      <c r="G103" s="3"/>
      <c r="H103" s="8"/>
      <c r="I103" s="8"/>
      <c r="J103" s="3"/>
      <c r="K103" s="3"/>
      <c r="L103" s="3"/>
      <c r="M103" s="3"/>
    </row>
    <row r="104" ht="13.5" customHeight="1">
      <c r="A104" s="3"/>
      <c r="B104" s="3"/>
      <c r="C104" s="3"/>
      <c r="D104" s="3"/>
      <c r="E104" s="3"/>
      <c r="F104" s="3"/>
      <c r="G104" s="3"/>
      <c r="H104" s="8"/>
      <c r="I104" s="8"/>
      <c r="J104" s="3"/>
      <c r="K104" s="3"/>
      <c r="L104" s="3"/>
      <c r="M104" s="3"/>
    </row>
    <row r="105" ht="13.5" customHeight="1">
      <c r="A105" s="3"/>
      <c r="B105" s="3"/>
      <c r="C105" s="3"/>
      <c r="D105" s="3"/>
      <c r="E105" s="3"/>
      <c r="F105" s="3"/>
      <c r="G105" s="3"/>
      <c r="H105" s="8"/>
      <c r="I105" s="8"/>
      <c r="J105" s="3"/>
      <c r="K105" s="3"/>
      <c r="L105" s="3"/>
      <c r="M105" s="3"/>
    </row>
    <row r="106" ht="13.5" customHeight="1">
      <c r="A106" s="3"/>
      <c r="B106" s="3"/>
      <c r="C106" s="3"/>
      <c r="D106" s="3"/>
      <c r="E106" s="3"/>
      <c r="F106" s="3"/>
      <c r="G106" s="3"/>
      <c r="H106" s="8"/>
      <c r="I106" s="8"/>
      <c r="J106" s="3"/>
      <c r="K106" s="3"/>
      <c r="L106" s="3"/>
      <c r="M106" s="3"/>
    </row>
    <row r="107" ht="13.5" customHeight="1">
      <c r="A107" s="3"/>
      <c r="B107" s="3"/>
      <c r="C107" s="3"/>
      <c r="D107" s="3"/>
      <c r="E107" s="3"/>
      <c r="F107" s="3"/>
      <c r="G107" s="3"/>
      <c r="H107" s="8"/>
      <c r="I107" s="8"/>
      <c r="J107" s="3"/>
      <c r="K107" s="3"/>
      <c r="L107" s="3"/>
      <c r="M107" s="3"/>
    </row>
    <row r="108" ht="13.5" customHeight="1">
      <c r="A108" s="3"/>
      <c r="B108" s="3"/>
      <c r="C108" s="3"/>
      <c r="D108" s="3"/>
      <c r="E108" s="3"/>
      <c r="F108" s="3"/>
      <c r="G108" s="3"/>
      <c r="H108" s="8"/>
      <c r="I108" s="8"/>
      <c r="J108" s="3"/>
      <c r="K108" s="3"/>
      <c r="L108" s="3"/>
      <c r="M108" s="3"/>
    </row>
    <row r="109" ht="13.5" customHeight="1">
      <c r="A109" s="3"/>
      <c r="B109" s="3"/>
      <c r="C109" s="3"/>
      <c r="D109" s="3"/>
      <c r="E109" s="3"/>
      <c r="F109" s="3"/>
      <c r="G109" s="3"/>
      <c r="H109" s="8"/>
      <c r="I109" s="8"/>
      <c r="J109" s="3"/>
      <c r="K109" s="3"/>
      <c r="L109" s="3"/>
      <c r="M109" s="3"/>
    </row>
    <row r="110" ht="13.5" customHeight="1">
      <c r="A110" s="3"/>
      <c r="B110" s="3"/>
      <c r="C110" s="3"/>
      <c r="D110" s="3"/>
      <c r="E110" s="3"/>
      <c r="F110" s="3"/>
      <c r="G110" s="3"/>
      <c r="H110" s="8"/>
      <c r="I110" s="8"/>
      <c r="J110" s="3"/>
      <c r="K110" s="3"/>
      <c r="L110" s="3"/>
      <c r="M110" s="3"/>
    </row>
    <row r="111" ht="13.5" customHeight="1">
      <c r="A111" s="3"/>
      <c r="B111" s="3"/>
      <c r="C111" s="3"/>
      <c r="D111" s="3"/>
      <c r="E111" s="3"/>
      <c r="F111" s="3"/>
      <c r="G111" s="3"/>
      <c r="H111" s="8"/>
      <c r="I111" s="8"/>
      <c r="J111" s="3"/>
      <c r="K111" s="3"/>
      <c r="L111" s="3"/>
      <c r="M111" s="3"/>
    </row>
    <row r="112" ht="13.5" customHeight="1">
      <c r="A112" s="3"/>
      <c r="B112" s="3"/>
      <c r="C112" s="3"/>
      <c r="D112" s="3"/>
      <c r="E112" s="3"/>
      <c r="F112" s="3"/>
      <c r="G112" s="3"/>
      <c r="H112" s="8"/>
      <c r="I112" s="8"/>
      <c r="J112" s="3"/>
      <c r="K112" s="3"/>
      <c r="L112" s="3"/>
      <c r="M112" s="3"/>
    </row>
    <row r="113" ht="13.5" customHeight="1">
      <c r="A113" s="3"/>
      <c r="B113" s="3"/>
      <c r="C113" s="3"/>
      <c r="D113" s="3"/>
      <c r="E113" s="3"/>
      <c r="F113" s="3"/>
      <c r="G113" s="3"/>
      <c r="H113" s="8"/>
      <c r="I113" s="8"/>
      <c r="J113" s="3"/>
      <c r="K113" s="3"/>
      <c r="L113" s="3"/>
      <c r="M113" s="3"/>
    </row>
    <row r="114" ht="13.5" customHeight="1">
      <c r="A114" s="3"/>
      <c r="B114" s="3"/>
      <c r="C114" s="3"/>
      <c r="D114" s="3"/>
      <c r="E114" s="3"/>
      <c r="F114" s="3"/>
      <c r="G114" s="3"/>
      <c r="H114" s="8"/>
      <c r="I114" s="8"/>
      <c r="J114" s="3"/>
      <c r="K114" s="3"/>
      <c r="L114" s="3"/>
      <c r="M114" s="3"/>
    </row>
    <row r="115" ht="13.5" customHeight="1">
      <c r="A115" s="3"/>
      <c r="B115" s="3"/>
      <c r="C115" s="3"/>
      <c r="D115" s="3"/>
      <c r="E115" s="3"/>
      <c r="F115" s="3"/>
      <c r="G115" s="3"/>
      <c r="H115" s="8"/>
      <c r="I115" s="8"/>
      <c r="J115" s="3"/>
      <c r="K115" s="3"/>
      <c r="L115" s="3"/>
      <c r="M115" s="3"/>
    </row>
    <row r="116" ht="13.5" customHeight="1">
      <c r="A116" s="3"/>
      <c r="B116" s="3"/>
      <c r="C116" s="3"/>
      <c r="D116" s="3"/>
      <c r="E116" s="3"/>
      <c r="F116" s="3"/>
      <c r="G116" s="3"/>
      <c r="H116" s="8"/>
      <c r="I116" s="8"/>
      <c r="J116" s="3"/>
      <c r="K116" s="3"/>
      <c r="L116" s="3"/>
      <c r="M116" s="3"/>
    </row>
    <row r="117" ht="13.5" customHeight="1">
      <c r="A117" s="3"/>
      <c r="B117" s="3"/>
      <c r="C117" s="3"/>
      <c r="D117" s="3"/>
      <c r="E117" s="3"/>
      <c r="F117" s="3"/>
      <c r="G117" s="3"/>
      <c r="H117" s="8"/>
      <c r="I117" s="8"/>
      <c r="J117" s="3"/>
      <c r="K117" s="3"/>
      <c r="L117" s="3"/>
      <c r="M117" s="3"/>
    </row>
    <row r="118" ht="13.5" customHeight="1">
      <c r="A118" s="3"/>
      <c r="B118" s="3"/>
      <c r="C118" s="3"/>
      <c r="D118" s="3"/>
      <c r="E118" s="3"/>
      <c r="F118" s="3"/>
      <c r="G118" s="3"/>
      <c r="H118" s="8"/>
      <c r="I118" s="8"/>
      <c r="J118" s="3"/>
      <c r="K118" s="3"/>
      <c r="L118" s="3"/>
      <c r="M118" s="3"/>
    </row>
    <row r="119" ht="13.5" customHeight="1">
      <c r="A119" s="3"/>
      <c r="B119" s="3"/>
      <c r="C119" s="3"/>
      <c r="D119" s="3"/>
      <c r="E119" s="3"/>
      <c r="F119" s="3"/>
      <c r="G119" s="3"/>
      <c r="H119" s="8"/>
      <c r="I119" s="8"/>
      <c r="J119" s="3"/>
      <c r="K119" s="3"/>
      <c r="L119" s="3"/>
      <c r="M119" s="3"/>
    </row>
    <row r="120" ht="13.5" customHeight="1">
      <c r="A120" s="3"/>
      <c r="B120" s="3"/>
      <c r="C120" s="3"/>
      <c r="D120" s="3"/>
      <c r="E120" s="3"/>
      <c r="F120" s="3"/>
      <c r="G120" s="3"/>
      <c r="H120" s="8"/>
      <c r="I120" s="8"/>
      <c r="J120" s="3"/>
      <c r="K120" s="3"/>
      <c r="L120" s="3"/>
      <c r="M120" s="3"/>
    </row>
    <row r="121" ht="13.5" customHeight="1">
      <c r="A121" s="3"/>
      <c r="B121" s="3"/>
      <c r="C121" s="3"/>
      <c r="D121" s="3"/>
      <c r="E121" s="3"/>
      <c r="F121" s="3"/>
      <c r="G121" s="3"/>
      <c r="H121" s="8"/>
      <c r="I121" s="8"/>
      <c r="J121" s="3"/>
      <c r="K121" s="3"/>
      <c r="L121" s="3"/>
      <c r="M121" s="3"/>
    </row>
    <row r="122" ht="13.5" customHeight="1">
      <c r="A122" s="3"/>
      <c r="B122" s="3"/>
      <c r="C122" s="3"/>
      <c r="D122" s="3"/>
      <c r="E122" s="3"/>
      <c r="F122" s="3"/>
      <c r="G122" s="3"/>
      <c r="H122" s="8"/>
      <c r="I122" s="8"/>
      <c r="J122" s="3"/>
      <c r="K122" s="3"/>
      <c r="L122" s="3"/>
      <c r="M122" s="3"/>
    </row>
    <row r="123" ht="13.5" customHeight="1">
      <c r="A123" s="3"/>
      <c r="B123" s="3"/>
      <c r="C123" s="3"/>
      <c r="D123" s="3"/>
      <c r="E123" s="3"/>
      <c r="F123" s="3"/>
      <c r="G123" s="3"/>
      <c r="H123" s="8"/>
      <c r="I123" s="8"/>
      <c r="J123" s="3"/>
      <c r="K123" s="3"/>
      <c r="L123" s="3"/>
      <c r="M123" s="3"/>
    </row>
    <row r="124" ht="13.5" customHeight="1">
      <c r="A124" s="3"/>
      <c r="B124" s="3"/>
      <c r="C124" s="3"/>
      <c r="D124" s="3"/>
      <c r="E124" s="3"/>
      <c r="F124" s="3"/>
      <c r="G124" s="3"/>
      <c r="H124" s="8"/>
      <c r="I124" s="8"/>
      <c r="J124" s="3"/>
      <c r="K124" s="3"/>
      <c r="L124" s="3"/>
      <c r="M124" s="3"/>
    </row>
    <row r="125" ht="13.5" customHeight="1">
      <c r="A125" s="3"/>
      <c r="B125" s="3"/>
      <c r="C125" s="3"/>
      <c r="D125" s="3"/>
      <c r="E125" s="3"/>
      <c r="F125" s="3"/>
      <c r="G125" s="3"/>
      <c r="H125" s="8"/>
      <c r="I125" s="8"/>
      <c r="J125" s="3"/>
      <c r="K125" s="3"/>
      <c r="L125" s="3"/>
      <c r="M125" s="3"/>
    </row>
    <row r="126" ht="13.5" customHeight="1">
      <c r="A126" s="3"/>
      <c r="B126" s="3"/>
      <c r="C126" s="3"/>
      <c r="D126" s="3"/>
      <c r="E126" s="3"/>
      <c r="F126" s="3"/>
      <c r="G126" s="3"/>
      <c r="H126" s="8"/>
      <c r="I126" s="8"/>
      <c r="J126" s="3"/>
      <c r="K126" s="3"/>
      <c r="L126" s="3"/>
      <c r="M126" s="3"/>
    </row>
    <row r="127" ht="13.5" customHeight="1">
      <c r="A127" s="3"/>
      <c r="B127" s="3"/>
      <c r="C127" s="3"/>
      <c r="D127" s="3"/>
      <c r="E127" s="3"/>
      <c r="F127" s="3"/>
      <c r="G127" s="3"/>
      <c r="H127" s="8"/>
      <c r="I127" s="8"/>
      <c r="J127" s="3"/>
      <c r="K127" s="3"/>
      <c r="L127" s="3"/>
      <c r="M127" s="3"/>
    </row>
    <row r="128" ht="13.5" customHeight="1">
      <c r="A128" s="3"/>
      <c r="B128" s="3"/>
      <c r="C128" s="3"/>
      <c r="D128" s="3"/>
      <c r="E128" s="3"/>
      <c r="F128" s="3"/>
      <c r="G128" s="3"/>
      <c r="H128" s="8"/>
      <c r="I128" s="8"/>
      <c r="J128" s="3"/>
      <c r="K128" s="3"/>
      <c r="L128" s="3"/>
      <c r="M128" s="3"/>
    </row>
    <row r="129" ht="13.5" customHeight="1">
      <c r="A129" s="3"/>
      <c r="B129" s="3"/>
      <c r="C129" s="3"/>
      <c r="D129" s="3"/>
      <c r="E129" s="3"/>
      <c r="F129" s="3"/>
      <c r="G129" s="3"/>
      <c r="H129" s="8"/>
      <c r="I129" s="8"/>
      <c r="J129" s="3"/>
      <c r="K129" s="3"/>
      <c r="L129" s="3"/>
      <c r="M129" s="3"/>
    </row>
    <row r="130" ht="13.5" customHeight="1">
      <c r="A130" s="3"/>
      <c r="B130" s="3"/>
      <c r="C130" s="3"/>
      <c r="D130" s="3"/>
      <c r="E130" s="3"/>
      <c r="F130" s="3"/>
      <c r="G130" s="3"/>
      <c r="H130" s="8"/>
      <c r="I130" s="8"/>
      <c r="J130" s="3"/>
      <c r="K130" s="3"/>
      <c r="L130" s="3"/>
      <c r="M130" s="3"/>
    </row>
    <row r="131" ht="13.5" customHeight="1">
      <c r="A131" s="3"/>
      <c r="B131" s="3"/>
      <c r="C131" s="3"/>
      <c r="D131" s="3"/>
      <c r="E131" s="3"/>
      <c r="F131" s="3"/>
      <c r="G131" s="3"/>
      <c r="H131" s="8"/>
      <c r="I131" s="8"/>
      <c r="J131" s="3"/>
      <c r="K131" s="3"/>
      <c r="L131" s="3"/>
      <c r="M131" s="3"/>
    </row>
    <row r="132" ht="13.5" customHeight="1">
      <c r="A132" s="3"/>
      <c r="B132" s="3"/>
      <c r="C132" s="3"/>
      <c r="D132" s="3"/>
      <c r="E132" s="3"/>
      <c r="F132" s="3"/>
      <c r="G132" s="3"/>
      <c r="H132" s="8"/>
      <c r="I132" s="8"/>
      <c r="J132" s="3"/>
      <c r="K132" s="3"/>
      <c r="L132" s="3"/>
      <c r="M132" s="3"/>
    </row>
    <row r="133" ht="13.5" customHeight="1">
      <c r="A133" s="3"/>
      <c r="B133" s="3"/>
      <c r="C133" s="3"/>
      <c r="D133" s="3"/>
      <c r="E133" s="3"/>
      <c r="F133" s="3"/>
      <c r="G133" s="3"/>
      <c r="H133" s="8"/>
      <c r="I133" s="8"/>
      <c r="J133" s="3"/>
      <c r="K133" s="3"/>
      <c r="L133" s="3"/>
      <c r="M133" s="3"/>
    </row>
    <row r="134" ht="13.5" customHeight="1">
      <c r="A134" s="3"/>
      <c r="B134" s="3"/>
      <c r="C134" s="3"/>
      <c r="D134" s="3"/>
      <c r="E134" s="3"/>
      <c r="F134" s="3"/>
      <c r="G134" s="3"/>
      <c r="H134" s="8"/>
      <c r="I134" s="8"/>
      <c r="J134" s="3"/>
      <c r="K134" s="3"/>
      <c r="L134" s="3"/>
      <c r="M134" s="3"/>
    </row>
    <row r="135" ht="13.5" customHeight="1">
      <c r="A135" s="3"/>
      <c r="B135" s="3"/>
      <c r="C135" s="3"/>
      <c r="D135" s="3"/>
      <c r="E135" s="3"/>
      <c r="F135" s="3"/>
      <c r="G135" s="3"/>
      <c r="H135" s="8"/>
      <c r="I135" s="8"/>
      <c r="J135" s="3"/>
      <c r="K135" s="3"/>
      <c r="L135" s="3"/>
      <c r="M135" s="3"/>
    </row>
    <row r="136" ht="13.5" customHeight="1">
      <c r="A136" s="3"/>
      <c r="B136" s="3"/>
      <c r="C136" s="3"/>
      <c r="D136" s="3"/>
      <c r="E136" s="3"/>
      <c r="F136" s="3"/>
      <c r="G136" s="3"/>
      <c r="H136" s="8"/>
      <c r="I136" s="8"/>
      <c r="J136" s="3"/>
      <c r="K136" s="3"/>
      <c r="L136" s="3"/>
      <c r="M136" s="3"/>
    </row>
    <row r="137" ht="13.5" customHeight="1">
      <c r="A137" s="3"/>
      <c r="B137" s="3"/>
      <c r="C137" s="3"/>
      <c r="D137" s="3"/>
      <c r="E137" s="3"/>
      <c r="F137" s="3"/>
      <c r="G137" s="3"/>
      <c r="H137" s="8"/>
      <c r="I137" s="8"/>
      <c r="J137" s="3"/>
      <c r="K137" s="3"/>
      <c r="L137" s="3"/>
      <c r="M137" s="3"/>
    </row>
    <row r="138" ht="13.5" customHeight="1">
      <c r="A138" s="3"/>
      <c r="B138" s="3"/>
      <c r="C138" s="3"/>
      <c r="D138" s="3"/>
      <c r="E138" s="3"/>
      <c r="F138" s="3"/>
      <c r="G138" s="3"/>
      <c r="H138" s="8"/>
      <c r="I138" s="8"/>
      <c r="J138" s="3"/>
      <c r="K138" s="3"/>
      <c r="L138" s="3"/>
      <c r="M138" s="3"/>
    </row>
    <row r="139" ht="13.5" customHeight="1">
      <c r="A139" s="3"/>
      <c r="B139" s="3"/>
      <c r="C139" s="3"/>
      <c r="D139" s="3"/>
      <c r="E139" s="3"/>
      <c r="F139" s="3"/>
      <c r="G139" s="3"/>
      <c r="H139" s="8"/>
      <c r="I139" s="8"/>
      <c r="J139" s="3"/>
      <c r="K139" s="3"/>
      <c r="L139" s="3"/>
      <c r="M139" s="3"/>
    </row>
    <row r="140" ht="13.5" customHeight="1">
      <c r="A140" s="3"/>
      <c r="B140" s="3"/>
      <c r="C140" s="3"/>
      <c r="D140" s="3"/>
      <c r="E140" s="3"/>
      <c r="F140" s="3"/>
      <c r="G140" s="3"/>
      <c r="H140" s="8"/>
      <c r="I140" s="8"/>
      <c r="J140" s="3"/>
      <c r="K140" s="3"/>
      <c r="L140" s="3"/>
      <c r="M140" s="3"/>
    </row>
    <row r="141" ht="13.5" customHeight="1">
      <c r="A141" s="3"/>
      <c r="B141" s="3"/>
      <c r="C141" s="3"/>
      <c r="D141" s="3"/>
      <c r="E141" s="3"/>
      <c r="F141" s="3"/>
      <c r="G141" s="3"/>
      <c r="H141" s="8"/>
      <c r="I141" s="8"/>
      <c r="J141" s="3"/>
      <c r="K141" s="3"/>
      <c r="L141" s="3"/>
      <c r="M141" s="3"/>
    </row>
    <row r="142" ht="13.5" customHeight="1">
      <c r="A142" s="3"/>
      <c r="B142" s="3"/>
      <c r="C142" s="3"/>
      <c r="D142" s="3"/>
      <c r="E142" s="3"/>
      <c r="F142" s="3"/>
      <c r="G142" s="3"/>
      <c r="H142" s="8"/>
      <c r="I142" s="8"/>
      <c r="J142" s="3"/>
      <c r="K142" s="3"/>
      <c r="L142" s="3"/>
      <c r="M142" s="3"/>
    </row>
    <row r="143" ht="13.5" customHeight="1">
      <c r="A143" s="3"/>
      <c r="B143" s="3"/>
      <c r="C143" s="3"/>
      <c r="D143" s="3"/>
      <c r="E143" s="3"/>
      <c r="F143" s="3"/>
      <c r="G143" s="3"/>
      <c r="H143" s="8"/>
      <c r="I143" s="8"/>
      <c r="J143" s="3"/>
      <c r="K143" s="3"/>
      <c r="L143" s="3"/>
      <c r="M143" s="3"/>
    </row>
    <row r="144" ht="13.5" customHeight="1">
      <c r="A144" s="3"/>
      <c r="B144" s="3"/>
      <c r="C144" s="3"/>
      <c r="D144" s="3"/>
      <c r="E144" s="3"/>
      <c r="F144" s="3"/>
      <c r="G144" s="3"/>
      <c r="H144" s="8"/>
      <c r="I144" s="8"/>
      <c r="J144" s="3"/>
      <c r="K144" s="3"/>
      <c r="L144" s="3"/>
      <c r="M144" s="3"/>
    </row>
    <row r="145" ht="13.5" customHeight="1">
      <c r="A145" s="3"/>
      <c r="B145" s="3"/>
      <c r="C145" s="3"/>
      <c r="D145" s="3"/>
      <c r="E145" s="3"/>
      <c r="F145" s="3"/>
      <c r="G145" s="3"/>
      <c r="H145" s="8"/>
      <c r="I145" s="8"/>
      <c r="J145" s="3"/>
      <c r="K145" s="3"/>
      <c r="L145" s="3"/>
      <c r="M145" s="3"/>
    </row>
    <row r="146" ht="13.5" customHeight="1">
      <c r="A146" s="3"/>
      <c r="B146" s="3"/>
      <c r="C146" s="3"/>
      <c r="D146" s="3"/>
      <c r="E146" s="3"/>
      <c r="F146" s="3"/>
      <c r="G146" s="3"/>
      <c r="H146" s="8"/>
      <c r="I146" s="8"/>
      <c r="J146" s="3"/>
      <c r="K146" s="3"/>
      <c r="L146" s="3"/>
      <c r="M146" s="3"/>
    </row>
    <row r="147" ht="13.5" customHeight="1">
      <c r="A147" s="3"/>
      <c r="B147" s="3"/>
      <c r="C147" s="3"/>
      <c r="D147" s="3"/>
      <c r="E147" s="3"/>
      <c r="F147" s="3"/>
      <c r="G147" s="3"/>
      <c r="H147" s="8"/>
      <c r="I147" s="8"/>
      <c r="J147" s="3"/>
      <c r="K147" s="3"/>
      <c r="L147" s="3"/>
      <c r="M147" s="3"/>
    </row>
    <row r="148" ht="13.5" customHeight="1">
      <c r="A148" s="3"/>
      <c r="B148" s="3"/>
      <c r="C148" s="3"/>
      <c r="D148" s="3"/>
      <c r="E148" s="3"/>
      <c r="F148" s="3"/>
      <c r="G148" s="3"/>
      <c r="H148" s="8"/>
      <c r="I148" s="8"/>
      <c r="J148" s="3"/>
      <c r="K148" s="3"/>
      <c r="L148" s="3"/>
      <c r="M148" s="3"/>
    </row>
    <row r="149" ht="13.5" customHeight="1">
      <c r="A149" s="3"/>
      <c r="B149" s="3"/>
      <c r="C149" s="3"/>
      <c r="D149" s="3"/>
      <c r="E149" s="3"/>
      <c r="F149" s="3"/>
      <c r="G149" s="3"/>
      <c r="H149" s="8"/>
      <c r="I149" s="8"/>
      <c r="J149" s="3"/>
      <c r="K149" s="3"/>
      <c r="L149" s="3"/>
      <c r="M149" s="3"/>
    </row>
    <row r="150" ht="13.5" customHeight="1">
      <c r="A150" s="3"/>
      <c r="B150" s="3"/>
      <c r="C150" s="3"/>
      <c r="D150" s="3"/>
      <c r="E150" s="3"/>
      <c r="F150" s="3"/>
      <c r="G150" s="3"/>
      <c r="H150" s="8"/>
      <c r="I150" s="8"/>
      <c r="J150" s="3"/>
      <c r="K150" s="3"/>
      <c r="L150" s="3"/>
      <c r="M150" s="3"/>
    </row>
    <row r="151" ht="13.5" customHeight="1">
      <c r="A151" s="3"/>
      <c r="B151" s="3"/>
      <c r="C151" s="3"/>
      <c r="D151" s="3"/>
      <c r="E151" s="3"/>
      <c r="F151" s="3"/>
      <c r="G151" s="3"/>
      <c r="H151" s="8"/>
      <c r="I151" s="8"/>
      <c r="J151" s="3"/>
      <c r="K151" s="3"/>
      <c r="L151" s="3"/>
      <c r="M151" s="3"/>
    </row>
    <row r="152" ht="13.5" customHeight="1">
      <c r="A152" s="3"/>
      <c r="B152" s="3"/>
      <c r="C152" s="3"/>
      <c r="D152" s="3"/>
      <c r="E152" s="3"/>
      <c r="F152" s="3"/>
      <c r="G152" s="3"/>
      <c r="H152" s="8"/>
      <c r="I152" s="8"/>
      <c r="J152" s="3"/>
      <c r="K152" s="3"/>
      <c r="L152" s="3"/>
      <c r="M152" s="3"/>
    </row>
    <row r="153" ht="13.5" customHeight="1">
      <c r="A153" s="3"/>
      <c r="B153" s="3"/>
      <c r="C153" s="3"/>
      <c r="D153" s="3"/>
      <c r="E153" s="3"/>
      <c r="F153" s="3"/>
      <c r="G153" s="3"/>
      <c r="H153" s="8"/>
      <c r="I153" s="8"/>
      <c r="J153" s="3"/>
      <c r="K153" s="3"/>
      <c r="L153" s="3"/>
      <c r="M153" s="3"/>
    </row>
    <row r="154" ht="13.5" customHeight="1">
      <c r="A154" s="3"/>
      <c r="B154" s="3"/>
      <c r="C154" s="3"/>
      <c r="D154" s="3"/>
      <c r="E154" s="3"/>
      <c r="F154" s="3"/>
      <c r="G154" s="3"/>
      <c r="H154" s="8"/>
      <c r="I154" s="8"/>
      <c r="J154" s="3"/>
      <c r="K154" s="3"/>
      <c r="L154" s="3"/>
      <c r="M154" s="3"/>
    </row>
    <row r="155" ht="13.5" customHeight="1">
      <c r="A155" s="3"/>
      <c r="B155" s="3"/>
      <c r="C155" s="3"/>
      <c r="D155" s="3"/>
      <c r="E155" s="3"/>
      <c r="F155" s="3"/>
      <c r="G155" s="3"/>
      <c r="H155" s="8"/>
      <c r="I155" s="8"/>
      <c r="J155" s="3"/>
      <c r="K155" s="3"/>
      <c r="L155" s="3"/>
      <c r="M155" s="3"/>
    </row>
    <row r="156" ht="13.5" customHeight="1">
      <c r="A156" s="3"/>
      <c r="B156" s="3"/>
      <c r="C156" s="3"/>
      <c r="D156" s="3"/>
      <c r="E156" s="3"/>
      <c r="F156" s="3"/>
      <c r="G156" s="3"/>
      <c r="H156" s="8"/>
      <c r="I156" s="8"/>
      <c r="J156" s="3"/>
      <c r="K156" s="3"/>
      <c r="L156" s="3"/>
      <c r="M156" s="3"/>
    </row>
    <row r="157" ht="13.5" customHeight="1">
      <c r="A157" s="3"/>
      <c r="B157" s="3"/>
      <c r="C157" s="3"/>
      <c r="D157" s="3"/>
      <c r="E157" s="3"/>
      <c r="F157" s="3"/>
      <c r="G157" s="3"/>
      <c r="H157" s="8"/>
      <c r="I157" s="8"/>
      <c r="J157" s="3"/>
      <c r="K157" s="3"/>
      <c r="L157" s="3"/>
      <c r="M157" s="3"/>
    </row>
    <row r="158" ht="13.5" customHeight="1">
      <c r="A158" s="3"/>
      <c r="B158" s="3"/>
      <c r="C158" s="3"/>
      <c r="D158" s="3"/>
      <c r="E158" s="3"/>
      <c r="F158" s="3"/>
      <c r="G158" s="3"/>
      <c r="H158" s="8"/>
      <c r="I158" s="8"/>
      <c r="J158" s="3"/>
      <c r="K158" s="3"/>
      <c r="L158" s="3"/>
      <c r="M158" s="3"/>
    </row>
    <row r="159" ht="13.5" customHeight="1">
      <c r="A159" s="3"/>
      <c r="B159" s="3"/>
      <c r="C159" s="3"/>
      <c r="D159" s="3"/>
      <c r="E159" s="3"/>
      <c r="F159" s="3"/>
      <c r="G159" s="3"/>
      <c r="H159" s="8"/>
      <c r="I159" s="8"/>
      <c r="J159" s="3"/>
      <c r="K159" s="3"/>
      <c r="L159" s="3"/>
      <c r="M159" s="3"/>
    </row>
    <row r="160" ht="13.5" customHeight="1">
      <c r="A160" s="3"/>
      <c r="B160" s="3"/>
      <c r="C160" s="3"/>
      <c r="D160" s="3"/>
      <c r="E160" s="3"/>
      <c r="F160" s="3"/>
      <c r="G160" s="3"/>
      <c r="H160" s="8"/>
      <c r="I160" s="8"/>
      <c r="J160" s="3"/>
      <c r="K160" s="3"/>
      <c r="L160" s="3"/>
      <c r="M160" s="3"/>
    </row>
    <row r="161" ht="13.5" customHeight="1">
      <c r="A161" s="3"/>
      <c r="B161" s="3"/>
      <c r="C161" s="3"/>
      <c r="D161" s="3"/>
      <c r="E161" s="3"/>
      <c r="F161" s="3"/>
      <c r="G161" s="3"/>
      <c r="H161" s="8"/>
      <c r="I161" s="8"/>
      <c r="J161" s="3"/>
      <c r="K161" s="3"/>
      <c r="L161" s="3"/>
      <c r="M161" s="3"/>
    </row>
    <row r="162" ht="13.5" customHeight="1">
      <c r="A162" s="3"/>
      <c r="B162" s="3"/>
      <c r="C162" s="3"/>
      <c r="D162" s="3"/>
      <c r="E162" s="3"/>
      <c r="F162" s="3"/>
      <c r="G162" s="3"/>
      <c r="H162" s="8"/>
      <c r="I162" s="8"/>
      <c r="J162" s="3"/>
      <c r="K162" s="3"/>
      <c r="L162" s="3"/>
      <c r="M162" s="3"/>
    </row>
    <row r="163" ht="13.5" customHeight="1">
      <c r="A163" s="3"/>
      <c r="B163" s="3"/>
      <c r="C163" s="3"/>
      <c r="D163" s="3"/>
      <c r="E163" s="3"/>
      <c r="F163" s="3"/>
      <c r="G163" s="3"/>
      <c r="H163" s="8"/>
      <c r="I163" s="8"/>
      <c r="J163" s="3"/>
      <c r="K163" s="3"/>
      <c r="L163" s="3"/>
      <c r="M163" s="3"/>
    </row>
    <row r="164" ht="13.5" customHeight="1">
      <c r="A164" s="3"/>
      <c r="B164" s="3"/>
      <c r="C164" s="3"/>
      <c r="D164" s="3"/>
      <c r="E164" s="3"/>
      <c r="F164" s="3"/>
      <c r="G164" s="3"/>
      <c r="H164" s="8"/>
      <c r="I164" s="8"/>
      <c r="J164" s="3"/>
      <c r="K164" s="3"/>
      <c r="L164" s="3"/>
      <c r="M164" s="3"/>
    </row>
    <row r="165" ht="13.5" customHeight="1">
      <c r="A165" s="3"/>
      <c r="B165" s="3"/>
      <c r="C165" s="3"/>
      <c r="D165" s="3"/>
      <c r="E165" s="3"/>
      <c r="F165" s="3"/>
      <c r="G165" s="3"/>
      <c r="H165" s="8"/>
      <c r="I165" s="8"/>
      <c r="J165" s="3"/>
      <c r="K165" s="3"/>
      <c r="L165" s="3"/>
      <c r="M165" s="3"/>
    </row>
    <row r="166" ht="13.5" customHeight="1">
      <c r="A166" s="3"/>
      <c r="B166" s="3"/>
      <c r="C166" s="3"/>
      <c r="D166" s="3"/>
      <c r="E166" s="3"/>
      <c r="F166" s="3"/>
      <c r="G166" s="3"/>
      <c r="H166" s="8"/>
      <c r="I166" s="8"/>
      <c r="J166" s="3"/>
      <c r="K166" s="3"/>
      <c r="L166" s="3"/>
      <c r="M166" s="3"/>
    </row>
    <row r="167" ht="13.5" customHeight="1">
      <c r="A167" s="3"/>
      <c r="B167" s="3"/>
      <c r="C167" s="3"/>
      <c r="D167" s="3"/>
      <c r="E167" s="3"/>
      <c r="F167" s="3"/>
      <c r="G167" s="3"/>
      <c r="H167" s="8"/>
      <c r="I167" s="8"/>
      <c r="J167" s="3"/>
      <c r="K167" s="3"/>
      <c r="L167" s="3"/>
      <c r="M167" s="3"/>
    </row>
    <row r="168" ht="13.5" customHeight="1">
      <c r="A168" s="3"/>
      <c r="B168" s="3"/>
      <c r="C168" s="3"/>
      <c r="D168" s="3"/>
      <c r="E168" s="3"/>
      <c r="F168" s="3"/>
      <c r="G168" s="3"/>
      <c r="H168" s="8"/>
      <c r="I168" s="8"/>
      <c r="J168" s="3"/>
      <c r="K168" s="3"/>
      <c r="L168" s="3"/>
      <c r="M168" s="3"/>
    </row>
    <row r="169" ht="13.5" customHeight="1">
      <c r="A169" s="3"/>
      <c r="B169" s="3"/>
      <c r="C169" s="3"/>
      <c r="D169" s="3"/>
      <c r="E169" s="3"/>
      <c r="F169" s="3"/>
      <c r="G169" s="3"/>
      <c r="H169" s="8"/>
      <c r="I169" s="8"/>
      <c r="J169" s="3"/>
      <c r="K169" s="3"/>
      <c r="L169" s="3"/>
      <c r="M169" s="3"/>
    </row>
    <row r="170" ht="13.5" customHeight="1">
      <c r="A170" s="3"/>
      <c r="B170" s="3"/>
      <c r="C170" s="3"/>
      <c r="D170" s="3"/>
      <c r="E170" s="3"/>
      <c r="F170" s="3"/>
      <c r="G170" s="3"/>
      <c r="H170" s="8"/>
      <c r="I170" s="8"/>
      <c r="J170" s="3"/>
      <c r="K170" s="3"/>
      <c r="L170" s="3"/>
      <c r="M170" s="3"/>
    </row>
    <row r="171" ht="13.5" customHeight="1">
      <c r="A171" s="3"/>
      <c r="B171" s="3"/>
      <c r="C171" s="3"/>
      <c r="D171" s="3"/>
      <c r="E171" s="3"/>
      <c r="F171" s="3"/>
      <c r="G171" s="3"/>
      <c r="H171" s="8"/>
      <c r="I171" s="8"/>
      <c r="J171" s="3"/>
      <c r="K171" s="3"/>
      <c r="L171" s="3"/>
      <c r="M171" s="3"/>
    </row>
    <row r="172" ht="13.5" customHeight="1">
      <c r="A172" s="3"/>
      <c r="B172" s="3"/>
      <c r="C172" s="3"/>
      <c r="D172" s="3"/>
      <c r="E172" s="3"/>
      <c r="F172" s="3"/>
      <c r="G172" s="3"/>
      <c r="H172" s="8"/>
      <c r="I172" s="8"/>
      <c r="J172" s="3"/>
      <c r="K172" s="3"/>
      <c r="L172" s="3"/>
      <c r="M172" s="3"/>
    </row>
    <row r="173" ht="13.5" customHeight="1">
      <c r="A173" s="3"/>
      <c r="B173" s="3"/>
      <c r="C173" s="3"/>
      <c r="D173" s="3"/>
      <c r="E173" s="3"/>
      <c r="F173" s="3"/>
      <c r="G173" s="3"/>
      <c r="H173" s="8"/>
      <c r="I173" s="8"/>
      <c r="J173" s="3"/>
      <c r="K173" s="3"/>
      <c r="L173" s="3"/>
      <c r="M173" s="3"/>
    </row>
    <row r="174" ht="13.5" customHeight="1">
      <c r="A174" s="3"/>
      <c r="B174" s="3"/>
      <c r="C174" s="3"/>
      <c r="D174" s="3"/>
      <c r="E174" s="3"/>
      <c r="F174" s="3"/>
      <c r="G174" s="3"/>
      <c r="H174" s="8"/>
      <c r="I174" s="8"/>
      <c r="J174" s="3"/>
      <c r="K174" s="3"/>
      <c r="L174" s="3"/>
      <c r="M174" s="3"/>
    </row>
    <row r="175" ht="13.5" customHeight="1">
      <c r="A175" s="3"/>
      <c r="B175" s="3"/>
      <c r="C175" s="3"/>
      <c r="D175" s="3"/>
      <c r="E175" s="3"/>
      <c r="F175" s="3"/>
      <c r="G175" s="3"/>
      <c r="H175" s="8"/>
      <c r="I175" s="8"/>
      <c r="J175" s="3"/>
      <c r="K175" s="3"/>
      <c r="L175" s="3"/>
      <c r="M175" s="3"/>
    </row>
    <row r="176" ht="13.5" customHeight="1">
      <c r="A176" s="3"/>
      <c r="B176" s="3"/>
      <c r="C176" s="3"/>
      <c r="D176" s="3"/>
      <c r="E176" s="3"/>
      <c r="F176" s="3"/>
      <c r="G176" s="3"/>
      <c r="H176" s="8"/>
      <c r="I176" s="8"/>
      <c r="J176" s="3"/>
      <c r="K176" s="3"/>
      <c r="L176" s="3"/>
      <c r="M176" s="3"/>
    </row>
    <row r="177" ht="13.5" customHeight="1">
      <c r="A177" s="3"/>
      <c r="B177" s="3"/>
      <c r="C177" s="3"/>
      <c r="D177" s="3"/>
      <c r="E177" s="3"/>
      <c r="F177" s="3"/>
      <c r="G177" s="3"/>
      <c r="H177" s="8"/>
      <c r="I177" s="8"/>
      <c r="J177" s="3"/>
      <c r="K177" s="3"/>
      <c r="L177" s="3"/>
      <c r="M177" s="3"/>
    </row>
    <row r="178" ht="13.5" customHeight="1">
      <c r="A178" s="3"/>
      <c r="B178" s="3"/>
      <c r="C178" s="3"/>
      <c r="D178" s="3"/>
      <c r="E178" s="3"/>
      <c r="F178" s="3"/>
      <c r="G178" s="3"/>
      <c r="H178" s="8"/>
      <c r="I178" s="8"/>
      <c r="J178" s="3"/>
      <c r="K178" s="3"/>
      <c r="L178" s="3"/>
      <c r="M178" s="3"/>
    </row>
    <row r="179" ht="13.5" customHeight="1">
      <c r="A179" s="3"/>
      <c r="B179" s="3"/>
      <c r="C179" s="3"/>
      <c r="D179" s="3"/>
      <c r="E179" s="3"/>
      <c r="F179" s="3"/>
      <c r="G179" s="3"/>
      <c r="H179" s="8"/>
      <c r="I179" s="8"/>
      <c r="J179" s="3"/>
      <c r="K179" s="3"/>
      <c r="L179" s="3"/>
      <c r="M179" s="3"/>
    </row>
    <row r="180" ht="13.5" customHeight="1">
      <c r="A180" s="3"/>
      <c r="B180" s="3"/>
      <c r="C180" s="3"/>
      <c r="D180" s="3"/>
      <c r="E180" s="3"/>
      <c r="F180" s="3"/>
      <c r="G180" s="3"/>
      <c r="H180" s="8"/>
      <c r="I180" s="8"/>
      <c r="J180" s="3"/>
      <c r="K180" s="3"/>
      <c r="L180" s="3"/>
      <c r="M180" s="3"/>
    </row>
    <row r="181" ht="13.5" customHeight="1">
      <c r="A181" s="3"/>
      <c r="B181" s="3"/>
      <c r="C181" s="3"/>
      <c r="D181" s="3"/>
      <c r="E181" s="3"/>
      <c r="F181" s="3"/>
      <c r="G181" s="3"/>
      <c r="H181" s="8"/>
      <c r="I181" s="8"/>
      <c r="J181" s="3"/>
      <c r="K181" s="3"/>
      <c r="L181" s="3"/>
      <c r="M181" s="3"/>
    </row>
    <row r="182" ht="13.5" customHeight="1">
      <c r="A182" s="3"/>
      <c r="B182" s="3"/>
      <c r="C182" s="3"/>
      <c r="D182" s="3"/>
      <c r="E182" s="3"/>
      <c r="F182" s="3"/>
      <c r="G182" s="3"/>
      <c r="H182" s="8"/>
      <c r="I182" s="8"/>
      <c r="J182" s="3"/>
      <c r="K182" s="3"/>
      <c r="L182" s="3"/>
      <c r="M182" s="3"/>
    </row>
    <row r="183" ht="13.5" customHeight="1">
      <c r="A183" s="3"/>
      <c r="B183" s="3"/>
      <c r="C183" s="3"/>
      <c r="D183" s="3"/>
      <c r="E183" s="3"/>
      <c r="F183" s="3"/>
      <c r="G183" s="3"/>
      <c r="H183" s="8"/>
      <c r="I183" s="8"/>
      <c r="J183" s="3"/>
      <c r="K183" s="3"/>
      <c r="L183" s="3"/>
      <c r="M183" s="3"/>
    </row>
    <row r="184" ht="13.5" customHeight="1">
      <c r="A184" s="3"/>
      <c r="B184" s="3"/>
      <c r="C184" s="3"/>
      <c r="D184" s="3"/>
      <c r="E184" s="3"/>
      <c r="F184" s="3"/>
      <c r="G184" s="3"/>
      <c r="H184" s="8"/>
      <c r="I184" s="8"/>
      <c r="J184" s="3"/>
      <c r="K184" s="3"/>
      <c r="L184" s="3"/>
      <c r="M184" s="3"/>
    </row>
    <row r="185" ht="13.5" customHeight="1">
      <c r="A185" s="3"/>
      <c r="B185" s="3"/>
      <c r="C185" s="3"/>
      <c r="D185" s="3"/>
      <c r="E185" s="3"/>
      <c r="F185" s="3"/>
      <c r="G185" s="3"/>
      <c r="H185" s="8"/>
      <c r="I185" s="8"/>
      <c r="J185" s="3"/>
      <c r="K185" s="3"/>
      <c r="L185" s="3"/>
      <c r="M185" s="3"/>
    </row>
    <row r="186" ht="13.5" customHeight="1">
      <c r="A186" s="3"/>
      <c r="B186" s="3"/>
      <c r="C186" s="3"/>
      <c r="D186" s="3"/>
      <c r="E186" s="3"/>
      <c r="F186" s="3"/>
      <c r="G186" s="3"/>
      <c r="H186" s="8"/>
      <c r="I186" s="8"/>
      <c r="J186" s="3"/>
      <c r="K186" s="3"/>
      <c r="L186" s="3"/>
      <c r="M186" s="3"/>
    </row>
    <row r="187" ht="13.5" customHeight="1">
      <c r="A187" s="3"/>
      <c r="B187" s="3"/>
      <c r="C187" s="3"/>
      <c r="D187" s="3"/>
      <c r="E187" s="3"/>
      <c r="F187" s="3"/>
      <c r="G187" s="3"/>
      <c r="H187" s="8"/>
      <c r="I187" s="8"/>
      <c r="J187" s="3"/>
      <c r="K187" s="3"/>
      <c r="L187" s="3"/>
      <c r="M187" s="3"/>
    </row>
    <row r="188" ht="13.5" customHeight="1">
      <c r="A188" s="3"/>
      <c r="B188" s="3"/>
      <c r="C188" s="3"/>
      <c r="D188" s="3"/>
      <c r="E188" s="3"/>
      <c r="F188" s="3"/>
      <c r="G188" s="3"/>
      <c r="H188" s="8"/>
      <c r="I188" s="8"/>
      <c r="J188" s="3"/>
      <c r="K188" s="3"/>
      <c r="L188" s="3"/>
      <c r="M188" s="3"/>
    </row>
    <row r="189" ht="13.5" customHeight="1">
      <c r="A189" s="3"/>
      <c r="B189" s="3"/>
      <c r="C189" s="3"/>
      <c r="D189" s="3"/>
      <c r="E189" s="3"/>
      <c r="F189" s="3"/>
      <c r="G189" s="3"/>
      <c r="H189" s="8"/>
      <c r="I189" s="8"/>
      <c r="J189" s="3"/>
      <c r="K189" s="3"/>
      <c r="L189" s="3"/>
      <c r="M189" s="3"/>
    </row>
    <row r="190" ht="13.5" customHeight="1">
      <c r="A190" s="3"/>
      <c r="B190" s="3"/>
      <c r="C190" s="3"/>
      <c r="D190" s="3"/>
      <c r="E190" s="3"/>
      <c r="F190" s="3"/>
      <c r="G190" s="3"/>
      <c r="H190" s="8"/>
      <c r="I190" s="8"/>
      <c r="J190" s="3"/>
      <c r="K190" s="3"/>
      <c r="L190" s="3"/>
      <c r="M190" s="3"/>
    </row>
    <row r="191" ht="13.5" customHeight="1">
      <c r="A191" s="3"/>
      <c r="B191" s="3"/>
      <c r="C191" s="3"/>
      <c r="D191" s="3"/>
      <c r="E191" s="3"/>
      <c r="F191" s="3"/>
      <c r="G191" s="3"/>
      <c r="H191" s="8"/>
      <c r="I191" s="8"/>
      <c r="J191" s="3"/>
      <c r="K191" s="3"/>
      <c r="L191" s="3"/>
      <c r="M191" s="3"/>
    </row>
    <row r="192" ht="13.5" customHeight="1">
      <c r="A192" s="3"/>
      <c r="B192" s="3"/>
      <c r="C192" s="3"/>
      <c r="D192" s="3"/>
      <c r="E192" s="3"/>
      <c r="F192" s="3"/>
      <c r="G192" s="3"/>
      <c r="H192" s="8"/>
      <c r="I192" s="8"/>
      <c r="J192" s="3"/>
      <c r="K192" s="3"/>
      <c r="L192" s="3"/>
      <c r="M192" s="3"/>
    </row>
    <row r="193" ht="13.5" customHeight="1">
      <c r="A193" s="3"/>
      <c r="B193" s="3"/>
      <c r="C193" s="3"/>
      <c r="D193" s="3"/>
      <c r="E193" s="3"/>
      <c r="F193" s="3"/>
      <c r="G193" s="3"/>
      <c r="H193" s="8"/>
      <c r="I193" s="8"/>
      <c r="J193" s="3"/>
      <c r="K193" s="3"/>
      <c r="L193" s="3"/>
      <c r="M193" s="3"/>
    </row>
    <row r="194" ht="13.5" customHeight="1">
      <c r="A194" s="3"/>
      <c r="B194" s="3"/>
      <c r="C194" s="3"/>
      <c r="D194" s="3"/>
      <c r="E194" s="3"/>
      <c r="F194" s="3"/>
      <c r="G194" s="3"/>
      <c r="H194" s="8"/>
      <c r="I194" s="8"/>
      <c r="J194" s="3"/>
      <c r="K194" s="3"/>
      <c r="L194" s="3"/>
      <c r="M194" s="3"/>
    </row>
    <row r="195" ht="13.5" customHeight="1">
      <c r="A195" s="3"/>
      <c r="B195" s="3"/>
      <c r="C195" s="3"/>
      <c r="D195" s="3"/>
      <c r="E195" s="3"/>
      <c r="F195" s="3"/>
      <c r="G195" s="3"/>
      <c r="H195" s="8"/>
      <c r="I195" s="8"/>
      <c r="J195" s="3"/>
      <c r="K195" s="3"/>
      <c r="L195" s="3"/>
      <c r="M195" s="3"/>
    </row>
    <row r="196" ht="13.5" customHeight="1">
      <c r="A196" s="3"/>
      <c r="B196" s="3"/>
      <c r="C196" s="3"/>
      <c r="D196" s="3"/>
      <c r="E196" s="3"/>
      <c r="F196" s="3"/>
      <c r="G196" s="3"/>
      <c r="H196" s="8"/>
      <c r="I196" s="8"/>
      <c r="J196" s="3"/>
      <c r="K196" s="3"/>
      <c r="L196" s="3"/>
      <c r="M196" s="3"/>
    </row>
    <row r="197" ht="13.5" customHeight="1">
      <c r="A197" s="3"/>
      <c r="B197" s="3"/>
      <c r="C197" s="3"/>
      <c r="D197" s="3"/>
      <c r="E197" s="3"/>
      <c r="F197" s="3"/>
      <c r="G197" s="3"/>
      <c r="H197" s="8"/>
      <c r="I197" s="8"/>
      <c r="J197" s="3"/>
      <c r="K197" s="3"/>
      <c r="L197" s="3"/>
      <c r="M197" s="3"/>
    </row>
    <row r="198" ht="13.5" customHeight="1">
      <c r="A198" s="3"/>
      <c r="B198" s="3"/>
      <c r="C198" s="3"/>
      <c r="D198" s="3"/>
      <c r="E198" s="3"/>
      <c r="F198" s="3"/>
      <c r="G198" s="3"/>
      <c r="H198" s="8"/>
      <c r="I198" s="8"/>
      <c r="J198" s="3"/>
      <c r="K198" s="3"/>
      <c r="L198" s="3"/>
      <c r="M198" s="3"/>
    </row>
    <row r="199" ht="13.5" customHeight="1">
      <c r="A199" s="3"/>
      <c r="B199" s="3"/>
      <c r="C199" s="3"/>
      <c r="D199" s="3"/>
      <c r="E199" s="3"/>
      <c r="F199" s="3"/>
      <c r="G199" s="3"/>
      <c r="H199" s="8"/>
      <c r="I199" s="8"/>
      <c r="J199" s="3"/>
      <c r="K199" s="3"/>
      <c r="L199" s="3"/>
      <c r="M199" s="3"/>
    </row>
    <row r="200" ht="13.5" customHeight="1">
      <c r="A200" s="3"/>
      <c r="B200" s="3"/>
      <c r="C200" s="3"/>
      <c r="D200" s="3"/>
      <c r="E200" s="3"/>
      <c r="F200" s="3"/>
      <c r="G200" s="3"/>
      <c r="H200" s="8"/>
      <c r="I200" s="8"/>
      <c r="J200" s="3"/>
      <c r="K200" s="3"/>
      <c r="L200" s="3"/>
      <c r="M200" s="3"/>
    </row>
    <row r="201" ht="13.5" customHeight="1">
      <c r="A201" s="3"/>
      <c r="B201" s="3"/>
      <c r="C201" s="3"/>
      <c r="D201" s="3"/>
      <c r="E201" s="3"/>
      <c r="F201" s="3"/>
      <c r="G201" s="3"/>
      <c r="H201" s="8"/>
      <c r="I201" s="8"/>
      <c r="J201" s="3"/>
      <c r="K201" s="3"/>
      <c r="L201" s="3"/>
      <c r="M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L2:L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3.0"/>
    <col customWidth="1" min="3" max="3" width="12.0"/>
    <col customWidth="1" min="4" max="4" width="14.0"/>
    <col customWidth="1" min="5" max="5" width="16.0"/>
    <col customWidth="1" min="6" max="6" width="12.0"/>
    <col customWidth="1" min="7" max="7" width="16.0"/>
    <col customWidth="1" min="8" max="8" width="12.0"/>
    <col customWidth="1" min="9" max="9" width="15.0"/>
    <col customWidth="1" min="10" max="10" width="18.0"/>
    <col customWidth="1" min="11" max="12" width="12.0"/>
    <col customWidth="1" min="13" max="13" width="30.0"/>
    <col customWidth="1" min="14" max="26" width="8.63"/>
  </cols>
  <sheetData>
    <row r="1" ht="18.0" customHeight="1">
      <c r="A1" s="2" t="s">
        <v>1</v>
      </c>
      <c r="B1" s="2" t="s">
        <v>535</v>
      </c>
      <c r="C1" s="2" t="s">
        <v>30</v>
      </c>
      <c r="D1" s="2" t="s">
        <v>19</v>
      </c>
      <c r="E1" s="2" t="s">
        <v>536</v>
      </c>
      <c r="F1" s="2" t="s">
        <v>6</v>
      </c>
      <c r="G1" s="2" t="s">
        <v>539</v>
      </c>
      <c r="H1" s="2" t="s">
        <v>12</v>
      </c>
      <c r="I1" s="2" t="s">
        <v>546</v>
      </c>
      <c r="J1" s="2" t="s">
        <v>547</v>
      </c>
      <c r="K1" s="2" t="s">
        <v>15</v>
      </c>
      <c r="L1" s="2" t="s">
        <v>3</v>
      </c>
      <c r="M1" s="2" t="s">
        <v>17</v>
      </c>
    </row>
    <row r="2" ht="13.5" customHeight="1">
      <c r="A2" s="5">
        <v>1.0</v>
      </c>
      <c r="B2" s="3"/>
      <c r="C2" s="3"/>
      <c r="D2" s="3"/>
      <c r="E2" s="3"/>
      <c r="F2" s="3"/>
      <c r="G2" s="3"/>
      <c r="H2" s="8"/>
      <c r="I2" s="8"/>
      <c r="J2" s="3"/>
      <c r="K2" s="7" t="s">
        <v>542</v>
      </c>
      <c r="L2" s="3"/>
      <c r="M2" s="3"/>
    </row>
    <row r="3" ht="13.5" customHeight="1">
      <c r="A3" s="5">
        <v>2.0</v>
      </c>
      <c r="B3" s="3"/>
      <c r="C3" s="3"/>
      <c r="D3" s="3"/>
      <c r="E3" s="3"/>
      <c r="F3" s="3"/>
      <c r="G3" s="3"/>
      <c r="H3" s="8"/>
      <c r="I3" s="8"/>
      <c r="J3" s="3"/>
      <c r="K3" s="7" t="s">
        <v>542</v>
      </c>
      <c r="L3" s="3"/>
      <c r="M3" s="3"/>
    </row>
    <row r="4" ht="13.5" customHeight="1">
      <c r="A4" s="5">
        <v>3.0</v>
      </c>
      <c r="B4" s="3"/>
      <c r="C4" s="3"/>
      <c r="D4" s="3"/>
      <c r="E4" s="3"/>
      <c r="F4" s="3"/>
      <c r="G4" s="3"/>
      <c r="H4" s="8"/>
      <c r="I4" s="8"/>
      <c r="J4" s="3"/>
      <c r="K4" s="7" t="s">
        <v>542</v>
      </c>
      <c r="L4" s="3"/>
      <c r="M4" s="3"/>
    </row>
    <row r="5" ht="13.5" customHeight="1">
      <c r="A5" s="3"/>
      <c r="B5" s="3"/>
      <c r="C5" s="3"/>
      <c r="D5" s="3"/>
      <c r="E5" s="3"/>
      <c r="F5" s="3"/>
      <c r="G5" s="3"/>
      <c r="H5" s="8"/>
      <c r="I5" s="8"/>
      <c r="J5" s="3"/>
      <c r="K5" s="3"/>
      <c r="L5" s="3"/>
      <c r="M5" s="3"/>
    </row>
    <row r="6" ht="13.5" customHeight="1">
      <c r="A6" s="3"/>
      <c r="B6" s="3"/>
      <c r="C6" s="3"/>
      <c r="D6" s="3"/>
      <c r="E6" s="3"/>
      <c r="F6" s="3"/>
      <c r="G6" s="3"/>
      <c r="H6" s="8"/>
      <c r="I6" s="8"/>
      <c r="J6" s="3"/>
      <c r="K6" s="3"/>
      <c r="L6" s="3"/>
      <c r="M6" s="3"/>
    </row>
    <row r="7" ht="13.5" customHeight="1">
      <c r="A7" s="3"/>
      <c r="B7" s="3"/>
      <c r="C7" s="3"/>
      <c r="D7" s="3"/>
      <c r="E7" s="3"/>
      <c r="F7" s="3"/>
      <c r="G7" s="3"/>
      <c r="H7" s="8"/>
      <c r="I7" s="8"/>
      <c r="J7" s="3"/>
      <c r="K7" s="3"/>
      <c r="L7" s="3"/>
      <c r="M7" s="3"/>
    </row>
    <row r="8" ht="13.5" customHeight="1">
      <c r="A8" s="3"/>
      <c r="B8" s="3"/>
      <c r="C8" s="3"/>
      <c r="D8" s="3"/>
      <c r="E8" s="3"/>
      <c r="F8" s="3"/>
      <c r="G8" s="3"/>
      <c r="H8" s="8"/>
      <c r="I8" s="8"/>
      <c r="J8" s="3"/>
      <c r="K8" s="3"/>
      <c r="L8" s="3"/>
      <c r="M8" s="3"/>
    </row>
    <row r="9" ht="13.5" customHeight="1">
      <c r="A9" s="3"/>
      <c r="B9" s="3"/>
      <c r="C9" s="3"/>
      <c r="D9" s="3"/>
      <c r="E9" s="3"/>
      <c r="F9" s="3"/>
      <c r="G9" s="3"/>
      <c r="H9" s="8"/>
      <c r="I9" s="8"/>
      <c r="J9" s="3"/>
      <c r="K9" s="3"/>
      <c r="L9" s="3"/>
      <c r="M9" s="3"/>
    </row>
    <row r="10" ht="13.5" customHeight="1">
      <c r="A10" s="3"/>
      <c r="B10" s="3"/>
      <c r="C10" s="3"/>
      <c r="D10" s="3"/>
      <c r="E10" s="3"/>
      <c r="F10" s="3"/>
      <c r="G10" s="3"/>
      <c r="H10" s="8"/>
      <c r="I10" s="8"/>
      <c r="J10" s="3"/>
      <c r="K10" s="3"/>
      <c r="L10" s="3"/>
      <c r="M10" s="3"/>
    </row>
    <row r="11" ht="13.5" customHeight="1">
      <c r="A11" s="3"/>
      <c r="B11" s="3"/>
      <c r="C11" s="3"/>
      <c r="D11" s="3"/>
      <c r="E11" s="3"/>
      <c r="F11" s="3"/>
      <c r="G11" s="3"/>
      <c r="H11" s="8"/>
      <c r="I11" s="8"/>
      <c r="J11" s="3"/>
      <c r="K11" s="3"/>
      <c r="L11" s="3"/>
      <c r="M11" s="3"/>
    </row>
    <row r="12" ht="13.5" customHeight="1">
      <c r="A12" s="3"/>
      <c r="B12" s="3"/>
      <c r="C12" s="3"/>
      <c r="D12" s="3"/>
      <c r="E12" s="3"/>
      <c r="F12" s="3"/>
      <c r="G12" s="3"/>
      <c r="H12" s="8"/>
      <c r="I12" s="8"/>
      <c r="J12" s="3"/>
      <c r="K12" s="3"/>
      <c r="L12" s="3"/>
      <c r="M12" s="3"/>
    </row>
    <row r="13" ht="13.5" customHeight="1">
      <c r="A13" s="3"/>
      <c r="B13" s="3"/>
      <c r="C13" s="3"/>
      <c r="D13" s="3"/>
      <c r="E13" s="3"/>
      <c r="F13" s="3"/>
      <c r="G13" s="3"/>
      <c r="H13" s="8"/>
      <c r="I13" s="8"/>
      <c r="J13" s="3"/>
      <c r="K13" s="3"/>
      <c r="L13" s="3"/>
      <c r="M13" s="3"/>
    </row>
    <row r="14" ht="13.5" customHeight="1">
      <c r="A14" s="3"/>
      <c r="B14" s="3"/>
      <c r="C14" s="3"/>
      <c r="D14" s="3"/>
      <c r="E14" s="3"/>
      <c r="F14" s="3"/>
      <c r="G14" s="3"/>
      <c r="H14" s="8"/>
      <c r="I14" s="8"/>
      <c r="J14" s="3"/>
      <c r="K14" s="3"/>
      <c r="L14" s="3"/>
      <c r="M14" s="3"/>
    </row>
    <row r="15" ht="13.5" customHeight="1">
      <c r="A15" s="3"/>
      <c r="B15" s="3"/>
      <c r="C15" s="3"/>
      <c r="D15" s="3"/>
      <c r="E15" s="3"/>
      <c r="F15" s="3"/>
      <c r="G15" s="3"/>
      <c r="H15" s="8"/>
      <c r="I15" s="8"/>
      <c r="J15" s="3"/>
      <c r="K15" s="3"/>
      <c r="L15" s="3"/>
      <c r="M15" s="3"/>
    </row>
    <row r="16" ht="13.5" customHeight="1">
      <c r="A16" s="3"/>
      <c r="B16" s="3"/>
      <c r="C16" s="3"/>
      <c r="D16" s="3"/>
      <c r="E16" s="3"/>
      <c r="F16" s="3"/>
      <c r="G16" s="3"/>
      <c r="H16" s="8"/>
      <c r="I16" s="8"/>
      <c r="J16" s="3"/>
      <c r="K16" s="3"/>
      <c r="L16" s="3"/>
      <c r="M16" s="3"/>
    </row>
    <row r="17" ht="13.5" customHeight="1">
      <c r="A17" s="3"/>
      <c r="B17" s="3"/>
      <c r="C17" s="3"/>
      <c r="D17" s="3"/>
      <c r="E17" s="3"/>
      <c r="F17" s="3"/>
      <c r="G17" s="3"/>
      <c r="H17" s="8"/>
      <c r="I17" s="8"/>
      <c r="J17" s="3"/>
      <c r="K17" s="3"/>
      <c r="L17" s="3"/>
      <c r="M17" s="3"/>
    </row>
    <row r="18" ht="13.5" customHeight="1">
      <c r="A18" s="3"/>
      <c r="B18" s="3"/>
      <c r="C18" s="3"/>
      <c r="D18" s="3"/>
      <c r="E18" s="3"/>
      <c r="F18" s="3"/>
      <c r="G18" s="3"/>
      <c r="H18" s="8"/>
      <c r="I18" s="8"/>
      <c r="J18" s="3"/>
      <c r="K18" s="3"/>
      <c r="L18" s="3"/>
      <c r="M18" s="3"/>
    </row>
    <row r="19" ht="13.5" customHeight="1">
      <c r="A19" s="3"/>
      <c r="B19" s="3"/>
      <c r="C19" s="3"/>
      <c r="D19" s="3"/>
      <c r="E19" s="3"/>
      <c r="F19" s="3"/>
      <c r="G19" s="3"/>
      <c r="H19" s="8"/>
      <c r="I19" s="8"/>
      <c r="J19" s="3"/>
      <c r="K19" s="3"/>
      <c r="L19" s="3"/>
      <c r="M19" s="3"/>
    </row>
    <row r="20" ht="13.5" customHeight="1">
      <c r="A20" s="3"/>
      <c r="B20" s="3"/>
      <c r="C20" s="3"/>
      <c r="D20" s="3"/>
      <c r="E20" s="3"/>
      <c r="F20" s="3"/>
      <c r="G20" s="3"/>
      <c r="H20" s="8"/>
      <c r="I20" s="8"/>
      <c r="J20" s="3"/>
      <c r="K20" s="3"/>
      <c r="L20" s="3"/>
      <c r="M20" s="3"/>
    </row>
    <row r="21" ht="13.5" customHeight="1">
      <c r="A21" s="3"/>
      <c r="B21" s="3"/>
      <c r="C21" s="3"/>
      <c r="D21" s="3"/>
      <c r="E21" s="3"/>
      <c r="F21" s="3"/>
      <c r="G21" s="3"/>
      <c r="H21" s="8"/>
      <c r="I21" s="8"/>
      <c r="J21" s="3"/>
      <c r="K21" s="3"/>
      <c r="L21" s="3"/>
      <c r="M21" s="3"/>
    </row>
    <row r="22" ht="13.5" customHeight="1">
      <c r="A22" s="3"/>
      <c r="B22" s="3"/>
      <c r="C22" s="3"/>
      <c r="D22" s="3"/>
      <c r="E22" s="3"/>
      <c r="F22" s="3"/>
      <c r="G22" s="3"/>
      <c r="H22" s="8"/>
      <c r="I22" s="8"/>
      <c r="J22" s="3"/>
      <c r="K22" s="3"/>
      <c r="L22" s="3"/>
      <c r="M22" s="3"/>
    </row>
    <row r="23" ht="13.5" customHeight="1">
      <c r="A23" s="3"/>
      <c r="B23" s="3"/>
      <c r="C23" s="3"/>
      <c r="D23" s="3"/>
      <c r="E23" s="3"/>
      <c r="F23" s="3"/>
      <c r="G23" s="3"/>
      <c r="H23" s="8"/>
      <c r="I23" s="8"/>
      <c r="J23" s="3"/>
      <c r="K23" s="3"/>
      <c r="L23" s="3"/>
      <c r="M23" s="3"/>
    </row>
    <row r="24" ht="13.5" customHeight="1">
      <c r="A24" s="3"/>
      <c r="B24" s="3"/>
      <c r="C24" s="3"/>
      <c r="D24" s="3"/>
      <c r="E24" s="3"/>
      <c r="F24" s="3"/>
      <c r="G24" s="3"/>
      <c r="H24" s="8"/>
      <c r="I24" s="8"/>
      <c r="J24" s="3"/>
      <c r="K24" s="3"/>
      <c r="L24" s="3"/>
      <c r="M24" s="3"/>
    </row>
    <row r="25" ht="13.5" customHeight="1">
      <c r="A25" s="3"/>
      <c r="B25" s="3"/>
      <c r="C25" s="3"/>
      <c r="D25" s="3"/>
      <c r="E25" s="3"/>
      <c r="F25" s="3"/>
      <c r="G25" s="3"/>
      <c r="H25" s="8"/>
      <c r="I25" s="8"/>
      <c r="J25" s="3"/>
      <c r="K25" s="3"/>
      <c r="L25" s="3"/>
      <c r="M25" s="3"/>
    </row>
    <row r="26" ht="13.5" customHeight="1">
      <c r="A26" s="3"/>
      <c r="B26" s="3"/>
      <c r="C26" s="3"/>
      <c r="D26" s="3"/>
      <c r="E26" s="3"/>
      <c r="F26" s="3"/>
      <c r="G26" s="3"/>
      <c r="H26" s="8"/>
      <c r="I26" s="8"/>
      <c r="J26" s="3"/>
      <c r="K26" s="3"/>
      <c r="L26" s="3"/>
      <c r="M26" s="3"/>
    </row>
    <row r="27" ht="13.5" customHeight="1">
      <c r="A27" s="3"/>
      <c r="B27" s="3"/>
      <c r="C27" s="3"/>
      <c r="D27" s="3"/>
      <c r="E27" s="3"/>
      <c r="F27" s="3"/>
      <c r="G27" s="3"/>
      <c r="H27" s="8"/>
      <c r="I27" s="8"/>
      <c r="J27" s="3"/>
      <c r="K27" s="3"/>
      <c r="L27" s="3"/>
      <c r="M27" s="3"/>
    </row>
    <row r="28" ht="13.5" customHeight="1">
      <c r="A28" s="3"/>
      <c r="B28" s="3"/>
      <c r="C28" s="3"/>
      <c r="D28" s="3"/>
      <c r="E28" s="3"/>
      <c r="F28" s="3"/>
      <c r="G28" s="3"/>
      <c r="H28" s="8"/>
      <c r="I28" s="8"/>
      <c r="J28" s="3"/>
      <c r="K28" s="3"/>
      <c r="L28" s="3"/>
      <c r="M28" s="3"/>
    </row>
    <row r="29" ht="13.5" customHeight="1">
      <c r="A29" s="3"/>
      <c r="B29" s="3"/>
      <c r="C29" s="3"/>
      <c r="D29" s="3"/>
      <c r="E29" s="3"/>
      <c r="F29" s="3"/>
      <c r="G29" s="3"/>
      <c r="H29" s="8"/>
      <c r="I29" s="8"/>
      <c r="J29" s="3"/>
      <c r="K29" s="3"/>
      <c r="L29" s="3"/>
      <c r="M29" s="3"/>
    </row>
    <row r="30" ht="13.5" customHeight="1">
      <c r="A30" s="3"/>
      <c r="B30" s="3"/>
      <c r="C30" s="3"/>
      <c r="D30" s="3"/>
      <c r="E30" s="3"/>
      <c r="F30" s="3"/>
      <c r="G30" s="3"/>
      <c r="H30" s="8"/>
      <c r="I30" s="8"/>
      <c r="J30" s="3"/>
      <c r="K30" s="3"/>
      <c r="L30" s="3"/>
      <c r="M30" s="3"/>
    </row>
    <row r="31" ht="13.5" customHeight="1">
      <c r="A31" s="3"/>
      <c r="B31" s="3"/>
      <c r="C31" s="3"/>
      <c r="D31" s="3"/>
      <c r="E31" s="3"/>
      <c r="F31" s="3"/>
      <c r="G31" s="3"/>
      <c r="H31" s="8"/>
      <c r="I31" s="8"/>
      <c r="J31" s="3"/>
      <c r="K31" s="3"/>
      <c r="L31" s="3"/>
      <c r="M31" s="3"/>
    </row>
    <row r="32" ht="13.5" customHeight="1">
      <c r="A32" s="3"/>
      <c r="B32" s="3"/>
      <c r="C32" s="3"/>
      <c r="D32" s="3"/>
      <c r="E32" s="3"/>
      <c r="F32" s="3"/>
      <c r="G32" s="3"/>
      <c r="H32" s="8"/>
      <c r="I32" s="8"/>
      <c r="J32" s="3"/>
      <c r="K32" s="3"/>
      <c r="L32" s="3"/>
      <c r="M32" s="3"/>
    </row>
    <row r="33" ht="13.5" customHeight="1">
      <c r="A33" s="3"/>
      <c r="B33" s="3"/>
      <c r="C33" s="3"/>
      <c r="D33" s="3"/>
      <c r="E33" s="3"/>
      <c r="F33" s="3"/>
      <c r="G33" s="3"/>
      <c r="H33" s="8"/>
      <c r="I33" s="8"/>
      <c r="J33" s="3"/>
      <c r="K33" s="3"/>
      <c r="L33" s="3"/>
      <c r="M33" s="3"/>
    </row>
    <row r="34" ht="13.5" customHeight="1">
      <c r="A34" s="3"/>
      <c r="B34" s="3"/>
      <c r="C34" s="3"/>
      <c r="D34" s="3"/>
      <c r="E34" s="3"/>
      <c r="F34" s="3"/>
      <c r="G34" s="3"/>
      <c r="H34" s="8"/>
      <c r="I34" s="8"/>
      <c r="J34" s="3"/>
      <c r="K34" s="3"/>
      <c r="L34" s="3"/>
      <c r="M34" s="3"/>
    </row>
    <row r="35" ht="13.5" customHeight="1">
      <c r="A35" s="3"/>
      <c r="B35" s="3"/>
      <c r="C35" s="3"/>
      <c r="D35" s="3"/>
      <c r="E35" s="3"/>
      <c r="F35" s="3"/>
      <c r="G35" s="3"/>
      <c r="H35" s="8"/>
      <c r="I35" s="8"/>
      <c r="J35" s="3"/>
      <c r="K35" s="3"/>
      <c r="L35" s="3"/>
      <c r="M35" s="3"/>
    </row>
    <row r="36" ht="13.5" customHeight="1">
      <c r="A36" s="3"/>
      <c r="B36" s="3"/>
      <c r="C36" s="3"/>
      <c r="D36" s="3"/>
      <c r="E36" s="3"/>
      <c r="F36" s="3"/>
      <c r="G36" s="3"/>
      <c r="H36" s="8"/>
      <c r="I36" s="8"/>
      <c r="J36" s="3"/>
      <c r="K36" s="3"/>
      <c r="L36" s="3"/>
      <c r="M36" s="3"/>
    </row>
    <row r="37" ht="13.5" customHeight="1">
      <c r="A37" s="3"/>
      <c r="B37" s="3"/>
      <c r="C37" s="3"/>
      <c r="D37" s="3"/>
      <c r="E37" s="3"/>
      <c r="F37" s="3"/>
      <c r="G37" s="3"/>
      <c r="H37" s="8"/>
      <c r="I37" s="8"/>
      <c r="J37" s="3"/>
      <c r="K37" s="3"/>
      <c r="L37" s="3"/>
      <c r="M37" s="3"/>
    </row>
    <row r="38" ht="13.5" customHeight="1">
      <c r="A38" s="3"/>
      <c r="B38" s="3"/>
      <c r="C38" s="3"/>
      <c r="D38" s="3"/>
      <c r="E38" s="3"/>
      <c r="F38" s="3"/>
      <c r="G38" s="3"/>
      <c r="H38" s="8"/>
      <c r="I38" s="8"/>
      <c r="J38" s="3"/>
      <c r="K38" s="3"/>
      <c r="L38" s="3"/>
      <c r="M38" s="3"/>
    </row>
    <row r="39" ht="13.5" customHeight="1">
      <c r="A39" s="3"/>
      <c r="B39" s="3"/>
      <c r="C39" s="3"/>
      <c r="D39" s="3"/>
      <c r="E39" s="3"/>
      <c r="F39" s="3"/>
      <c r="G39" s="3"/>
      <c r="H39" s="8"/>
      <c r="I39" s="8"/>
      <c r="J39" s="3"/>
      <c r="K39" s="3"/>
      <c r="L39" s="3"/>
      <c r="M39" s="3"/>
    </row>
    <row r="40" ht="13.5" customHeight="1">
      <c r="A40" s="3"/>
      <c r="B40" s="3"/>
      <c r="C40" s="3"/>
      <c r="D40" s="3"/>
      <c r="E40" s="3"/>
      <c r="F40" s="3"/>
      <c r="G40" s="3"/>
      <c r="H40" s="8"/>
      <c r="I40" s="8"/>
      <c r="J40" s="3"/>
      <c r="K40" s="3"/>
      <c r="L40" s="3"/>
      <c r="M40" s="3"/>
    </row>
    <row r="41" ht="13.5" customHeight="1">
      <c r="A41" s="3"/>
      <c r="B41" s="3"/>
      <c r="C41" s="3"/>
      <c r="D41" s="3"/>
      <c r="E41" s="3"/>
      <c r="F41" s="3"/>
      <c r="G41" s="3"/>
      <c r="H41" s="8"/>
      <c r="I41" s="8"/>
      <c r="J41" s="3"/>
      <c r="K41" s="3"/>
      <c r="L41" s="3"/>
      <c r="M41" s="3"/>
    </row>
    <row r="42" ht="13.5" customHeight="1">
      <c r="A42" s="3"/>
      <c r="B42" s="3"/>
      <c r="C42" s="3"/>
      <c r="D42" s="3"/>
      <c r="E42" s="3"/>
      <c r="F42" s="3"/>
      <c r="G42" s="3"/>
      <c r="H42" s="8"/>
      <c r="I42" s="8"/>
      <c r="J42" s="3"/>
      <c r="K42" s="3"/>
      <c r="L42" s="3"/>
      <c r="M42" s="3"/>
    </row>
    <row r="43" ht="13.5" customHeight="1">
      <c r="A43" s="3"/>
      <c r="B43" s="3"/>
      <c r="C43" s="3"/>
      <c r="D43" s="3"/>
      <c r="E43" s="3"/>
      <c r="F43" s="3"/>
      <c r="G43" s="3"/>
      <c r="H43" s="8"/>
      <c r="I43" s="8"/>
      <c r="J43" s="3"/>
      <c r="K43" s="3"/>
      <c r="L43" s="3"/>
      <c r="M43" s="3"/>
    </row>
    <row r="44" ht="13.5" customHeight="1">
      <c r="A44" s="3"/>
      <c r="B44" s="3"/>
      <c r="C44" s="3"/>
      <c r="D44" s="3"/>
      <c r="E44" s="3"/>
      <c r="F44" s="3"/>
      <c r="G44" s="3"/>
      <c r="H44" s="8"/>
      <c r="I44" s="8"/>
      <c r="J44" s="3"/>
      <c r="K44" s="3"/>
      <c r="L44" s="3"/>
      <c r="M44" s="3"/>
    </row>
    <row r="45" ht="13.5" customHeight="1">
      <c r="A45" s="3"/>
      <c r="B45" s="3"/>
      <c r="C45" s="3"/>
      <c r="D45" s="3"/>
      <c r="E45" s="3"/>
      <c r="F45" s="3"/>
      <c r="G45" s="3"/>
      <c r="H45" s="8"/>
      <c r="I45" s="8"/>
      <c r="J45" s="3"/>
      <c r="K45" s="3"/>
      <c r="L45" s="3"/>
      <c r="M45" s="3"/>
    </row>
    <row r="46" ht="13.5" customHeight="1">
      <c r="A46" s="3"/>
      <c r="B46" s="3"/>
      <c r="C46" s="3"/>
      <c r="D46" s="3"/>
      <c r="E46" s="3"/>
      <c r="F46" s="3"/>
      <c r="G46" s="3"/>
      <c r="H46" s="8"/>
      <c r="I46" s="8"/>
      <c r="J46" s="3"/>
      <c r="K46" s="3"/>
      <c r="L46" s="3"/>
      <c r="M46" s="3"/>
    </row>
    <row r="47" ht="13.5" customHeight="1">
      <c r="A47" s="3"/>
      <c r="B47" s="3"/>
      <c r="C47" s="3"/>
      <c r="D47" s="3"/>
      <c r="E47" s="3"/>
      <c r="F47" s="3"/>
      <c r="G47" s="3"/>
      <c r="H47" s="8"/>
      <c r="I47" s="8"/>
      <c r="J47" s="3"/>
      <c r="K47" s="3"/>
      <c r="L47" s="3"/>
      <c r="M47" s="3"/>
    </row>
    <row r="48" ht="13.5" customHeight="1">
      <c r="A48" s="3"/>
      <c r="B48" s="3"/>
      <c r="C48" s="3"/>
      <c r="D48" s="3"/>
      <c r="E48" s="3"/>
      <c r="F48" s="3"/>
      <c r="G48" s="3"/>
      <c r="H48" s="8"/>
      <c r="I48" s="8"/>
      <c r="J48" s="3"/>
      <c r="K48" s="3"/>
      <c r="L48" s="3"/>
      <c r="M48" s="3"/>
    </row>
    <row r="49" ht="13.5" customHeight="1">
      <c r="A49" s="3"/>
      <c r="B49" s="3"/>
      <c r="C49" s="3"/>
      <c r="D49" s="3"/>
      <c r="E49" s="3"/>
      <c r="F49" s="3"/>
      <c r="G49" s="3"/>
      <c r="H49" s="8"/>
      <c r="I49" s="8"/>
      <c r="J49" s="3"/>
      <c r="K49" s="3"/>
      <c r="L49" s="3"/>
      <c r="M49" s="3"/>
    </row>
    <row r="50" ht="13.5" customHeight="1">
      <c r="A50" s="3"/>
      <c r="B50" s="3"/>
      <c r="C50" s="3"/>
      <c r="D50" s="3"/>
      <c r="E50" s="3"/>
      <c r="F50" s="3"/>
      <c r="G50" s="3"/>
      <c r="H50" s="8"/>
      <c r="I50" s="8"/>
      <c r="J50" s="3"/>
      <c r="K50" s="3"/>
      <c r="L50" s="3"/>
      <c r="M50" s="3"/>
    </row>
    <row r="51" ht="13.5" customHeight="1">
      <c r="A51" s="3"/>
      <c r="B51" s="3"/>
      <c r="C51" s="3"/>
      <c r="D51" s="3"/>
      <c r="E51" s="3"/>
      <c r="F51" s="3"/>
      <c r="G51" s="3"/>
      <c r="H51" s="8"/>
      <c r="I51" s="8"/>
      <c r="J51" s="3"/>
      <c r="K51" s="3"/>
      <c r="L51" s="3"/>
      <c r="M51" s="3"/>
    </row>
    <row r="52" ht="13.5" customHeight="1">
      <c r="A52" s="3"/>
      <c r="B52" s="3"/>
      <c r="C52" s="3"/>
      <c r="D52" s="3"/>
      <c r="E52" s="3"/>
      <c r="F52" s="3"/>
      <c r="G52" s="3"/>
      <c r="H52" s="8"/>
      <c r="I52" s="8"/>
      <c r="J52" s="3"/>
      <c r="K52" s="3"/>
      <c r="L52" s="3"/>
      <c r="M52" s="3"/>
    </row>
    <row r="53" ht="13.5" customHeight="1">
      <c r="A53" s="3"/>
      <c r="B53" s="3"/>
      <c r="C53" s="3"/>
      <c r="D53" s="3"/>
      <c r="E53" s="3"/>
      <c r="F53" s="3"/>
      <c r="G53" s="3"/>
      <c r="H53" s="8"/>
      <c r="I53" s="8"/>
      <c r="J53" s="3"/>
      <c r="K53" s="3"/>
      <c r="L53" s="3"/>
      <c r="M53" s="3"/>
    </row>
    <row r="54" ht="13.5" customHeight="1">
      <c r="A54" s="3"/>
      <c r="B54" s="3"/>
      <c r="C54" s="3"/>
      <c r="D54" s="3"/>
      <c r="E54" s="3"/>
      <c r="F54" s="3"/>
      <c r="G54" s="3"/>
      <c r="H54" s="8"/>
      <c r="I54" s="8"/>
      <c r="J54" s="3"/>
      <c r="K54" s="3"/>
      <c r="L54" s="3"/>
      <c r="M54" s="3"/>
    </row>
    <row r="55" ht="13.5" customHeight="1">
      <c r="A55" s="3"/>
      <c r="B55" s="3"/>
      <c r="C55" s="3"/>
      <c r="D55" s="3"/>
      <c r="E55" s="3"/>
      <c r="F55" s="3"/>
      <c r="G55" s="3"/>
      <c r="H55" s="8"/>
      <c r="I55" s="8"/>
      <c r="J55" s="3"/>
      <c r="K55" s="3"/>
      <c r="L55" s="3"/>
      <c r="M55" s="3"/>
    </row>
    <row r="56" ht="13.5" customHeight="1">
      <c r="A56" s="3"/>
      <c r="B56" s="3"/>
      <c r="C56" s="3"/>
      <c r="D56" s="3"/>
      <c r="E56" s="3"/>
      <c r="F56" s="3"/>
      <c r="G56" s="3"/>
      <c r="H56" s="8"/>
      <c r="I56" s="8"/>
      <c r="J56" s="3"/>
      <c r="K56" s="3"/>
      <c r="L56" s="3"/>
      <c r="M56" s="3"/>
    </row>
    <row r="57" ht="13.5" customHeight="1">
      <c r="A57" s="3"/>
      <c r="B57" s="3"/>
      <c r="C57" s="3"/>
      <c r="D57" s="3"/>
      <c r="E57" s="3"/>
      <c r="F57" s="3"/>
      <c r="G57" s="3"/>
      <c r="H57" s="8"/>
      <c r="I57" s="8"/>
      <c r="J57" s="3"/>
      <c r="K57" s="3"/>
      <c r="L57" s="3"/>
      <c r="M57" s="3"/>
    </row>
    <row r="58" ht="13.5" customHeight="1">
      <c r="A58" s="3"/>
      <c r="B58" s="3"/>
      <c r="C58" s="3"/>
      <c r="D58" s="3"/>
      <c r="E58" s="3"/>
      <c r="F58" s="3"/>
      <c r="G58" s="3"/>
      <c r="H58" s="8"/>
      <c r="I58" s="8"/>
      <c r="J58" s="3"/>
      <c r="K58" s="3"/>
      <c r="L58" s="3"/>
      <c r="M58" s="3"/>
    </row>
    <row r="59" ht="13.5" customHeight="1">
      <c r="A59" s="3"/>
      <c r="B59" s="3"/>
      <c r="C59" s="3"/>
      <c r="D59" s="3"/>
      <c r="E59" s="3"/>
      <c r="F59" s="3"/>
      <c r="G59" s="3"/>
      <c r="H59" s="8"/>
      <c r="I59" s="8"/>
      <c r="J59" s="3"/>
      <c r="K59" s="3"/>
      <c r="L59" s="3"/>
      <c r="M59" s="3"/>
    </row>
    <row r="60" ht="13.5" customHeight="1">
      <c r="A60" s="3"/>
      <c r="B60" s="3"/>
      <c r="C60" s="3"/>
      <c r="D60" s="3"/>
      <c r="E60" s="3"/>
      <c r="F60" s="3"/>
      <c r="G60" s="3"/>
      <c r="H60" s="8"/>
      <c r="I60" s="8"/>
      <c r="J60" s="3"/>
      <c r="K60" s="3"/>
      <c r="L60" s="3"/>
      <c r="M60" s="3"/>
    </row>
    <row r="61" ht="13.5" customHeight="1">
      <c r="A61" s="3"/>
      <c r="B61" s="3"/>
      <c r="C61" s="3"/>
      <c r="D61" s="3"/>
      <c r="E61" s="3"/>
      <c r="F61" s="3"/>
      <c r="G61" s="3"/>
      <c r="H61" s="8"/>
      <c r="I61" s="8"/>
      <c r="J61" s="3"/>
      <c r="K61" s="3"/>
      <c r="L61" s="3"/>
      <c r="M61" s="3"/>
    </row>
    <row r="62" ht="13.5" customHeight="1">
      <c r="A62" s="3"/>
      <c r="B62" s="3"/>
      <c r="C62" s="3"/>
      <c r="D62" s="3"/>
      <c r="E62" s="3"/>
      <c r="F62" s="3"/>
      <c r="G62" s="3"/>
      <c r="H62" s="8"/>
      <c r="I62" s="8"/>
      <c r="J62" s="3"/>
      <c r="K62" s="3"/>
      <c r="L62" s="3"/>
      <c r="M62" s="3"/>
    </row>
    <row r="63" ht="13.5" customHeight="1">
      <c r="A63" s="3"/>
      <c r="B63" s="3"/>
      <c r="C63" s="3"/>
      <c r="D63" s="3"/>
      <c r="E63" s="3"/>
      <c r="F63" s="3"/>
      <c r="G63" s="3"/>
      <c r="H63" s="8"/>
      <c r="I63" s="8"/>
      <c r="J63" s="3"/>
      <c r="K63" s="3"/>
      <c r="L63" s="3"/>
      <c r="M63" s="3"/>
    </row>
    <row r="64" ht="13.5" customHeight="1">
      <c r="A64" s="3"/>
      <c r="B64" s="3"/>
      <c r="C64" s="3"/>
      <c r="D64" s="3"/>
      <c r="E64" s="3"/>
      <c r="F64" s="3"/>
      <c r="G64" s="3"/>
      <c r="H64" s="8"/>
      <c r="I64" s="8"/>
      <c r="J64" s="3"/>
      <c r="K64" s="3"/>
      <c r="L64" s="3"/>
      <c r="M64" s="3"/>
    </row>
    <row r="65" ht="13.5" customHeight="1">
      <c r="A65" s="3"/>
      <c r="B65" s="3"/>
      <c r="C65" s="3"/>
      <c r="D65" s="3"/>
      <c r="E65" s="3"/>
      <c r="F65" s="3"/>
      <c r="G65" s="3"/>
      <c r="H65" s="8"/>
      <c r="I65" s="8"/>
      <c r="J65" s="3"/>
      <c r="K65" s="3"/>
      <c r="L65" s="3"/>
      <c r="M65" s="3"/>
    </row>
    <row r="66" ht="13.5" customHeight="1">
      <c r="A66" s="3"/>
      <c r="B66" s="3"/>
      <c r="C66" s="3"/>
      <c r="D66" s="3"/>
      <c r="E66" s="3"/>
      <c r="F66" s="3"/>
      <c r="G66" s="3"/>
      <c r="H66" s="8"/>
      <c r="I66" s="8"/>
      <c r="J66" s="3"/>
      <c r="K66" s="3"/>
      <c r="L66" s="3"/>
      <c r="M66" s="3"/>
    </row>
    <row r="67" ht="13.5" customHeight="1">
      <c r="A67" s="3"/>
      <c r="B67" s="3"/>
      <c r="C67" s="3"/>
      <c r="D67" s="3"/>
      <c r="E67" s="3"/>
      <c r="F67" s="3"/>
      <c r="G67" s="3"/>
      <c r="H67" s="8"/>
      <c r="I67" s="8"/>
      <c r="J67" s="3"/>
      <c r="K67" s="3"/>
      <c r="L67" s="3"/>
      <c r="M67" s="3"/>
    </row>
    <row r="68" ht="13.5" customHeight="1">
      <c r="A68" s="3"/>
      <c r="B68" s="3"/>
      <c r="C68" s="3"/>
      <c r="D68" s="3"/>
      <c r="E68" s="3"/>
      <c r="F68" s="3"/>
      <c r="G68" s="3"/>
      <c r="H68" s="8"/>
      <c r="I68" s="8"/>
      <c r="J68" s="3"/>
      <c r="K68" s="3"/>
      <c r="L68" s="3"/>
      <c r="M68" s="3"/>
    </row>
    <row r="69" ht="13.5" customHeight="1">
      <c r="A69" s="3"/>
      <c r="B69" s="3"/>
      <c r="C69" s="3"/>
      <c r="D69" s="3"/>
      <c r="E69" s="3"/>
      <c r="F69" s="3"/>
      <c r="G69" s="3"/>
      <c r="H69" s="8"/>
      <c r="I69" s="8"/>
      <c r="J69" s="3"/>
      <c r="K69" s="3"/>
      <c r="L69" s="3"/>
      <c r="M69" s="3"/>
    </row>
    <row r="70" ht="13.5" customHeight="1">
      <c r="A70" s="3"/>
      <c r="B70" s="3"/>
      <c r="C70" s="3"/>
      <c r="D70" s="3"/>
      <c r="E70" s="3"/>
      <c r="F70" s="3"/>
      <c r="G70" s="3"/>
      <c r="H70" s="8"/>
      <c r="I70" s="8"/>
      <c r="J70" s="3"/>
      <c r="K70" s="3"/>
      <c r="L70" s="3"/>
      <c r="M70" s="3"/>
    </row>
    <row r="71" ht="13.5" customHeight="1">
      <c r="A71" s="3"/>
      <c r="B71" s="3"/>
      <c r="C71" s="3"/>
      <c r="D71" s="3"/>
      <c r="E71" s="3"/>
      <c r="F71" s="3"/>
      <c r="G71" s="3"/>
      <c r="H71" s="8"/>
      <c r="I71" s="8"/>
      <c r="J71" s="3"/>
      <c r="K71" s="3"/>
      <c r="L71" s="3"/>
      <c r="M71" s="3"/>
    </row>
    <row r="72" ht="13.5" customHeight="1">
      <c r="A72" s="3"/>
      <c r="B72" s="3"/>
      <c r="C72" s="3"/>
      <c r="D72" s="3"/>
      <c r="E72" s="3"/>
      <c r="F72" s="3"/>
      <c r="G72" s="3"/>
      <c r="H72" s="8"/>
      <c r="I72" s="8"/>
      <c r="J72" s="3"/>
      <c r="K72" s="3"/>
      <c r="L72" s="3"/>
      <c r="M72" s="3"/>
    </row>
    <row r="73" ht="13.5" customHeight="1">
      <c r="A73" s="3"/>
      <c r="B73" s="3"/>
      <c r="C73" s="3"/>
      <c r="D73" s="3"/>
      <c r="E73" s="3"/>
      <c r="F73" s="3"/>
      <c r="G73" s="3"/>
      <c r="H73" s="8"/>
      <c r="I73" s="8"/>
      <c r="J73" s="3"/>
      <c r="K73" s="3"/>
      <c r="L73" s="3"/>
      <c r="M73" s="3"/>
    </row>
    <row r="74" ht="13.5" customHeight="1">
      <c r="A74" s="3"/>
      <c r="B74" s="3"/>
      <c r="C74" s="3"/>
      <c r="D74" s="3"/>
      <c r="E74" s="3"/>
      <c r="F74" s="3"/>
      <c r="G74" s="3"/>
      <c r="H74" s="8"/>
      <c r="I74" s="8"/>
      <c r="J74" s="3"/>
      <c r="K74" s="3"/>
      <c r="L74" s="3"/>
      <c r="M74" s="3"/>
    </row>
    <row r="75" ht="13.5" customHeight="1">
      <c r="A75" s="3"/>
      <c r="B75" s="3"/>
      <c r="C75" s="3"/>
      <c r="D75" s="3"/>
      <c r="E75" s="3"/>
      <c r="F75" s="3"/>
      <c r="G75" s="3"/>
      <c r="H75" s="8"/>
      <c r="I75" s="8"/>
      <c r="J75" s="3"/>
      <c r="K75" s="3"/>
      <c r="L75" s="3"/>
      <c r="M75" s="3"/>
    </row>
    <row r="76" ht="13.5" customHeight="1">
      <c r="A76" s="3"/>
      <c r="B76" s="3"/>
      <c r="C76" s="3"/>
      <c r="D76" s="3"/>
      <c r="E76" s="3"/>
      <c r="F76" s="3"/>
      <c r="G76" s="3"/>
      <c r="H76" s="8"/>
      <c r="I76" s="8"/>
      <c r="J76" s="3"/>
      <c r="K76" s="3"/>
      <c r="L76" s="3"/>
      <c r="M76" s="3"/>
    </row>
    <row r="77" ht="13.5" customHeight="1">
      <c r="A77" s="3"/>
      <c r="B77" s="3"/>
      <c r="C77" s="3"/>
      <c r="D77" s="3"/>
      <c r="E77" s="3"/>
      <c r="F77" s="3"/>
      <c r="G77" s="3"/>
      <c r="H77" s="8"/>
      <c r="I77" s="8"/>
      <c r="J77" s="3"/>
      <c r="K77" s="3"/>
      <c r="L77" s="3"/>
      <c r="M77" s="3"/>
    </row>
    <row r="78" ht="13.5" customHeight="1">
      <c r="A78" s="3"/>
      <c r="B78" s="3"/>
      <c r="C78" s="3"/>
      <c r="D78" s="3"/>
      <c r="E78" s="3"/>
      <c r="F78" s="3"/>
      <c r="G78" s="3"/>
      <c r="H78" s="8"/>
      <c r="I78" s="8"/>
      <c r="J78" s="3"/>
      <c r="K78" s="3"/>
      <c r="L78" s="3"/>
      <c r="M78" s="3"/>
    </row>
    <row r="79" ht="13.5" customHeight="1">
      <c r="A79" s="3"/>
      <c r="B79" s="3"/>
      <c r="C79" s="3"/>
      <c r="D79" s="3"/>
      <c r="E79" s="3"/>
      <c r="F79" s="3"/>
      <c r="G79" s="3"/>
      <c r="H79" s="8"/>
      <c r="I79" s="8"/>
      <c r="J79" s="3"/>
      <c r="K79" s="3"/>
      <c r="L79" s="3"/>
      <c r="M79" s="3"/>
    </row>
    <row r="80" ht="13.5" customHeight="1">
      <c r="A80" s="3"/>
      <c r="B80" s="3"/>
      <c r="C80" s="3"/>
      <c r="D80" s="3"/>
      <c r="E80" s="3"/>
      <c r="F80" s="3"/>
      <c r="G80" s="3"/>
      <c r="H80" s="8"/>
      <c r="I80" s="8"/>
      <c r="J80" s="3"/>
      <c r="K80" s="3"/>
      <c r="L80" s="3"/>
      <c r="M80" s="3"/>
    </row>
    <row r="81" ht="13.5" customHeight="1">
      <c r="A81" s="3"/>
      <c r="B81" s="3"/>
      <c r="C81" s="3"/>
      <c r="D81" s="3"/>
      <c r="E81" s="3"/>
      <c r="F81" s="3"/>
      <c r="G81" s="3"/>
      <c r="H81" s="8"/>
      <c r="I81" s="8"/>
      <c r="J81" s="3"/>
      <c r="K81" s="3"/>
      <c r="L81" s="3"/>
      <c r="M81" s="3"/>
    </row>
    <row r="82" ht="13.5" customHeight="1">
      <c r="A82" s="3"/>
      <c r="B82" s="3"/>
      <c r="C82" s="3"/>
      <c r="D82" s="3"/>
      <c r="E82" s="3"/>
      <c r="F82" s="3"/>
      <c r="G82" s="3"/>
      <c r="H82" s="8"/>
      <c r="I82" s="8"/>
      <c r="J82" s="3"/>
      <c r="K82" s="3"/>
      <c r="L82" s="3"/>
      <c r="M82" s="3"/>
    </row>
    <row r="83" ht="13.5" customHeight="1">
      <c r="A83" s="3"/>
      <c r="B83" s="3"/>
      <c r="C83" s="3"/>
      <c r="D83" s="3"/>
      <c r="E83" s="3"/>
      <c r="F83" s="3"/>
      <c r="G83" s="3"/>
      <c r="H83" s="8"/>
      <c r="I83" s="8"/>
      <c r="J83" s="3"/>
      <c r="K83" s="3"/>
      <c r="L83" s="3"/>
      <c r="M83" s="3"/>
    </row>
    <row r="84" ht="13.5" customHeight="1">
      <c r="A84" s="3"/>
      <c r="B84" s="3"/>
      <c r="C84" s="3"/>
      <c r="D84" s="3"/>
      <c r="E84" s="3"/>
      <c r="F84" s="3"/>
      <c r="G84" s="3"/>
      <c r="H84" s="8"/>
      <c r="I84" s="8"/>
      <c r="J84" s="3"/>
      <c r="K84" s="3"/>
      <c r="L84" s="3"/>
      <c r="M84" s="3"/>
    </row>
    <row r="85" ht="13.5" customHeight="1">
      <c r="A85" s="3"/>
      <c r="B85" s="3"/>
      <c r="C85" s="3"/>
      <c r="D85" s="3"/>
      <c r="E85" s="3"/>
      <c r="F85" s="3"/>
      <c r="G85" s="3"/>
      <c r="H85" s="8"/>
      <c r="I85" s="8"/>
      <c r="J85" s="3"/>
      <c r="K85" s="3"/>
      <c r="L85" s="3"/>
      <c r="M85" s="3"/>
    </row>
    <row r="86" ht="13.5" customHeight="1">
      <c r="A86" s="3"/>
      <c r="B86" s="3"/>
      <c r="C86" s="3"/>
      <c r="D86" s="3"/>
      <c r="E86" s="3"/>
      <c r="F86" s="3"/>
      <c r="G86" s="3"/>
      <c r="H86" s="8"/>
      <c r="I86" s="8"/>
      <c r="J86" s="3"/>
      <c r="K86" s="3"/>
      <c r="L86" s="3"/>
      <c r="M86" s="3"/>
    </row>
    <row r="87" ht="13.5" customHeight="1">
      <c r="A87" s="3"/>
      <c r="B87" s="3"/>
      <c r="C87" s="3"/>
      <c r="D87" s="3"/>
      <c r="E87" s="3"/>
      <c r="F87" s="3"/>
      <c r="G87" s="3"/>
      <c r="H87" s="8"/>
      <c r="I87" s="8"/>
      <c r="J87" s="3"/>
      <c r="K87" s="3"/>
      <c r="L87" s="3"/>
      <c r="M87" s="3"/>
    </row>
    <row r="88" ht="13.5" customHeight="1">
      <c r="A88" s="3"/>
      <c r="B88" s="3"/>
      <c r="C88" s="3"/>
      <c r="D88" s="3"/>
      <c r="E88" s="3"/>
      <c r="F88" s="3"/>
      <c r="G88" s="3"/>
      <c r="H88" s="8"/>
      <c r="I88" s="8"/>
      <c r="J88" s="3"/>
      <c r="K88" s="3"/>
      <c r="L88" s="3"/>
      <c r="M88" s="3"/>
    </row>
    <row r="89" ht="13.5" customHeight="1">
      <c r="A89" s="3"/>
      <c r="B89" s="3"/>
      <c r="C89" s="3"/>
      <c r="D89" s="3"/>
      <c r="E89" s="3"/>
      <c r="F89" s="3"/>
      <c r="G89" s="3"/>
      <c r="H89" s="8"/>
      <c r="I89" s="8"/>
      <c r="J89" s="3"/>
      <c r="K89" s="3"/>
      <c r="L89" s="3"/>
      <c r="M89" s="3"/>
    </row>
    <row r="90" ht="13.5" customHeight="1">
      <c r="A90" s="3"/>
      <c r="B90" s="3"/>
      <c r="C90" s="3"/>
      <c r="D90" s="3"/>
      <c r="E90" s="3"/>
      <c r="F90" s="3"/>
      <c r="G90" s="3"/>
      <c r="H90" s="8"/>
      <c r="I90" s="8"/>
      <c r="J90" s="3"/>
      <c r="K90" s="3"/>
      <c r="L90" s="3"/>
      <c r="M90" s="3"/>
    </row>
    <row r="91" ht="13.5" customHeight="1">
      <c r="A91" s="3"/>
      <c r="B91" s="3"/>
      <c r="C91" s="3"/>
      <c r="D91" s="3"/>
      <c r="E91" s="3"/>
      <c r="F91" s="3"/>
      <c r="G91" s="3"/>
      <c r="H91" s="8"/>
      <c r="I91" s="8"/>
      <c r="J91" s="3"/>
      <c r="K91" s="3"/>
      <c r="L91" s="3"/>
      <c r="M91" s="3"/>
    </row>
    <row r="92" ht="13.5" customHeight="1">
      <c r="A92" s="3"/>
      <c r="B92" s="3"/>
      <c r="C92" s="3"/>
      <c r="D92" s="3"/>
      <c r="E92" s="3"/>
      <c r="F92" s="3"/>
      <c r="G92" s="3"/>
      <c r="H92" s="8"/>
      <c r="I92" s="8"/>
      <c r="J92" s="3"/>
      <c r="K92" s="3"/>
      <c r="L92" s="3"/>
      <c r="M92" s="3"/>
    </row>
    <row r="93" ht="13.5" customHeight="1">
      <c r="A93" s="3"/>
      <c r="B93" s="3"/>
      <c r="C93" s="3"/>
      <c r="D93" s="3"/>
      <c r="E93" s="3"/>
      <c r="F93" s="3"/>
      <c r="G93" s="3"/>
      <c r="H93" s="8"/>
      <c r="I93" s="8"/>
      <c r="J93" s="3"/>
      <c r="K93" s="3"/>
      <c r="L93" s="3"/>
      <c r="M93" s="3"/>
    </row>
    <row r="94" ht="13.5" customHeight="1">
      <c r="A94" s="3"/>
      <c r="B94" s="3"/>
      <c r="C94" s="3"/>
      <c r="D94" s="3"/>
      <c r="E94" s="3"/>
      <c r="F94" s="3"/>
      <c r="G94" s="3"/>
      <c r="H94" s="8"/>
      <c r="I94" s="8"/>
      <c r="J94" s="3"/>
      <c r="K94" s="3"/>
      <c r="L94" s="3"/>
      <c r="M94" s="3"/>
    </row>
    <row r="95" ht="13.5" customHeight="1">
      <c r="A95" s="3"/>
      <c r="B95" s="3"/>
      <c r="C95" s="3"/>
      <c r="D95" s="3"/>
      <c r="E95" s="3"/>
      <c r="F95" s="3"/>
      <c r="G95" s="3"/>
      <c r="H95" s="8"/>
      <c r="I95" s="8"/>
      <c r="J95" s="3"/>
      <c r="K95" s="3"/>
      <c r="L95" s="3"/>
      <c r="M95" s="3"/>
    </row>
    <row r="96" ht="13.5" customHeight="1">
      <c r="A96" s="3"/>
      <c r="B96" s="3"/>
      <c r="C96" s="3"/>
      <c r="D96" s="3"/>
      <c r="E96" s="3"/>
      <c r="F96" s="3"/>
      <c r="G96" s="3"/>
      <c r="H96" s="8"/>
      <c r="I96" s="8"/>
      <c r="J96" s="3"/>
      <c r="K96" s="3"/>
      <c r="L96" s="3"/>
      <c r="M96" s="3"/>
    </row>
    <row r="97" ht="13.5" customHeight="1">
      <c r="A97" s="3"/>
      <c r="B97" s="3"/>
      <c r="C97" s="3"/>
      <c r="D97" s="3"/>
      <c r="E97" s="3"/>
      <c r="F97" s="3"/>
      <c r="G97" s="3"/>
      <c r="H97" s="8"/>
      <c r="I97" s="8"/>
      <c r="J97" s="3"/>
      <c r="K97" s="3"/>
      <c r="L97" s="3"/>
      <c r="M97" s="3"/>
    </row>
    <row r="98" ht="13.5" customHeight="1">
      <c r="A98" s="3"/>
      <c r="B98" s="3"/>
      <c r="C98" s="3"/>
      <c r="D98" s="3"/>
      <c r="E98" s="3"/>
      <c r="F98" s="3"/>
      <c r="G98" s="3"/>
      <c r="H98" s="8"/>
      <c r="I98" s="8"/>
      <c r="J98" s="3"/>
      <c r="K98" s="3"/>
      <c r="L98" s="3"/>
      <c r="M98" s="3"/>
    </row>
    <row r="99" ht="13.5" customHeight="1">
      <c r="A99" s="3"/>
      <c r="B99" s="3"/>
      <c r="C99" s="3"/>
      <c r="D99" s="3"/>
      <c r="E99" s="3"/>
      <c r="F99" s="3"/>
      <c r="G99" s="3"/>
      <c r="H99" s="8"/>
      <c r="I99" s="8"/>
      <c r="J99" s="3"/>
      <c r="K99" s="3"/>
      <c r="L99" s="3"/>
      <c r="M99" s="3"/>
    </row>
    <row r="100" ht="13.5" customHeight="1">
      <c r="A100" s="3"/>
      <c r="B100" s="3"/>
      <c r="C100" s="3"/>
      <c r="D100" s="3"/>
      <c r="E100" s="3"/>
      <c r="F100" s="3"/>
      <c r="G100" s="3"/>
      <c r="H100" s="8"/>
      <c r="I100" s="8"/>
      <c r="J100" s="3"/>
      <c r="K100" s="3"/>
      <c r="L100" s="3"/>
      <c r="M100" s="3"/>
    </row>
    <row r="101" ht="13.5" customHeight="1">
      <c r="A101" s="3"/>
      <c r="B101" s="3"/>
      <c r="C101" s="3"/>
      <c r="D101" s="3"/>
      <c r="E101" s="3"/>
      <c r="F101" s="3"/>
      <c r="G101" s="3"/>
      <c r="H101" s="8"/>
      <c r="I101" s="8"/>
      <c r="J101" s="3"/>
      <c r="K101" s="3"/>
      <c r="L101" s="3"/>
      <c r="M101" s="3"/>
    </row>
    <row r="102" ht="13.5" customHeight="1">
      <c r="A102" s="3"/>
      <c r="B102" s="3"/>
      <c r="C102" s="3"/>
      <c r="D102" s="3"/>
      <c r="E102" s="3"/>
      <c r="F102" s="3"/>
      <c r="G102" s="3"/>
      <c r="H102" s="8"/>
      <c r="I102" s="8"/>
      <c r="J102" s="3"/>
      <c r="K102" s="3"/>
      <c r="L102" s="3"/>
      <c r="M102" s="3"/>
    </row>
    <row r="103" ht="13.5" customHeight="1">
      <c r="A103" s="3"/>
      <c r="B103" s="3"/>
      <c r="C103" s="3"/>
      <c r="D103" s="3"/>
      <c r="E103" s="3"/>
      <c r="F103" s="3"/>
      <c r="G103" s="3"/>
      <c r="H103" s="8"/>
      <c r="I103" s="8"/>
      <c r="J103" s="3"/>
      <c r="K103" s="3"/>
      <c r="L103" s="3"/>
      <c r="M103" s="3"/>
    </row>
    <row r="104" ht="13.5" customHeight="1">
      <c r="A104" s="3"/>
      <c r="B104" s="3"/>
      <c r="C104" s="3"/>
      <c r="D104" s="3"/>
      <c r="E104" s="3"/>
      <c r="F104" s="3"/>
      <c r="G104" s="3"/>
      <c r="H104" s="8"/>
      <c r="I104" s="8"/>
      <c r="J104" s="3"/>
      <c r="K104" s="3"/>
      <c r="L104" s="3"/>
      <c r="M104" s="3"/>
    </row>
    <row r="105" ht="13.5" customHeight="1">
      <c r="A105" s="3"/>
      <c r="B105" s="3"/>
      <c r="C105" s="3"/>
      <c r="D105" s="3"/>
      <c r="E105" s="3"/>
      <c r="F105" s="3"/>
      <c r="G105" s="3"/>
      <c r="H105" s="8"/>
      <c r="I105" s="8"/>
      <c r="J105" s="3"/>
      <c r="K105" s="3"/>
      <c r="L105" s="3"/>
      <c r="M105" s="3"/>
    </row>
    <row r="106" ht="13.5" customHeight="1">
      <c r="A106" s="3"/>
      <c r="B106" s="3"/>
      <c r="C106" s="3"/>
      <c r="D106" s="3"/>
      <c r="E106" s="3"/>
      <c r="F106" s="3"/>
      <c r="G106" s="3"/>
      <c r="H106" s="8"/>
      <c r="I106" s="8"/>
      <c r="J106" s="3"/>
      <c r="K106" s="3"/>
      <c r="L106" s="3"/>
      <c r="M106" s="3"/>
    </row>
    <row r="107" ht="13.5" customHeight="1">
      <c r="A107" s="3"/>
      <c r="B107" s="3"/>
      <c r="C107" s="3"/>
      <c r="D107" s="3"/>
      <c r="E107" s="3"/>
      <c r="F107" s="3"/>
      <c r="G107" s="3"/>
      <c r="H107" s="8"/>
      <c r="I107" s="8"/>
      <c r="J107" s="3"/>
      <c r="K107" s="3"/>
      <c r="L107" s="3"/>
      <c r="M107" s="3"/>
    </row>
    <row r="108" ht="13.5" customHeight="1">
      <c r="A108" s="3"/>
      <c r="B108" s="3"/>
      <c r="C108" s="3"/>
      <c r="D108" s="3"/>
      <c r="E108" s="3"/>
      <c r="F108" s="3"/>
      <c r="G108" s="3"/>
      <c r="H108" s="8"/>
      <c r="I108" s="8"/>
      <c r="J108" s="3"/>
      <c r="K108" s="3"/>
      <c r="L108" s="3"/>
      <c r="M108" s="3"/>
    </row>
    <row r="109" ht="13.5" customHeight="1">
      <c r="A109" s="3"/>
      <c r="B109" s="3"/>
      <c r="C109" s="3"/>
      <c r="D109" s="3"/>
      <c r="E109" s="3"/>
      <c r="F109" s="3"/>
      <c r="G109" s="3"/>
      <c r="H109" s="8"/>
      <c r="I109" s="8"/>
      <c r="J109" s="3"/>
      <c r="K109" s="3"/>
      <c r="L109" s="3"/>
      <c r="M109" s="3"/>
    </row>
    <row r="110" ht="13.5" customHeight="1">
      <c r="A110" s="3"/>
      <c r="B110" s="3"/>
      <c r="C110" s="3"/>
      <c r="D110" s="3"/>
      <c r="E110" s="3"/>
      <c r="F110" s="3"/>
      <c r="G110" s="3"/>
      <c r="H110" s="8"/>
      <c r="I110" s="8"/>
      <c r="J110" s="3"/>
      <c r="K110" s="3"/>
      <c r="L110" s="3"/>
      <c r="M110" s="3"/>
    </row>
    <row r="111" ht="13.5" customHeight="1">
      <c r="A111" s="3"/>
      <c r="B111" s="3"/>
      <c r="C111" s="3"/>
      <c r="D111" s="3"/>
      <c r="E111" s="3"/>
      <c r="F111" s="3"/>
      <c r="G111" s="3"/>
      <c r="H111" s="8"/>
      <c r="I111" s="8"/>
      <c r="J111" s="3"/>
      <c r="K111" s="3"/>
      <c r="L111" s="3"/>
      <c r="M111" s="3"/>
    </row>
    <row r="112" ht="13.5" customHeight="1">
      <c r="A112" s="3"/>
      <c r="B112" s="3"/>
      <c r="C112" s="3"/>
      <c r="D112" s="3"/>
      <c r="E112" s="3"/>
      <c r="F112" s="3"/>
      <c r="G112" s="3"/>
      <c r="H112" s="8"/>
      <c r="I112" s="8"/>
      <c r="J112" s="3"/>
      <c r="K112" s="3"/>
      <c r="L112" s="3"/>
      <c r="M112" s="3"/>
    </row>
    <row r="113" ht="13.5" customHeight="1">
      <c r="A113" s="3"/>
      <c r="B113" s="3"/>
      <c r="C113" s="3"/>
      <c r="D113" s="3"/>
      <c r="E113" s="3"/>
      <c r="F113" s="3"/>
      <c r="G113" s="3"/>
      <c r="H113" s="8"/>
      <c r="I113" s="8"/>
      <c r="J113" s="3"/>
      <c r="K113" s="3"/>
      <c r="L113" s="3"/>
      <c r="M113" s="3"/>
    </row>
    <row r="114" ht="13.5" customHeight="1">
      <c r="A114" s="3"/>
      <c r="B114" s="3"/>
      <c r="C114" s="3"/>
      <c r="D114" s="3"/>
      <c r="E114" s="3"/>
      <c r="F114" s="3"/>
      <c r="G114" s="3"/>
      <c r="H114" s="8"/>
      <c r="I114" s="8"/>
      <c r="J114" s="3"/>
      <c r="K114" s="3"/>
      <c r="L114" s="3"/>
      <c r="M114" s="3"/>
    </row>
    <row r="115" ht="13.5" customHeight="1">
      <c r="A115" s="3"/>
      <c r="B115" s="3"/>
      <c r="C115" s="3"/>
      <c r="D115" s="3"/>
      <c r="E115" s="3"/>
      <c r="F115" s="3"/>
      <c r="G115" s="3"/>
      <c r="H115" s="8"/>
      <c r="I115" s="8"/>
      <c r="J115" s="3"/>
      <c r="K115" s="3"/>
      <c r="L115" s="3"/>
      <c r="M115" s="3"/>
    </row>
    <row r="116" ht="13.5" customHeight="1">
      <c r="A116" s="3"/>
      <c r="B116" s="3"/>
      <c r="C116" s="3"/>
      <c r="D116" s="3"/>
      <c r="E116" s="3"/>
      <c r="F116" s="3"/>
      <c r="G116" s="3"/>
      <c r="H116" s="8"/>
      <c r="I116" s="8"/>
      <c r="J116" s="3"/>
      <c r="K116" s="3"/>
      <c r="L116" s="3"/>
      <c r="M116" s="3"/>
    </row>
    <row r="117" ht="13.5" customHeight="1">
      <c r="A117" s="3"/>
      <c r="B117" s="3"/>
      <c r="C117" s="3"/>
      <c r="D117" s="3"/>
      <c r="E117" s="3"/>
      <c r="F117" s="3"/>
      <c r="G117" s="3"/>
      <c r="H117" s="8"/>
      <c r="I117" s="8"/>
      <c r="J117" s="3"/>
      <c r="K117" s="3"/>
      <c r="L117" s="3"/>
      <c r="M117" s="3"/>
    </row>
    <row r="118" ht="13.5" customHeight="1">
      <c r="A118" s="3"/>
      <c r="B118" s="3"/>
      <c r="C118" s="3"/>
      <c r="D118" s="3"/>
      <c r="E118" s="3"/>
      <c r="F118" s="3"/>
      <c r="G118" s="3"/>
      <c r="H118" s="8"/>
      <c r="I118" s="8"/>
      <c r="J118" s="3"/>
      <c r="K118" s="3"/>
      <c r="L118" s="3"/>
      <c r="M118" s="3"/>
    </row>
    <row r="119" ht="13.5" customHeight="1">
      <c r="A119" s="3"/>
      <c r="B119" s="3"/>
      <c r="C119" s="3"/>
      <c r="D119" s="3"/>
      <c r="E119" s="3"/>
      <c r="F119" s="3"/>
      <c r="G119" s="3"/>
      <c r="H119" s="8"/>
      <c r="I119" s="8"/>
      <c r="J119" s="3"/>
      <c r="K119" s="3"/>
      <c r="L119" s="3"/>
      <c r="M119" s="3"/>
    </row>
    <row r="120" ht="13.5" customHeight="1">
      <c r="A120" s="3"/>
      <c r="B120" s="3"/>
      <c r="C120" s="3"/>
      <c r="D120" s="3"/>
      <c r="E120" s="3"/>
      <c r="F120" s="3"/>
      <c r="G120" s="3"/>
      <c r="H120" s="8"/>
      <c r="I120" s="8"/>
      <c r="J120" s="3"/>
      <c r="K120" s="3"/>
      <c r="L120" s="3"/>
      <c r="M120" s="3"/>
    </row>
    <row r="121" ht="13.5" customHeight="1">
      <c r="A121" s="3"/>
      <c r="B121" s="3"/>
      <c r="C121" s="3"/>
      <c r="D121" s="3"/>
      <c r="E121" s="3"/>
      <c r="F121" s="3"/>
      <c r="G121" s="3"/>
      <c r="H121" s="8"/>
      <c r="I121" s="8"/>
      <c r="J121" s="3"/>
      <c r="K121" s="3"/>
      <c r="L121" s="3"/>
      <c r="M121" s="3"/>
    </row>
    <row r="122" ht="13.5" customHeight="1">
      <c r="A122" s="3"/>
      <c r="B122" s="3"/>
      <c r="C122" s="3"/>
      <c r="D122" s="3"/>
      <c r="E122" s="3"/>
      <c r="F122" s="3"/>
      <c r="G122" s="3"/>
      <c r="H122" s="8"/>
      <c r="I122" s="8"/>
      <c r="J122" s="3"/>
      <c r="K122" s="3"/>
      <c r="L122" s="3"/>
      <c r="M122" s="3"/>
    </row>
    <row r="123" ht="13.5" customHeight="1">
      <c r="A123" s="3"/>
      <c r="B123" s="3"/>
      <c r="C123" s="3"/>
      <c r="D123" s="3"/>
      <c r="E123" s="3"/>
      <c r="F123" s="3"/>
      <c r="G123" s="3"/>
      <c r="H123" s="8"/>
      <c r="I123" s="8"/>
      <c r="J123" s="3"/>
      <c r="K123" s="3"/>
      <c r="L123" s="3"/>
      <c r="M123" s="3"/>
    </row>
    <row r="124" ht="13.5" customHeight="1">
      <c r="A124" s="3"/>
      <c r="B124" s="3"/>
      <c r="C124" s="3"/>
      <c r="D124" s="3"/>
      <c r="E124" s="3"/>
      <c r="F124" s="3"/>
      <c r="G124" s="3"/>
      <c r="H124" s="8"/>
      <c r="I124" s="8"/>
      <c r="J124" s="3"/>
      <c r="K124" s="3"/>
      <c r="L124" s="3"/>
      <c r="M124" s="3"/>
    </row>
    <row r="125" ht="13.5" customHeight="1">
      <c r="A125" s="3"/>
      <c r="B125" s="3"/>
      <c r="C125" s="3"/>
      <c r="D125" s="3"/>
      <c r="E125" s="3"/>
      <c r="F125" s="3"/>
      <c r="G125" s="3"/>
      <c r="H125" s="8"/>
      <c r="I125" s="8"/>
      <c r="J125" s="3"/>
      <c r="K125" s="3"/>
      <c r="L125" s="3"/>
      <c r="M125" s="3"/>
    </row>
    <row r="126" ht="13.5" customHeight="1">
      <c r="A126" s="3"/>
      <c r="B126" s="3"/>
      <c r="C126" s="3"/>
      <c r="D126" s="3"/>
      <c r="E126" s="3"/>
      <c r="F126" s="3"/>
      <c r="G126" s="3"/>
      <c r="H126" s="8"/>
      <c r="I126" s="8"/>
      <c r="J126" s="3"/>
      <c r="K126" s="3"/>
      <c r="L126" s="3"/>
      <c r="M126" s="3"/>
    </row>
    <row r="127" ht="13.5" customHeight="1">
      <c r="A127" s="3"/>
      <c r="B127" s="3"/>
      <c r="C127" s="3"/>
      <c r="D127" s="3"/>
      <c r="E127" s="3"/>
      <c r="F127" s="3"/>
      <c r="G127" s="3"/>
      <c r="H127" s="8"/>
      <c r="I127" s="8"/>
      <c r="J127" s="3"/>
      <c r="K127" s="3"/>
      <c r="L127" s="3"/>
      <c r="M127" s="3"/>
    </row>
    <row r="128" ht="13.5" customHeight="1">
      <c r="A128" s="3"/>
      <c r="B128" s="3"/>
      <c r="C128" s="3"/>
      <c r="D128" s="3"/>
      <c r="E128" s="3"/>
      <c r="F128" s="3"/>
      <c r="G128" s="3"/>
      <c r="H128" s="8"/>
      <c r="I128" s="8"/>
      <c r="J128" s="3"/>
      <c r="K128" s="3"/>
      <c r="L128" s="3"/>
      <c r="M128" s="3"/>
    </row>
    <row r="129" ht="13.5" customHeight="1">
      <c r="A129" s="3"/>
      <c r="B129" s="3"/>
      <c r="C129" s="3"/>
      <c r="D129" s="3"/>
      <c r="E129" s="3"/>
      <c r="F129" s="3"/>
      <c r="G129" s="3"/>
      <c r="H129" s="8"/>
      <c r="I129" s="8"/>
      <c r="J129" s="3"/>
      <c r="K129" s="3"/>
      <c r="L129" s="3"/>
      <c r="M129" s="3"/>
    </row>
    <row r="130" ht="13.5" customHeight="1">
      <c r="A130" s="3"/>
      <c r="B130" s="3"/>
      <c r="C130" s="3"/>
      <c r="D130" s="3"/>
      <c r="E130" s="3"/>
      <c r="F130" s="3"/>
      <c r="G130" s="3"/>
      <c r="H130" s="8"/>
      <c r="I130" s="8"/>
      <c r="J130" s="3"/>
      <c r="K130" s="3"/>
      <c r="L130" s="3"/>
      <c r="M130" s="3"/>
    </row>
    <row r="131" ht="13.5" customHeight="1">
      <c r="A131" s="3"/>
      <c r="B131" s="3"/>
      <c r="C131" s="3"/>
      <c r="D131" s="3"/>
      <c r="E131" s="3"/>
      <c r="F131" s="3"/>
      <c r="G131" s="3"/>
      <c r="H131" s="8"/>
      <c r="I131" s="8"/>
      <c r="J131" s="3"/>
      <c r="K131" s="3"/>
      <c r="L131" s="3"/>
      <c r="M131" s="3"/>
    </row>
    <row r="132" ht="13.5" customHeight="1">
      <c r="A132" s="3"/>
      <c r="B132" s="3"/>
      <c r="C132" s="3"/>
      <c r="D132" s="3"/>
      <c r="E132" s="3"/>
      <c r="F132" s="3"/>
      <c r="G132" s="3"/>
      <c r="H132" s="8"/>
      <c r="I132" s="8"/>
      <c r="J132" s="3"/>
      <c r="K132" s="3"/>
      <c r="L132" s="3"/>
      <c r="M132" s="3"/>
    </row>
    <row r="133" ht="13.5" customHeight="1">
      <c r="A133" s="3"/>
      <c r="B133" s="3"/>
      <c r="C133" s="3"/>
      <c r="D133" s="3"/>
      <c r="E133" s="3"/>
      <c r="F133" s="3"/>
      <c r="G133" s="3"/>
      <c r="H133" s="8"/>
      <c r="I133" s="8"/>
      <c r="J133" s="3"/>
      <c r="K133" s="3"/>
      <c r="L133" s="3"/>
      <c r="M133" s="3"/>
    </row>
    <row r="134" ht="13.5" customHeight="1">
      <c r="A134" s="3"/>
      <c r="B134" s="3"/>
      <c r="C134" s="3"/>
      <c r="D134" s="3"/>
      <c r="E134" s="3"/>
      <c r="F134" s="3"/>
      <c r="G134" s="3"/>
      <c r="H134" s="8"/>
      <c r="I134" s="8"/>
      <c r="J134" s="3"/>
      <c r="K134" s="3"/>
      <c r="L134" s="3"/>
      <c r="M134" s="3"/>
    </row>
    <row r="135" ht="13.5" customHeight="1">
      <c r="A135" s="3"/>
      <c r="B135" s="3"/>
      <c r="C135" s="3"/>
      <c r="D135" s="3"/>
      <c r="E135" s="3"/>
      <c r="F135" s="3"/>
      <c r="G135" s="3"/>
      <c r="H135" s="8"/>
      <c r="I135" s="8"/>
      <c r="J135" s="3"/>
      <c r="K135" s="3"/>
      <c r="L135" s="3"/>
      <c r="M135" s="3"/>
    </row>
    <row r="136" ht="13.5" customHeight="1">
      <c r="A136" s="3"/>
      <c r="B136" s="3"/>
      <c r="C136" s="3"/>
      <c r="D136" s="3"/>
      <c r="E136" s="3"/>
      <c r="F136" s="3"/>
      <c r="G136" s="3"/>
      <c r="H136" s="8"/>
      <c r="I136" s="8"/>
      <c r="J136" s="3"/>
      <c r="K136" s="3"/>
      <c r="L136" s="3"/>
      <c r="M136" s="3"/>
    </row>
    <row r="137" ht="13.5" customHeight="1">
      <c r="A137" s="3"/>
      <c r="B137" s="3"/>
      <c r="C137" s="3"/>
      <c r="D137" s="3"/>
      <c r="E137" s="3"/>
      <c r="F137" s="3"/>
      <c r="G137" s="3"/>
      <c r="H137" s="8"/>
      <c r="I137" s="8"/>
      <c r="J137" s="3"/>
      <c r="K137" s="3"/>
      <c r="L137" s="3"/>
      <c r="M137" s="3"/>
    </row>
    <row r="138" ht="13.5" customHeight="1">
      <c r="A138" s="3"/>
      <c r="B138" s="3"/>
      <c r="C138" s="3"/>
      <c r="D138" s="3"/>
      <c r="E138" s="3"/>
      <c r="F138" s="3"/>
      <c r="G138" s="3"/>
      <c r="H138" s="8"/>
      <c r="I138" s="8"/>
      <c r="J138" s="3"/>
      <c r="K138" s="3"/>
      <c r="L138" s="3"/>
      <c r="M138" s="3"/>
    </row>
    <row r="139" ht="13.5" customHeight="1">
      <c r="A139" s="3"/>
      <c r="B139" s="3"/>
      <c r="C139" s="3"/>
      <c r="D139" s="3"/>
      <c r="E139" s="3"/>
      <c r="F139" s="3"/>
      <c r="G139" s="3"/>
      <c r="H139" s="8"/>
      <c r="I139" s="8"/>
      <c r="J139" s="3"/>
      <c r="K139" s="3"/>
      <c r="L139" s="3"/>
      <c r="M139" s="3"/>
    </row>
    <row r="140" ht="13.5" customHeight="1">
      <c r="A140" s="3"/>
      <c r="B140" s="3"/>
      <c r="C140" s="3"/>
      <c r="D140" s="3"/>
      <c r="E140" s="3"/>
      <c r="F140" s="3"/>
      <c r="G140" s="3"/>
      <c r="H140" s="8"/>
      <c r="I140" s="8"/>
      <c r="J140" s="3"/>
      <c r="K140" s="3"/>
      <c r="L140" s="3"/>
      <c r="M140" s="3"/>
    </row>
    <row r="141" ht="13.5" customHeight="1">
      <c r="A141" s="3"/>
      <c r="B141" s="3"/>
      <c r="C141" s="3"/>
      <c r="D141" s="3"/>
      <c r="E141" s="3"/>
      <c r="F141" s="3"/>
      <c r="G141" s="3"/>
      <c r="H141" s="8"/>
      <c r="I141" s="8"/>
      <c r="J141" s="3"/>
      <c r="K141" s="3"/>
      <c r="L141" s="3"/>
      <c r="M141" s="3"/>
    </row>
    <row r="142" ht="13.5" customHeight="1">
      <c r="A142" s="3"/>
      <c r="B142" s="3"/>
      <c r="C142" s="3"/>
      <c r="D142" s="3"/>
      <c r="E142" s="3"/>
      <c r="F142" s="3"/>
      <c r="G142" s="3"/>
      <c r="H142" s="8"/>
      <c r="I142" s="8"/>
      <c r="J142" s="3"/>
      <c r="K142" s="3"/>
      <c r="L142" s="3"/>
      <c r="M142" s="3"/>
    </row>
    <row r="143" ht="13.5" customHeight="1">
      <c r="A143" s="3"/>
      <c r="B143" s="3"/>
      <c r="C143" s="3"/>
      <c r="D143" s="3"/>
      <c r="E143" s="3"/>
      <c r="F143" s="3"/>
      <c r="G143" s="3"/>
      <c r="H143" s="8"/>
      <c r="I143" s="8"/>
      <c r="J143" s="3"/>
      <c r="K143" s="3"/>
      <c r="L143" s="3"/>
      <c r="M143" s="3"/>
    </row>
    <row r="144" ht="13.5" customHeight="1">
      <c r="A144" s="3"/>
      <c r="B144" s="3"/>
      <c r="C144" s="3"/>
      <c r="D144" s="3"/>
      <c r="E144" s="3"/>
      <c r="F144" s="3"/>
      <c r="G144" s="3"/>
      <c r="H144" s="8"/>
      <c r="I144" s="8"/>
      <c r="J144" s="3"/>
      <c r="K144" s="3"/>
      <c r="L144" s="3"/>
      <c r="M144" s="3"/>
    </row>
    <row r="145" ht="13.5" customHeight="1">
      <c r="A145" s="3"/>
      <c r="B145" s="3"/>
      <c r="C145" s="3"/>
      <c r="D145" s="3"/>
      <c r="E145" s="3"/>
      <c r="F145" s="3"/>
      <c r="G145" s="3"/>
      <c r="H145" s="8"/>
      <c r="I145" s="8"/>
      <c r="J145" s="3"/>
      <c r="K145" s="3"/>
      <c r="L145" s="3"/>
      <c r="M145" s="3"/>
    </row>
    <row r="146" ht="13.5" customHeight="1">
      <c r="A146" s="3"/>
      <c r="B146" s="3"/>
      <c r="C146" s="3"/>
      <c r="D146" s="3"/>
      <c r="E146" s="3"/>
      <c r="F146" s="3"/>
      <c r="G146" s="3"/>
      <c r="H146" s="8"/>
      <c r="I146" s="8"/>
      <c r="J146" s="3"/>
      <c r="K146" s="3"/>
      <c r="L146" s="3"/>
      <c r="M146" s="3"/>
    </row>
    <row r="147" ht="13.5" customHeight="1">
      <c r="A147" s="3"/>
      <c r="B147" s="3"/>
      <c r="C147" s="3"/>
      <c r="D147" s="3"/>
      <c r="E147" s="3"/>
      <c r="F147" s="3"/>
      <c r="G147" s="3"/>
      <c r="H147" s="8"/>
      <c r="I147" s="8"/>
      <c r="J147" s="3"/>
      <c r="K147" s="3"/>
      <c r="L147" s="3"/>
      <c r="M147" s="3"/>
    </row>
    <row r="148" ht="13.5" customHeight="1">
      <c r="A148" s="3"/>
      <c r="B148" s="3"/>
      <c r="C148" s="3"/>
      <c r="D148" s="3"/>
      <c r="E148" s="3"/>
      <c r="F148" s="3"/>
      <c r="G148" s="3"/>
      <c r="H148" s="8"/>
      <c r="I148" s="8"/>
      <c r="J148" s="3"/>
      <c r="K148" s="3"/>
      <c r="L148" s="3"/>
      <c r="M148" s="3"/>
    </row>
    <row r="149" ht="13.5" customHeight="1">
      <c r="A149" s="3"/>
      <c r="B149" s="3"/>
      <c r="C149" s="3"/>
      <c r="D149" s="3"/>
      <c r="E149" s="3"/>
      <c r="F149" s="3"/>
      <c r="G149" s="3"/>
      <c r="H149" s="8"/>
      <c r="I149" s="8"/>
      <c r="J149" s="3"/>
      <c r="K149" s="3"/>
      <c r="L149" s="3"/>
      <c r="M149" s="3"/>
    </row>
    <row r="150" ht="13.5" customHeight="1">
      <c r="A150" s="3"/>
      <c r="B150" s="3"/>
      <c r="C150" s="3"/>
      <c r="D150" s="3"/>
      <c r="E150" s="3"/>
      <c r="F150" s="3"/>
      <c r="G150" s="3"/>
      <c r="H150" s="8"/>
      <c r="I150" s="8"/>
      <c r="J150" s="3"/>
      <c r="K150" s="3"/>
      <c r="L150" s="3"/>
      <c r="M150" s="3"/>
    </row>
    <row r="151" ht="13.5" customHeight="1">
      <c r="A151" s="3"/>
      <c r="B151" s="3"/>
      <c r="C151" s="3"/>
      <c r="D151" s="3"/>
      <c r="E151" s="3"/>
      <c r="F151" s="3"/>
      <c r="G151" s="3"/>
      <c r="H151" s="8"/>
      <c r="I151" s="8"/>
      <c r="J151" s="3"/>
      <c r="K151" s="3"/>
      <c r="L151" s="3"/>
      <c r="M151" s="3"/>
    </row>
    <row r="152" ht="13.5" customHeight="1">
      <c r="A152" s="3"/>
      <c r="B152" s="3"/>
      <c r="C152" s="3"/>
      <c r="D152" s="3"/>
      <c r="E152" s="3"/>
      <c r="F152" s="3"/>
      <c r="G152" s="3"/>
      <c r="H152" s="8"/>
      <c r="I152" s="8"/>
      <c r="J152" s="3"/>
      <c r="K152" s="3"/>
      <c r="L152" s="3"/>
      <c r="M152" s="3"/>
    </row>
    <row r="153" ht="13.5" customHeight="1">
      <c r="A153" s="3"/>
      <c r="B153" s="3"/>
      <c r="C153" s="3"/>
      <c r="D153" s="3"/>
      <c r="E153" s="3"/>
      <c r="F153" s="3"/>
      <c r="G153" s="3"/>
      <c r="H153" s="8"/>
      <c r="I153" s="8"/>
      <c r="J153" s="3"/>
      <c r="K153" s="3"/>
      <c r="L153" s="3"/>
      <c r="M153" s="3"/>
    </row>
    <row r="154" ht="13.5" customHeight="1">
      <c r="A154" s="3"/>
      <c r="B154" s="3"/>
      <c r="C154" s="3"/>
      <c r="D154" s="3"/>
      <c r="E154" s="3"/>
      <c r="F154" s="3"/>
      <c r="G154" s="3"/>
      <c r="H154" s="8"/>
      <c r="I154" s="8"/>
      <c r="J154" s="3"/>
      <c r="K154" s="3"/>
      <c r="L154" s="3"/>
      <c r="M154" s="3"/>
    </row>
    <row r="155" ht="13.5" customHeight="1">
      <c r="A155" s="3"/>
      <c r="B155" s="3"/>
      <c r="C155" s="3"/>
      <c r="D155" s="3"/>
      <c r="E155" s="3"/>
      <c r="F155" s="3"/>
      <c r="G155" s="3"/>
      <c r="H155" s="8"/>
      <c r="I155" s="8"/>
      <c r="J155" s="3"/>
      <c r="K155" s="3"/>
      <c r="L155" s="3"/>
      <c r="M155" s="3"/>
    </row>
    <row r="156" ht="13.5" customHeight="1">
      <c r="A156" s="3"/>
      <c r="B156" s="3"/>
      <c r="C156" s="3"/>
      <c r="D156" s="3"/>
      <c r="E156" s="3"/>
      <c r="F156" s="3"/>
      <c r="G156" s="3"/>
      <c r="H156" s="8"/>
      <c r="I156" s="8"/>
      <c r="J156" s="3"/>
      <c r="K156" s="3"/>
      <c r="L156" s="3"/>
      <c r="M156" s="3"/>
    </row>
    <row r="157" ht="13.5" customHeight="1">
      <c r="A157" s="3"/>
      <c r="B157" s="3"/>
      <c r="C157" s="3"/>
      <c r="D157" s="3"/>
      <c r="E157" s="3"/>
      <c r="F157" s="3"/>
      <c r="G157" s="3"/>
      <c r="H157" s="8"/>
      <c r="I157" s="8"/>
      <c r="J157" s="3"/>
      <c r="K157" s="3"/>
      <c r="L157" s="3"/>
      <c r="M157" s="3"/>
    </row>
    <row r="158" ht="13.5" customHeight="1">
      <c r="A158" s="3"/>
      <c r="B158" s="3"/>
      <c r="C158" s="3"/>
      <c r="D158" s="3"/>
      <c r="E158" s="3"/>
      <c r="F158" s="3"/>
      <c r="G158" s="3"/>
      <c r="H158" s="8"/>
      <c r="I158" s="8"/>
      <c r="J158" s="3"/>
      <c r="K158" s="3"/>
      <c r="L158" s="3"/>
      <c r="M158" s="3"/>
    </row>
    <row r="159" ht="13.5" customHeight="1">
      <c r="A159" s="3"/>
      <c r="B159" s="3"/>
      <c r="C159" s="3"/>
      <c r="D159" s="3"/>
      <c r="E159" s="3"/>
      <c r="F159" s="3"/>
      <c r="G159" s="3"/>
      <c r="H159" s="8"/>
      <c r="I159" s="8"/>
      <c r="J159" s="3"/>
      <c r="K159" s="3"/>
      <c r="L159" s="3"/>
      <c r="M159" s="3"/>
    </row>
    <row r="160" ht="13.5" customHeight="1">
      <c r="A160" s="3"/>
      <c r="B160" s="3"/>
      <c r="C160" s="3"/>
      <c r="D160" s="3"/>
      <c r="E160" s="3"/>
      <c r="F160" s="3"/>
      <c r="G160" s="3"/>
      <c r="H160" s="8"/>
      <c r="I160" s="8"/>
      <c r="J160" s="3"/>
      <c r="K160" s="3"/>
      <c r="L160" s="3"/>
      <c r="M160" s="3"/>
    </row>
    <row r="161" ht="13.5" customHeight="1">
      <c r="A161" s="3"/>
      <c r="B161" s="3"/>
      <c r="C161" s="3"/>
      <c r="D161" s="3"/>
      <c r="E161" s="3"/>
      <c r="F161" s="3"/>
      <c r="G161" s="3"/>
      <c r="H161" s="8"/>
      <c r="I161" s="8"/>
      <c r="J161" s="3"/>
      <c r="K161" s="3"/>
      <c r="L161" s="3"/>
      <c r="M161" s="3"/>
    </row>
    <row r="162" ht="13.5" customHeight="1">
      <c r="A162" s="3"/>
      <c r="B162" s="3"/>
      <c r="C162" s="3"/>
      <c r="D162" s="3"/>
      <c r="E162" s="3"/>
      <c r="F162" s="3"/>
      <c r="G162" s="3"/>
      <c r="H162" s="8"/>
      <c r="I162" s="8"/>
      <c r="J162" s="3"/>
      <c r="K162" s="3"/>
      <c r="L162" s="3"/>
      <c r="M162" s="3"/>
    </row>
    <row r="163" ht="13.5" customHeight="1">
      <c r="A163" s="3"/>
      <c r="B163" s="3"/>
      <c r="C163" s="3"/>
      <c r="D163" s="3"/>
      <c r="E163" s="3"/>
      <c r="F163" s="3"/>
      <c r="G163" s="3"/>
      <c r="H163" s="8"/>
      <c r="I163" s="8"/>
      <c r="J163" s="3"/>
      <c r="K163" s="3"/>
      <c r="L163" s="3"/>
      <c r="M163" s="3"/>
    </row>
    <row r="164" ht="13.5" customHeight="1">
      <c r="A164" s="3"/>
      <c r="B164" s="3"/>
      <c r="C164" s="3"/>
      <c r="D164" s="3"/>
      <c r="E164" s="3"/>
      <c r="F164" s="3"/>
      <c r="G164" s="3"/>
      <c r="H164" s="8"/>
      <c r="I164" s="8"/>
      <c r="J164" s="3"/>
      <c r="K164" s="3"/>
      <c r="L164" s="3"/>
      <c r="M164" s="3"/>
    </row>
    <row r="165" ht="13.5" customHeight="1">
      <c r="A165" s="3"/>
      <c r="B165" s="3"/>
      <c r="C165" s="3"/>
      <c r="D165" s="3"/>
      <c r="E165" s="3"/>
      <c r="F165" s="3"/>
      <c r="G165" s="3"/>
      <c r="H165" s="8"/>
      <c r="I165" s="8"/>
      <c r="J165" s="3"/>
      <c r="K165" s="3"/>
      <c r="L165" s="3"/>
      <c r="M165" s="3"/>
    </row>
    <row r="166" ht="13.5" customHeight="1">
      <c r="A166" s="3"/>
      <c r="B166" s="3"/>
      <c r="C166" s="3"/>
      <c r="D166" s="3"/>
      <c r="E166" s="3"/>
      <c r="F166" s="3"/>
      <c r="G166" s="3"/>
      <c r="H166" s="8"/>
      <c r="I166" s="8"/>
      <c r="J166" s="3"/>
      <c r="K166" s="3"/>
      <c r="L166" s="3"/>
      <c r="M166" s="3"/>
    </row>
    <row r="167" ht="13.5" customHeight="1">
      <c r="A167" s="3"/>
      <c r="B167" s="3"/>
      <c r="C167" s="3"/>
      <c r="D167" s="3"/>
      <c r="E167" s="3"/>
      <c r="F167" s="3"/>
      <c r="G167" s="3"/>
      <c r="H167" s="8"/>
      <c r="I167" s="8"/>
      <c r="J167" s="3"/>
      <c r="K167" s="3"/>
      <c r="L167" s="3"/>
      <c r="M167" s="3"/>
    </row>
    <row r="168" ht="13.5" customHeight="1">
      <c r="A168" s="3"/>
      <c r="B168" s="3"/>
      <c r="C168" s="3"/>
      <c r="D168" s="3"/>
      <c r="E168" s="3"/>
      <c r="F168" s="3"/>
      <c r="G168" s="3"/>
      <c r="H168" s="8"/>
      <c r="I168" s="8"/>
      <c r="J168" s="3"/>
      <c r="K168" s="3"/>
      <c r="L168" s="3"/>
      <c r="M168" s="3"/>
    </row>
    <row r="169" ht="13.5" customHeight="1">
      <c r="A169" s="3"/>
      <c r="B169" s="3"/>
      <c r="C169" s="3"/>
      <c r="D169" s="3"/>
      <c r="E169" s="3"/>
      <c r="F169" s="3"/>
      <c r="G169" s="3"/>
      <c r="H169" s="8"/>
      <c r="I169" s="8"/>
      <c r="J169" s="3"/>
      <c r="K169" s="3"/>
      <c r="L169" s="3"/>
      <c r="M169" s="3"/>
    </row>
    <row r="170" ht="13.5" customHeight="1">
      <c r="A170" s="3"/>
      <c r="B170" s="3"/>
      <c r="C170" s="3"/>
      <c r="D170" s="3"/>
      <c r="E170" s="3"/>
      <c r="F170" s="3"/>
      <c r="G170" s="3"/>
      <c r="H170" s="8"/>
      <c r="I170" s="8"/>
      <c r="J170" s="3"/>
      <c r="K170" s="3"/>
      <c r="L170" s="3"/>
      <c r="M170" s="3"/>
    </row>
    <row r="171" ht="13.5" customHeight="1">
      <c r="A171" s="3"/>
      <c r="B171" s="3"/>
      <c r="C171" s="3"/>
      <c r="D171" s="3"/>
      <c r="E171" s="3"/>
      <c r="F171" s="3"/>
      <c r="G171" s="3"/>
      <c r="H171" s="8"/>
      <c r="I171" s="8"/>
      <c r="J171" s="3"/>
      <c r="K171" s="3"/>
      <c r="L171" s="3"/>
      <c r="M171" s="3"/>
    </row>
    <row r="172" ht="13.5" customHeight="1">
      <c r="A172" s="3"/>
      <c r="B172" s="3"/>
      <c r="C172" s="3"/>
      <c r="D172" s="3"/>
      <c r="E172" s="3"/>
      <c r="F172" s="3"/>
      <c r="G172" s="3"/>
      <c r="H172" s="8"/>
      <c r="I172" s="8"/>
      <c r="J172" s="3"/>
      <c r="K172" s="3"/>
      <c r="L172" s="3"/>
      <c r="M172" s="3"/>
    </row>
    <row r="173" ht="13.5" customHeight="1">
      <c r="A173" s="3"/>
      <c r="B173" s="3"/>
      <c r="C173" s="3"/>
      <c r="D173" s="3"/>
      <c r="E173" s="3"/>
      <c r="F173" s="3"/>
      <c r="G173" s="3"/>
      <c r="H173" s="8"/>
      <c r="I173" s="8"/>
      <c r="J173" s="3"/>
      <c r="K173" s="3"/>
      <c r="L173" s="3"/>
      <c r="M173" s="3"/>
    </row>
    <row r="174" ht="13.5" customHeight="1">
      <c r="A174" s="3"/>
      <c r="B174" s="3"/>
      <c r="C174" s="3"/>
      <c r="D174" s="3"/>
      <c r="E174" s="3"/>
      <c r="F174" s="3"/>
      <c r="G174" s="3"/>
      <c r="H174" s="8"/>
      <c r="I174" s="8"/>
      <c r="J174" s="3"/>
      <c r="K174" s="3"/>
      <c r="L174" s="3"/>
      <c r="M174" s="3"/>
    </row>
    <row r="175" ht="13.5" customHeight="1">
      <c r="A175" s="3"/>
      <c r="B175" s="3"/>
      <c r="C175" s="3"/>
      <c r="D175" s="3"/>
      <c r="E175" s="3"/>
      <c r="F175" s="3"/>
      <c r="G175" s="3"/>
      <c r="H175" s="8"/>
      <c r="I175" s="8"/>
      <c r="J175" s="3"/>
      <c r="K175" s="3"/>
      <c r="L175" s="3"/>
      <c r="M175" s="3"/>
    </row>
    <row r="176" ht="13.5" customHeight="1">
      <c r="A176" s="3"/>
      <c r="B176" s="3"/>
      <c r="C176" s="3"/>
      <c r="D176" s="3"/>
      <c r="E176" s="3"/>
      <c r="F176" s="3"/>
      <c r="G176" s="3"/>
      <c r="H176" s="8"/>
      <c r="I176" s="8"/>
      <c r="J176" s="3"/>
      <c r="K176" s="3"/>
      <c r="L176" s="3"/>
      <c r="M176" s="3"/>
    </row>
    <row r="177" ht="13.5" customHeight="1">
      <c r="A177" s="3"/>
      <c r="B177" s="3"/>
      <c r="C177" s="3"/>
      <c r="D177" s="3"/>
      <c r="E177" s="3"/>
      <c r="F177" s="3"/>
      <c r="G177" s="3"/>
      <c r="H177" s="8"/>
      <c r="I177" s="8"/>
      <c r="J177" s="3"/>
      <c r="K177" s="3"/>
      <c r="L177" s="3"/>
      <c r="M177" s="3"/>
    </row>
    <row r="178" ht="13.5" customHeight="1">
      <c r="A178" s="3"/>
      <c r="B178" s="3"/>
      <c r="C178" s="3"/>
      <c r="D178" s="3"/>
      <c r="E178" s="3"/>
      <c r="F178" s="3"/>
      <c r="G178" s="3"/>
      <c r="H178" s="8"/>
      <c r="I178" s="8"/>
      <c r="J178" s="3"/>
      <c r="K178" s="3"/>
      <c r="L178" s="3"/>
      <c r="M178" s="3"/>
    </row>
    <row r="179" ht="13.5" customHeight="1">
      <c r="A179" s="3"/>
      <c r="B179" s="3"/>
      <c r="C179" s="3"/>
      <c r="D179" s="3"/>
      <c r="E179" s="3"/>
      <c r="F179" s="3"/>
      <c r="G179" s="3"/>
      <c r="H179" s="8"/>
      <c r="I179" s="8"/>
      <c r="J179" s="3"/>
      <c r="K179" s="3"/>
      <c r="L179" s="3"/>
      <c r="M179" s="3"/>
    </row>
    <row r="180" ht="13.5" customHeight="1">
      <c r="A180" s="3"/>
      <c r="B180" s="3"/>
      <c r="C180" s="3"/>
      <c r="D180" s="3"/>
      <c r="E180" s="3"/>
      <c r="F180" s="3"/>
      <c r="G180" s="3"/>
      <c r="H180" s="8"/>
      <c r="I180" s="8"/>
      <c r="J180" s="3"/>
      <c r="K180" s="3"/>
      <c r="L180" s="3"/>
      <c r="M180" s="3"/>
    </row>
    <row r="181" ht="13.5" customHeight="1">
      <c r="A181" s="3"/>
      <c r="B181" s="3"/>
      <c r="C181" s="3"/>
      <c r="D181" s="3"/>
      <c r="E181" s="3"/>
      <c r="F181" s="3"/>
      <c r="G181" s="3"/>
      <c r="H181" s="8"/>
      <c r="I181" s="8"/>
      <c r="J181" s="3"/>
      <c r="K181" s="3"/>
      <c r="L181" s="3"/>
      <c r="M181" s="3"/>
    </row>
    <row r="182" ht="13.5" customHeight="1">
      <c r="A182" s="3"/>
      <c r="B182" s="3"/>
      <c r="C182" s="3"/>
      <c r="D182" s="3"/>
      <c r="E182" s="3"/>
      <c r="F182" s="3"/>
      <c r="G182" s="3"/>
      <c r="H182" s="8"/>
      <c r="I182" s="8"/>
      <c r="J182" s="3"/>
      <c r="K182" s="3"/>
      <c r="L182" s="3"/>
      <c r="M182" s="3"/>
    </row>
    <row r="183" ht="13.5" customHeight="1">
      <c r="A183" s="3"/>
      <c r="B183" s="3"/>
      <c r="C183" s="3"/>
      <c r="D183" s="3"/>
      <c r="E183" s="3"/>
      <c r="F183" s="3"/>
      <c r="G183" s="3"/>
      <c r="H183" s="8"/>
      <c r="I183" s="8"/>
      <c r="J183" s="3"/>
      <c r="K183" s="3"/>
      <c r="L183" s="3"/>
      <c r="M183" s="3"/>
    </row>
    <row r="184" ht="13.5" customHeight="1">
      <c r="A184" s="3"/>
      <c r="B184" s="3"/>
      <c r="C184" s="3"/>
      <c r="D184" s="3"/>
      <c r="E184" s="3"/>
      <c r="F184" s="3"/>
      <c r="G184" s="3"/>
      <c r="H184" s="8"/>
      <c r="I184" s="8"/>
      <c r="J184" s="3"/>
      <c r="K184" s="3"/>
      <c r="L184" s="3"/>
      <c r="M184" s="3"/>
    </row>
    <row r="185" ht="13.5" customHeight="1">
      <c r="A185" s="3"/>
      <c r="B185" s="3"/>
      <c r="C185" s="3"/>
      <c r="D185" s="3"/>
      <c r="E185" s="3"/>
      <c r="F185" s="3"/>
      <c r="G185" s="3"/>
      <c r="H185" s="8"/>
      <c r="I185" s="8"/>
      <c r="J185" s="3"/>
      <c r="K185" s="3"/>
      <c r="L185" s="3"/>
      <c r="M185" s="3"/>
    </row>
    <row r="186" ht="13.5" customHeight="1">
      <c r="A186" s="3"/>
      <c r="B186" s="3"/>
      <c r="C186" s="3"/>
      <c r="D186" s="3"/>
      <c r="E186" s="3"/>
      <c r="F186" s="3"/>
      <c r="G186" s="3"/>
      <c r="H186" s="8"/>
      <c r="I186" s="8"/>
      <c r="J186" s="3"/>
      <c r="K186" s="3"/>
      <c r="L186" s="3"/>
      <c r="M186" s="3"/>
    </row>
    <row r="187" ht="13.5" customHeight="1">
      <c r="A187" s="3"/>
      <c r="B187" s="3"/>
      <c r="C187" s="3"/>
      <c r="D187" s="3"/>
      <c r="E187" s="3"/>
      <c r="F187" s="3"/>
      <c r="G187" s="3"/>
      <c r="H187" s="8"/>
      <c r="I187" s="8"/>
      <c r="J187" s="3"/>
      <c r="K187" s="3"/>
      <c r="L187" s="3"/>
      <c r="M187" s="3"/>
    </row>
    <row r="188" ht="13.5" customHeight="1">
      <c r="A188" s="3"/>
      <c r="B188" s="3"/>
      <c r="C188" s="3"/>
      <c r="D188" s="3"/>
      <c r="E188" s="3"/>
      <c r="F188" s="3"/>
      <c r="G188" s="3"/>
      <c r="H188" s="8"/>
      <c r="I188" s="8"/>
      <c r="J188" s="3"/>
      <c r="K188" s="3"/>
      <c r="L188" s="3"/>
      <c r="M188" s="3"/>
    </row>
    <row r="189" ht="13.5" customHeight="1">
      <c r="A189" s="3"/>
      <c r="B189" s="3"/>
      <c r="C189" s="3"/>
      <c r="D189" s="3"/>
      <c r="E189" s="3"/>
      <c r="F189" s="3"/>
      <c r="G189" s="3"/>
      <c r="H189" s="8"/>
      <c r="I189" s="8"/>
      <c r="J189" s="3"/>
      <c r="K189" s="3"/>
      <c r="L189" s="3"/>
      <c r="M189" s="3"/>
    </row>
    <row r="190" ht="13.5" customHeight="1">
      <c r="A190" s="3"/>
      <c r="B190" s="3"/>
      <c r="C190" s="3"/>
      <c r="D190" s="3"/>
      <c r="E190" s="3"/>
      <c r="F190" s="3"/>
      <c r="G190" s="3"/>
      <c r="H190" s="8"/>
      <c r="I190" s="8"/>
      <c r="J190" s="3"/>
      <c r="K190" s="3"/>
      <c r="L190" s="3"/>
      <c r="M190" s="3"/>
    </row>
    <row r="191" ht="13.5" customHeight="1">
      <c r="A191" s="3"/>
      <c r="B191" s="3"/>
      <c r="C191" s="3"/>
      <c r="D191" s="3"/>
      <c r="E191" s="3"/>
      <c r="F191" s="3"/>
      <c r="G191" s="3"/>
      <c r="H191" s="8"/>
      <c r="I191" s="8"/>
      <c r="J191" s="3"/>
      <c r="K191" s="3"/>
      <c r="L191" s="3"/>
      <c r="M191" s="3"/>
    </row>
    <row r="192" ht="13.5" customHeight="1">
      <c r="A192" s="3"/>
      <c r="B192" s="3"/>
      <c r="C192" s="3"/>
      <c r="D192" s="3"/>
      <c r="E192" s="3"/>
      <c r="F192" s="3"/>
      <c r="G192" s="3"/>
      <c r="H192" s="8"/>
      <c r="I192" s="8"/>
      <c r="J192" s="3"/>
      <c r="K192" s="3"/>
      <c r="L192" s="3"/>
      <c r="M192" s="3"/>
    </row>
    <row r="193" ht="13.5" customHeight="1">
      <c r="A193" s="3"/>
      <c r="B193" s="3"/>
      <c r="C193" s="3"/>
      <c r="D193" s="3"/>
      <c r="E193" s="3"/>
      <c r="F193" s="3"/>
      <c r="G193" s="3"/>
      <c r="H193" s="8"/>
      <c r="I193" s="8"/>
      <c r="J193" s="3"/>
      <c r="K193" s="3"/>
      <c r="L193" s="3"/>
      <c r="M193" s="3"/>
    </row>
    <row r="194" ht="13.5" customHeight="1">
      <c r="A194" s="3"/>
      <c r="B194" s="3"/>
      <c r="C194" s="3"/>
      <c r="D194" s="3"/>
      <c r="E194" s="3"/>
      <c r="F194" s="3"/>
      <c r="G194" s="3"/>
      <c r="H194" s="8"/>
      <c r="I194" s="8"/>
      <c r="J194" s="3"/>
      <c r="K194" s="3"/>
      <c r="L194" s="3"/>
      <c r="M194" s="3"/>
    </row>
    <row r="195" ht="13.5" customHeight="1">
      <c r="A195" s="3"/>
      <c r="B195" s="3"/>
      <c r="C195" s="3"/>
      <c r="D195" s="3"/>
      <c r="E195" s="3"/>
      <c r="F195" s="3"/>
      <c r="G195" s="3"/>
      <c r="H195" s="8"/>
      <c r="I195" s="8"/>
      <c r="J195" s="3"/>
      <c r="K195" s="3"/>
      <c r="L195" s="3"/>
      <c r="M195" s="3"/>
    </row>
    <row r="196" ht="13.5" customHeight="1">
      <c r="A196" s="3"/>
      <c r="B196" s="3"/>
      <c r="C196" s="3"/>
      <c r="D196" s="3"/>
      <c r="E196" s="3"/>
      <c r="F196" s="3"/>
      <c r="G196" s="3"/>
      <c r="H196" s="8"/>
      <c r="I196" s="8"/>
      <c r="J196" s="3"/>
      <c r="K196" s="3"/>
      <c r="L196" s="3"/>
      <c r="M196" s="3"/>
    </row>
    <row r="197" ht="13.5" customHeight="1">
      <c r="A197" s="3"/>
      <c r="B197" s="3"/>
      <c r="C197" s="3"/>
      <c r="D197" s="3"/>
      <c r="E197" s="3"/>
      <c r="F197" s="3"/>
      <c r="G197" s="3"/>
      <c r="H197" s="8"/>
      <c r="I197" s="8"/>
      <c r="J197" s="3"/>
      <c r="K197" s="3"/>
      <c r="L197" s="3"/>
      <c r="M197" s="3"/>
    </row>
    <row r="198" ht="13.5" customHeight="1">
      <c r="A198" s="3"/>
      <c r="B198" s="3"/>
      <c r="C198" s="3"/>
      <c r="D198" s="3"/>
      <c r="E198" s="3"/>
      <c r="F198" s="3"/>
      <c r="G198" s="3"/>
      <c r="H198" s="8"/>
      <c r="I198" s="8"/>
      <c r="J198" s="3"/>
      <c r="K198" s="3"/>
      <c r="L198" s="3"/>
      <c r="M198" s="3"/>
    </row>
    <row r="199" ht="13.5" customHeight="1">
      <c r="A199" s="3"/>
      <c r="B199" s="3"/>
      <c r="C199" s="3"/>
      <c r="D199" s="3"/>
      <c r="E199" s="3"/>
      <c r="F199" s="3"/>
      <c r="G199" s="3"/>
      <c r="H199" s="8"/>
      <c r="I199" s="8"/>
      <c r="J199" s="3"/>
      <c r="K199" s="3"/>
      <c r="L199" s="3"/>
      <c r="M199" s="3"/>
    </row>
    <row r="200" ht="13.5" customHeight="1">
      <c r="A200" s="3"/>
      <c r="B200" s="3"/>
      <c r="C200" s="3"/>
      <c r="D200" s="3"/>
      <c r="E200" s="3"/>
      <c r="F200" s="3"/>
      <c r="G200" s="3"/>
      <c r="H200" s="8"/>
      <c r="I200" s="8"/>
      <c r="J200" s="3"/>
      <c r="K200" s="3"/>
      <c r="L200" s="3"/>
      <c r="M200" s="3"/>
    </row>
    <row r="201" ht="13.5" customHeight="1">
      <c r="A201" s="3"/>
      <c r="B201" s="3"/>
      <c r="C201" s="3"/>
      <c r="D201" s="3"/>
      <c r="E201" s="3"/>
      <c r="F201" s="3"/>
      <c r="G201" s="3"/>
      <c r="H201" s="8"/>
      <c r="I201" s="8"/>
      <c r="J201" s="3"/>
      <c r="K201" s="3"/>
      <c r="L201" s="3"/>
      <c r="M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L2:L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15.5"/>
    <col customWidth="1" min="3" max="3" width="14.0"/>
    <col customWidth="1" min="4" max="4" width="16.0"/>
    <col customWidth="1" min="5" max="5" width="20.0"/>
    <col customWidth="1" min="6" max="6" width="59.38"/>
    <col customWidth="1" min="7" max="11" width="12.0"/>
    <col customWidth="1" min="12" max="12" width="30.0"/>
    <col customWidth="1" min="13" max="26" width="8.63"/>
  </cols>
  <sheetData>
    <row r="1" ht="18.0" customHeight="1">
      <c r="A1" s="2" t="s">
        <v>1</v>
      </c>
      <c r="B1" s="2" t="s">
        <v>134</v>
      </c>
      <c r="C1" s="2" t="s">
        <v>19</v>
      </c>
      <c r="D1" s="2" t="s">
        <v>548</v>
      </c>
      <c r="E1" s="2" t="s">
        <v>549</v>
      </c>
      <c r="F1" s="2" t="s">
        <v>550</v>
      </c>
      <c r="G1" s="2" t="s">
        <v>551</v>
      </c>
      <c r="H1" s="2" t="s">
        <v>552</v>
      </c>
      <c r="I1" s="2" t="s">
        <v>553</v>
      </c>
      <c r="J1" s="2" t="s">
        <v>15</v>
      </c>
      <c r="K1" s="2" t="s">
        <v>3</v>
      </c>
      <c r="L1" s="2" t="s">
        <v>17</v>
      </c>
    </row>
    <row r="2" ht="13.5" customHeight="1">
      <c r="A2" s="5">
        <v>1.0</v>
      </c>
      <c r="B2" s="16">
        <v>46244.0</v>
      </c>
      <c r="C2" s="5" t="s">
        <v>99</v>
      </c>
      <c r="D2" s="3"/>
      <c r="E2" s="5" t="s">
        <v>554</v>
      </c>
      <c r="F2" s="83" t="s">
        <v>555</v>
      </c>
      <c r="G2" s="84">
        <v>2219568.0</v>
      </c>
      <c r="H2" s="83"/>
      <c r="I2" s="3"/>
      <c r="J2" s="5" t="s">
        <v>556</v>
      </c>
      <c r="K2" s="5" t="s">
        <v>557</v>
      </c>
      <c r="L2" s="3"/>
    </row>
    <row r="3" ht="13.5" customHeight="1">
      <c r="A3" s="5">
        <v>2.0</v>
      </c>
      <c r="B3" s="16">
        <v>46247.0</v>
      </c>
      <c r="C3" s="5" t="s">
        <v>279</v>
      </c>
      <c r="D3" s="3"/>
      <c r="E3" s="5" t="s">
        <v>558</v>
      </c>
      <c r="F3" s="85" t="s">
        <v>559</v>
      </c>
      <c r="G3" s="84">
        <v>5766276.0</v>
      </c>
      <c r="H3" s="83"/>
      <c r="I3" s="3"/>
      <c r="J3" s="5" t="s">
        <v>556</v>
      </c>
      <c r="K3" s="5" t="s">
        <v>557</v>
      </c>
      <c r="L3" s="3"/>
    </row>
    <row r="4" ht="13.5" customHeight="1">
      <c r="A4" s="5">
        <v>3.0</v>
      </c>
      <c r="B4" s="8"/>
      <c r="C4" s="3"/>
      <c r="D4" s="3"/>
      <c r="E4" s="3"/>
      <c r="F4" s="3"/>
      <c r="G4" s="3"/>
      <c r="H4" s="3"/>
      <c r="I4" s="3"/>
      <c r="J4" s="5" t="s">
        <v>556</v>
      </c>
      <c r="K4" s="3"/>
      <c r="L4" s="3"/>
    </row>
    <row r="5" ht="13.5" customHeight="1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</row>
    <row r="6" ht="13.5" customHeight="1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</row>
    <row r="7" ht="13.5" customHeight="1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</row>
    <row r="8" ht="13.5" customHeight="1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</row>
    <row r="9" ht="13.5" customHeight="1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</row>
    <row r="10" ht="13.5" customHeight="1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ht="13.5" customHeight="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ht="13.5" customHeight="1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ht="13.5" customHeight="1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ht="13.5" customHeight="1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ht="13.5" customHeight="1">
      <c r="A15" s="3"/>
      <c r="B15" s="8"/>
      <c r="C15" s="83"/>
      <c r="D15" s="83"/>
      <c r="E15" s="83"/>
      <c r="F15" s="86"/>
      <c r="G15" s="3"/>
      <c r="H15" s="3"/>
      <c r="I15" s="3"/>
      <c r="J15" s="3"/>
      <c r="K15" s="3"/>
      <c r="L15" s="3"/>
    </row>
    <row r="16" ht="13.5" customHeight="1">
      <c r="A16" s="3"/>
      <c r="B16" s="8"/>
      <c r="C16" s="83"/>
      <c r="D16" s="83"/>
      <c r="E16" s="83"/>
      <c r="F16" s="86"/>
      <c r="G16" s="3"/>
      <c r="H16" s="3"/>
      <c r="I16" s="3"/>
      <c r="J16" s="3"/>
      <c r="K16" s="3"/>
      <c r="L16" s="3"/>
    </row>
    <row r="17" ht="13.5" customHeight="1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ht="13.5" customHeight="1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ht="13.5" customHeight="1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ht="13.5" customHeight="1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ht="13.5" customHeight="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ht="13.5" customHeight="1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ht="13.5" customHeight="1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ht="13.5" customHeight="1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ht="13.5" customHeight="1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ht="13.5" customHeight="1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ht="13.5" customHeight="1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ht="13.5" customHeight="1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ht="13.5" customHeight="1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ht="13.5" customHeight="1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ht="13.5" customHeight="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ht="13.5" customHeight="1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ht="13.5" customHeight="1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ht="13.5" customHeight="1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ht="13.5" customHeight="1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ht="13.5" customHeight="1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ht="13.5" customHeight="1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ht="13.5" customHeight="1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ht="13.5" customHeight="1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ht="13.5" customHeight="1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ht="13.5" customHeight="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ht="13.5" customHeight="1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ht="13.5" customHeight="1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ht="13.5" customHeight="1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ht="13.5" customHeight="1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ht="13.5" customHeight="1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ht="13.5" customHeight="1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ht="13.5" customHeight="1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ht="13.5" customHeight="1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ht="13.5" customHeight="1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ht="13.5" customHeight="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ht="13.5" customHeight="1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ht="13.5" customHeight="1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ht="13.5" customHeight="1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ht="13.5" customHeight="1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ht="13.5" customHeight="1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ht="13.5" customHeight="1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ht="13.5" customHeight="1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ht="13.5" customHeight="1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ht="13.5" customHeight="1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ht="13.5" customHeight="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ht="13.5" customHeight="1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ht="13.5" customHeight="1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ht="13.5" customHeight="1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ht="13.5" customHeight="1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ht="13.5" customHeight="1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ht="13.5" customHeight="1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ht="13.5" customHeight="1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ht="13.5" customHeight="1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ht="13.5" customHeight="1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ht="13.5" customHeight="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ht="13.5" customHeight="1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ht="13.5" customHeight="1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ht="13.5" customHeight="1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ht="13.5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ht="13.5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ht="13.5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ht="13.5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ht="13.5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ht="13.5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ht="13.5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ht="13.5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ht="13.5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ht="13.5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ht="13.5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ht="13.5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ht="13.5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ht="13.5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ht="13.5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ht="13.5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ht="13.5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ht="13.5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ht="13.5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ht="13.5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ht="13.5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ht="13.5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ht="13.5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ht="13.5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ht="13.5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ht="13.5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ht="13.5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ht="13.5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ht="13.5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ht="13.5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ht="13.5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ht="13.5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ht="13.5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ht="13.5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ht="13.5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ht="13.5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ht="13.5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</row>
    <row r="112" ht="13.5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</row>
    <row r="113" ht="13.5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</row>
    <row r="114" ht="13.5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ht="13.5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</row>
    <row r="116" ht="13.5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</row>
    <row r="117" ht="13.5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</row>
    <row r="118" ht="13.5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</row>
    <row r="194" ht="13.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</row>
    <row r="195" ht="13.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</row>
    <row r="196" ht="13.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</row>
    <row r="197" ht="13.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</row>
    <row r="198" ht="13.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</row>
    <row r="199" ht="13.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</row>
    <row r="200" ht="13.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</row>
    <row r="201" ht="13.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K2:K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5" width="12.0"/>
    <col customWidth="1" min="6" max="6" width="14.0"/>
    <col customWidth="1" min="7" max="7" width="12.0"/>
    <col customWidth="1" min="8" max="8" width="14.0"/>
    <col customWidth="1" min="9" max="9" width="17.0"/>
    <col customWidth="1" min="10" max="10" width="24.0"/>
    <col customWidth="1" min="11" max="11" width="15.0"/>
    <col customWidth="1" min="12" max="12" width="19.38"/>
    <col customWidth="1" min="13" max="13" width="12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6</v>
      </c>
      <c r="C1" s="2" t="s">
        <v>19</v>
      </c>
      <c r="D1" s="2" t="s">
        <v>8</v>
      </c>
      <c r="E1" s="2" t="s">
        <v>137</v>
      </c>
      <c r="F1" s="2" t="s">
        <v>560</v>
      </c>
      <c r="G1" s="2" t="s">
        <v>561</v>
      </c>
      <c r="H1" s="2" t="s">
        <v>562</v>
      </c>
      <c r="I1" s="2" t="s">
        <v>563</v>
      </c>
      <c r="J1" s="2" t="s">
        <v>564</v>
      </c>
      <c r="K1" s="2" t="s">
        <v>565</v>
      </c>
      <c r="L1" s="2" t="s">
        <v>15</v>
      </c>
      <c r="M1" s="2" t="s">
        <v>3</v>
      </c>
      <c r="N1" s="2" t="s">
        <v>17</v>
      </c>
    </row>
    <row r="2" ht="13.5" customHeight="1">
      <c r="A2" s="5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7" t="s">
        <v>566</v>
      </c>
      <c r="M2" s="3"/>
      <c r="N2" s="3"/>
    </row>
    <row r="3" ht="13.5" customHeight="1">
      <c r="A3" s="5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7" t="s">
        <v>566</v>
      </c>
      <c r="M3" s="3"/>
      <c r="N3" s="3"/>
    </row>
    <row r="4" ht="13.5" customHeight="1">
      <c r="A4" s="5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7" t="s">
        <v>566</v>
      </c>
      <c r="M4" s="3"/>
      <c r="N4" s="3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D2:D201">
      <formula1>"Project,RKAP,CAPEX,OPEX"</formula1>
    </dataValidation>
    <dataValidation type="list" allowBlank="1" sqref="M2:M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4" width="12.0"/>
    <col customWidth="1" min="5" max="5" width="13.0"/>
    <col customWidth="1" min="6" max="8" width="12.0"/>
    <col customWidth="1" min="9" max="9" width="16.0"/>
    <col customWidth="1" min="10" max="10" width="12.0"/>
    <col customWidth="1" min="11" max="11" width="14.0"/>
    <col customWidth="1" min="12" max="12" width="12.0"/>
    <col customWidth="1" min="13" max="13" width="23.25"/>
    <col customWidth="1" min="14" max="14" width="12.0"/>
    <col customWidth="1" min="15" max="15" width="30.0"/>
    <col customWidth="1" min="16" max="26" width="8.63"/>
  </cols>
  <sheetData>
    <row r="1" ht="18.0" customHeight="1">
      <c r="A1" s="2" t="s">
        <v>1</v>
      </c>
      <c r="B1" s="2" t="s">
        <v>134</v>
      </c>
      <c r="C1" s="2" t="s">
        <v>19</v>
      </c>
      <c r="D1" s="2" t="s">
        <v>567</v>
      </c>
      <c r="E1" s="2" t="s">
        <v>568</v>
      </c>
      <c r="F1" s="2" t="s">
        <v>137</v>
      </c>
      <c r="G1" s="2" t="s">
        <v>569</v>
      </c>
      <c r="H1" s="2" t="s">
        <v>570</v>
      </c>
      <c r="I1" s="2" t="s">
        <v>571</v>
      </c>
      <c r="J1" s="2" t="s">
        <v>274</v>
      </c>
      <c r="K1" s="2" t="s">
        <v>572</v>
      </c>
      <c r="L1" s="2" t="s">
        <v>573</v>
      </c>
      <c r="M1" s="2" t="s">
        <v>15</v>
      </c>
      <c r="N1" s="2" t="s">
        <v>3</v>
      </c>
      <c r="O1" s="2" t="s">
        <v>17</v>
      </c>
    </row>
    <row r="2" ht="13.5" customHeight="1">
      <c r="A2" s="5">
        <v>1.0</v>
      </c>
      <c r="B2" s="8"/>
      <c r="C2" s="3"/>
      <c r="D2" s="3"/>
      <c r="E2" s="3"/>
      <c r="F2" s="3"/>
      <c r="G2" s="3"/>
      <c r="H2" s="3"/>
      <c r="I2" s="3"/>
      <c r="J2" s="3"/>
      <c r="K2" s="3"/>
      <c r="L2" s="3"/>
      <c r="M2" s="5" t="s">
        <v>574</v>
      </c>
      <c r="N2" s="3"/>
      <c r="O2" s="3"/>
    </row>
    <row r="3" ht="13.5" customHeight="1">
      <c r="A3" s="5">
        <v>2.0</v>
      </c>
      <c r="B3" s="8"/>
      <c r="C3" s="3"/>
      <c r="D3" s="3"/>
      <c r="E3" s="3"/>
      <c r="F3" s="3"/>
      <c r="G3" s="3"/>
      <c r="H3" s="3"/>
      <c r="I3" s="3"/>
      <c r="J3" s="3"/>
      <c r="K3" s="3"/>
      <c r="L3" s="3"/>
      <c r="M3" s="5" t="s">
        <v>574</v>
      </c>
      <c r="N3" s="3"/>
      <c r="O3" s="3"/>
    </row>
    <row r="4" ht="13.5" customHeight="1">
      <c r="A4" s="5">
        <v>3.0</v>
      </c>
      <c r="B4" s="8"/>
      <c r="C4" s="3"/>
      <c r="D4" s="3"/>
      <c r="E4" s="3"/>
      <c r="F4" s="3"/>
      <c r="G4" s="3"/>
      <c r="H4" s="3"/>
      <c r="I4" s="3"/>
      <c r="J4" s="3"/>
      <c r="K4" s="3"/>
      <c r="L4" s="3"/>
      <c r="M4" s="5" t="s">
        <v>574</v>
      </c>
      <c r="N4" s="3"/>
      <c r="O4" s="3"/>
    </row>
    <row r="5" ht="13.5" customHeight="1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3.5" customHeight="1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ht="13.5" customHeight="1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13.5" customHeight="1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ht="13.5" customHeight="1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ht="13.5" customHeight="1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ht="13.5" customHeight="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ht="13.5" customHeight="1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ht="13.5" customHeight="1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ht="13.5" customHeight="1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ht="13.5" customHeight="1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ht="13.5" customHeight="1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ht="13.5" customHeight="1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ht="13.5" customHeight="1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ht="13.5" customHeight="1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ht="13.5" customHeight="1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3.5" customHeight="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ht="13.5" customHeight="1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ht="13.5" customHeight="1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ht="13.5" customHeight="1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ht="13.5" customHeight="1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ht="13.5" customHeight="1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ht="13.5" customHeight="1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ht="13.5" customHeight="1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ht="13.5" customHeight="1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ht="13.5" customHeight="1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ht="13.5" customHeight="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ht="13.5" customHeight="1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ht="13.5" customHeight="1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ht="13.5" customHeight="1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ht="13.5" customHeight="1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ht="13.5" customHeight="1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ht="13.5" customHeight="1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ht="13.5" customHeight="1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ht="13.5" customHeight="1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ht="13.5" customHeight="1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ht="13.5" customHeight="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ht="13.5" customHeight="1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ht="13.5" customHeight="1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ht="13.5" customHeight="1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ht="13.5" customHeight="1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ht="13.5" customHeight="1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ht="13.5" customHeight="1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ht="13.5" customHeight="1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ht="13.5" customHeight="1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ht="13.5" customHeight="1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ht="13.5" customHeight="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ht="13.5" customHeight="1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ht="13.5" customHeight="1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</row>
    <row r="54" ht="13.5" customHeight="1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ht="13.5" customHeight="1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ht="13.5" customHeight="1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ht="13.5" customHeight="1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 ht="13.5" customHeight="1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 ht="13.5" customHeight="1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</row>
    <row r="60" ht="13.5" customHeight="1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ht="13.5" customHeight="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ht="13.5" customHeight="1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ht="13.5" customHeight="1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ht="13.5" customHeight="1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ht="13.5" customHeight="1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ht="13.5" customHeight="1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</row>
    <row r="67" ht="13.5" customHeight="1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ht="13.5" customHeight="1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</row>
    <row r="69" ht="13.5" customHeight="1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</row>
    <row r="70" ht="13.5" customHeight="1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</row>
    <row r="71" ht="13.5" customHeight="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</row>
    <row r="72" ht="13.5" customHeight="1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</row>
    <row r="73" ht="13.5" customHeight="1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</row>
    <row r="74" ht="13.5" customHeight="1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</row>
    <row r="75" ht="13.5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</row>
    <row r="76" ht="13.5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</row>
    <row r="77" ht="13.5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</row>
    <row r="78" ht="13.5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</row>
    <row r="79" ht="13.5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</row>
    <row r="80" ht="13.5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</row>
    <row r="81" ht="13.5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</row>
    <row r="82" ht="13.5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ht="13.5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</row>
    <row r="84" ht="13.5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</row>
    <row r="85" ht="13.5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</row>
    <row r="86" ht="13.5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</row>
    <row r="87" ht="13.5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</row>
    <row r="88" ht="13.5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</row>
    <row r="89" ht="13.5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</row>
    <row r="90" ht="13.5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ht="13.5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</row>
    <row r="92" ht="13.5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</row>
    <row r="93" ht="13.5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</row>
    <row r="94" ht="13.5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</row>
    <row r="95" ht="13.5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ht="13.5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</row>
    <row r="97" ht="13.5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</row>
    <row r="98" ht="13.5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</row>
    <row r="99" ht="13.5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</row>
    <row r="100" ht="13.5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</row>
    <row r="101" ht="13.5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</row>
    <row r="102" ht="13.5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</row>
    <row r="103" ht="13.5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</row>
    <row r="104" ht="13.5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</row>
    <row r="105" ht="13.5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</row>
    <row r="106" ht="13.5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</row>
    <row r="107" ht="13.5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</row>
    <row r="108" ht="13.5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</row>
    <row r="109" ht="13.5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</row>
    <row r="110" ht="13.5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</row>
    <row r="111" ht="13.5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ht="13.5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ht="13.5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ht="13.5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ht="13.5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ht="13.5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ht="13.5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ht="13.5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</row>
    <row r="194" ht="13.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</row>
    <row r="195" ht="13.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</row>
    <row r="196" ht="13.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</row>
    <row r="197" ht="13.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</row>
    <row r="198" ht="13.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</row>
    <row r="199" ht="13.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</row>
    <row r="200" ht="13.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</row>
    <row r="201" ht="13.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N2:N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2.0"/>
    <col customWidth="1" min="3" max="3" width="14.0"/>
    <col customWidth="1" min="4" max="4" width="13.0"/>
    <col customWidth="1" min="5" max="5" width="12.0"/>
    <col customWidth="1" min="6" max="6" width="30.0"/>
    <col customWidth="1" min="7" max="7" width="12.0"/>
    <col customWidth="1" min="8" max="8" width="17.0"/>
    <col customWidth="1" min="9" max="9" width="14.0"/>
    <col customWidth="1" min="10" max="10" width="12.0"/>
    <col customWidth="1" min="11" max="11" width="19.0"/>
    <col customWidth="1" min="12" max="12" width="23.25"/>
    <col customWidth="1" min="13" max="13" width="12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575</v>
      </c>
      <c r="C1" s="2" t="s">
        <v>19</v>
      </c>
      <c r="D1" s="2" t="s">
        <v>576</v>
      </c>
      <c r="E1" s="2" t="s">
        <v>137</v>
      </c>
      <c r="F1" s="2" t="s">
        <v>577</v>
      </c>
      <c r="G1" s="2" t="s">
        <v>274</v>
      </c>
      <c r="H1" s="2" t="s">
        <v>578</v>
      </c>
      <c r="I1" s="2" t="s">
        <v>560</v>
      </c>
      <c r="J1" s="2" t="s">
        <v>30</v>
      </c>
      <c r="K1" s="2" t="s">
        <v>579</v>
      </c>
      <c r="L1" s="2" t="s">
        <v>15</v>
      </c>
      <c r="M1" s="2" t="s">
        <v>3</v>
      </c>
      <c r="N1" s="2" t="s">
        <v>17</v>
      </c>
    </row>
    <row r="2" ht="13.5" customHeight="1">
      <c r="A2" s="5">
        <v>1.0</v>
      </c>
      <c r="B2" s="3"/>
      <c r="C2" s="3"/>
      <c r="D2" s="3"/>
      <c r="E2" s="3"/>
      <c r="F2" s="3"/>
      <c r="G2" s="3"/>
      <c r="H2" s="3"/>
      <c r="I2" s="3"/>
      <c r="J2" s="3"/>
      <c r="K2" s="3"/>
      <c r="L2" s="7" t="s">
        <v>574</v>
      </c>
      <c r="M2" s="3"/>
      <c r="N2" s="3"/>
    </row>
    <row r="3" ht="13.5" customHeight="1">
      <c r="A3" s="5">
        <v>2.0</v>
      </c>
      <c r="B3" s="3"/>
      <c r="C3" s="3"/>
      <c r="D3" s="3"/>
      <c r="E3" s="3"/>
      <c r="F3" s="3"/>
      <c r="G3" s="3"/>
      <c r="H3" s="3"/>
      <c r="I3" s="3"/>
      <c r="J3" s="3"/>
      <c r="K3" s="3"/>
      <c r="L3" s="7" t="s">
        <v>574</v>
      </c>
      <c r="M3" s="3"/>
      <c r="N3" s="3"/>
    </row>
    <row r="4" ht="13.5" customHeight="1">
      <c r="A4" s="5">
        <v>3.0</v>
      </c>
      <c r="B4" s="3"/>
      <c r="C4" s="3"/>
      <c r="D4" s="3"/>
      <c r="E4" s="3"/>
      <c r="F4" s="3"/>
      <c r="G4" s="3"/>
      <c r="H4" s="3"/>
      <c r="I4" s="3"/>
      <c r="J4" s="3"/>
      <c r="K4" s="3"/>
      <c r="L4" s="7" t="s">
        <v>574</v>
      </c>
      <c r="M4" s="3"/>
      <c r="N4" s="3"/>
    </row>
    <row r="5" ht="13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ht="13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ht="13.5" customHeight="1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ht="13.5" customHeight="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ht="13.5" customHeight="1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ht="13.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13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ht="13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ht="13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13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ht="13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ht="13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13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M2:M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12.0"/>
    <col customWidth="1" min="3" max="5" width="14.0"/>
    <col customWidth="1" min="6" max="6" width="13.63"/>
    <col customWidth="1" min="7" max="7" width="13.75"/>
    <col customWidth="1" min="8" max="8" width="9.5"/>
    <col customWidth="1" min="9" max="9" width="13.63"/>
    <col customWidth="1" min="10" max="10" width="9.5"/>
    <col customWidth="1" min="11" max="11" width="12.0"/>
    <col customWidth="1" min="12" max="12" width="12.75"/>
    <col customWidth="1" min="13" max="13" width="12.0"/>
    <col customWidth="1" min="14" max="14" width="17.0"/>
    <col customWidth="1" min="15" max="15" width="30.0"/>
    <col customWidth="1" min="16" max="27" width="8.63"/>
  </cols>
  <sheetData>
    <row r="1" ht="18.0" customHeight="1">
      <c r="A1" s="2" t="s">
        <v>1</v>
      </c>
      <c r="B1" s="2" t="s">
        <v>6</v>
      </c>
      <c r="C1" s="2" t="s">
        <v>19</v>
      </c>
      <c r="D1" s="6" t="s">
        <v>393</v>
      </c>
      <c r="E1" s="2" t="s">
        <v>580</v>
      </c>
      <c r="F1" s="2" t="s">
        <v>581</v>
      </c>
      <c r="G1" s="2" t="s">
        <v>582</v>
      </c>
      <c r="H1" s="2" t="s">
        <v>583</v>
      </c>
      <c r="I1" s="2" t="s">
        <v>584</v>
      </c>
      <c r="J1" s="2" t="s">
        <v>585</v>
      </c>
      <c r="K1" s="2" t="s">
        <v>586</v>
      </c>
      <c r="L1" s="2" t="s">
        <v>15</v>
      </c>
      <c r="M1" s="2" t="s">
        <v>3</v>
      </c>
      <c r="N1" s="2" t="s">
        <v>221</v>
      </c>
      <c r="O1" s="2" t="s">
        <v>17</v>
      </c>
    </row>
    <row r="2" ht="13.5" customHeight="1">
      <c r="A2" s="7">
        <v>1.0</v>
      </c>
      <c r="B2" s="7" t="s">
        <v>587</v>
      </c>
      <c r="C2" s="5" t="s">
        <v>588</v>
      </c>
      <c r="D2" s="5" t="s">
        <v>589</v>
      </c>
      <c r="E2" s="3"/>
      <c r="F2" s="7" t="s">
        <v>21</v>
      </c>
      <c r="G2" s="7" t="s">
        <v>590</v>
      </c>
      <c r="H2" s="3"/>
      <c r="I2" s="3"/>
      <c r="J2" s="7">
        <v>100.0</v>
      </c>
      <c r="K2" s="3"/>
      <c r="L2" s="7" t="s">
        <v>591</v>
      </c>
      <c r="M2" s="5" t="s">
        <v>7</v>
      </c>
      <c r="N2" s="8"/>
      <c r="O2" s="5" t="s">
        <v>592</v>
      </c>
    </row>
    <row r="3" ht="13.5" customHeight="1">
      <c r="A3" s="7">
        <v>2.0</v>
      </c>
      <c r="B3" s="7" t="s">
        <v>587</v>
      </c>
      <c r="C3" s="5" t="s">
        <v>588</v>
      </c>
      <c r="D3" s="5" t="s">
        <v>593</v>
      </c>
      <c r="E3" s="3"/>
      <c r="F3" s="7" t="s">
        <v>21</v>
      </c>
      <c r="G3" s="7" t="s">
        <v>590</v>
      </c>
      <c r="H3" s="3"/>
      <c r="I3" s="3"/>
      <c r="J3" s="7">
        <v>100.0</v>
      </c>
      <c r="K3" s="3"/>
      <c r="L3" s="7" t="s">
        <v>591</v>
      </c>
      <c r="M3" s="5" t="s">
        <v>7</v>
      </c>
      <c r="N3" s="8"/>
      <c r="O3" s="5" t="s">
        <v>592</v>
      </c>
    </row>
    <row r="4" ht="13.5" customHeight="1">
      <c r="A4" s="7">
        <v>3.0</v>
      </c>
      <c r="B4" s="7" t="s">
        <v>587</v>
      </c>
      <c r="C4" s="5" t="s">
        <v>588</v>
      </c>
      <c r="D4" s="5" t="s">
        <v>594</v>
      </c>
      <c r="E4" s="3"/>
      <c r="F4" s="7" t="s">
        <v>21</v>
      </c>
      <c r="G4" s="7" t="s">
        <v>590</v>
      </c>
      <c r="H4" s="3"/>
      <c r="I4" s="3"/>
      <c r="J4" s="7">
        <v>100.0</v>
      </c>
      <c r="K4" s="3"/>
      <c r="L4" s="7" t="s">
        <v>591</v>
      </c>
      <c r="M4" s="5" t="s">
        <v>7</v>
      </c>
      <c r="N4" s="8"/>
      <c r="O4" s="5" t="s">
        <v>592</v>
      </c>
    </row>
    <row r="5" ht="13.5" customHeight="1">
      <c r="A5" s="7">
        <v>4.0</v>
      </c>
      <c r="B5" s="7" t="s">
        <v>587</v>
      </c>
      <c r="C5" s="5" t="s">
        <v>70</v>
      </c>
      <c r="D5" s="5" t="s">
        <v>595</v>
      </c>
      <c r="E5" s="3"/>
      <c r="F5" s="7" t="s">
        <v>21</v>
      </c>
      <c r="G5" s="7" t="s">
        <v>590</v>
      </c>
      <c r="H5" s="3"/>
      <c r="I5" s="3"/>
      <c r="J5" s="7">
        <v>100.0</v>
      </c>
      <c r="K5" s="3"/>
      <c r="L5" s="7" t="s">
        <v>591</v>
      </c>
      <c r="M5" s="5" t="s">
        <v>7</v>
      </c>
      <c r="N5" s="8"/>
      <c r="O5" s="5" t="s">
        <v>592</v>
      </c>
    </row>
    <row r="6" ht="13.5" customHeight="1">
      <c r="A6" s="7">
        <v>5.0</v>
      </c>
      <c r="B6" s="7" t="s">
        <v>587</v>
      </c>
      <c r="C6" s="5" t="s">
        <v>70</v>
      </c>
      <c r="D6" s="5" t="s">
        <v>596</v>
      </c>
      <c r="E6" s="3"/>
      <c r="F6" s="7" t="s">
        <v>21</v>
      </c>
      <c r="G6" s="7" t="s">
        <v>590</v>
      </c>
      <c r="H6" s="3"/>
      <c r="I6" s="3"/>
      <c r="J6" s="7">
        <v>100.0</v>
      </c>
      <c r="K6" s="3"/>
      <c r="L6" s="7" t="s">
        <v>591</v>
      </c>
      <c r="M6" s="5" t="s">
        <v>7</v>
      </c>
      <c r="N6" s="8"/>
      <c r="O6" s="5" t="s">
        <v>592</v>
      </c>
    </row>
    <row r="7" ht="13.5" customHeight="1">
      <c r="A7" s="7">
        <v>6.0</v>
      </c>
      <c r="B7" s="7" t="s">
        <v>587</v>
      </c>
      <c r="C7" s="5" t="s">
        <v>597</v>
      </c>
      <c r="D7" s="5" t="s">
        <v>598</v>
      </c>
      <c r="E7" s="3"/>
      <c r="F7" s="7" t="s">
        <v>21</v>
      </c>
      <c r="G7" s="7" t="s">
        <v>590</v>
      </c>
      <c r="H7" s="3"/>
      <c r="I7" s="3"/>
      <c r="J7" s="7">
        <v>100.0</v>
      </c>
      <c r="K7" s="3"/>
      <c r="L7" s="7" t="s">
        <v>591</v>
      </c>
      <c r="M7" s="5" t="s">
        <v>7</v>
      </c>
      <c r="N7" s="8"/>
      <c r="O7" s="5" t="s">
        <v>592</v>
      </c>
    </row>
    <row r="8" ht="13.5" customHeight="1">
      <c r="A8" s="7">
        <v>7.0</v>
      </c>
      <c r="B8" s="7" t="s">
        <v>587</v>
      </c>
      <c r="C8" s="5" t="s">
        <v>597</v>
      </c>
      <c r="D8" s="5" t="s">
        <v>599</v>
      </c>
      <c r="E8" s="3"/>
      <c r="F8" s="7" t="s">
        <v>21</v>
      </c>
      <c r="G8" s="7" t="s">
        <v>590</v>
      </c>
      <c r="H8" s="3"/>
      <c r="I8" s="3"/>
      <c r="J8" s="7">
        <v>100.0</v>
      </c>
      <c r="K8" s="3"/>
      <c r="L8" s="7" t="s">
        <v>591</v>
      </c>
      <c r="M8" s="5" t="s">
        <v>7</v>
      </c>
      <c r="N8" s="8"/>
      <c r="O8" s="5" t="s">
        <v>592</v>
      </c>
    </row>
    <row r="9" ht="13.5" customHeight="1">
      <c r="A9" s="7">
        <v>8.0</v>
      </c>
      <c r="B9" s="7" t="s">
        <v>587</v>
      </c>
      <c r="C9" s="5" t="s">
        <v>597</v>
      </c>
      <c r="D9" s="5" t="s">
        <v>600</v>
      </c>
      <c r="E9" s="3"/>
      <c r="F9" s="7" t="s">
        <v>21</v>
      </c>
      <c r="G9" s="7" t="s">
        <v>590</v>
      </c>
      <c r="H9" s="3"/>
      <c r="I9" s="3"/>
      <c r="J9" s="7">
        <v>100.0</v>
      </c>
      <c r="K9" s="3"/>
      <c r="L9" s="7" t="s">
        <v>591</v>
      </c>
      <c r="M9" s="5" t="s">
        <v>7</v>
      </c>
      <c r="N9" s="8"/>
      <c r="O9" s="5" t="s">
        <v>592</v>
      </c>
    </row>
    <row r="10" ht="13.5" customHeight="1">
      <c r="A10" s="7">
        <v>9.0</v>
      </c>
      <c r="B10" s="7" t="s">
        <v>587</v>
      </c>
      <c r="C10" s="5" t="s">
        <v>597</v>
      </c>
      <c r="D10" s="5" t="s">
        <v>601</v>
      </c>
      <c r="E10" s="3"/>
      <c r="F10" s="7" t="s">
        <v>21</v>
      </c>
      <c r="G10" s="7" t="s">
        <v>590</v>
      </c>
      <c r="H10" s="3"/>
      <c r="I10" s="3"/>
      <c r="J10" s="7">
        <v>100.0</v>
      </c>
      <c r="K10" s="3"/>
      <c r="L10" s="7" t="s">
        <v>591</v>
      </c>
      <c r="M10" s="5" t="s">
        <v>7</v>
      </c>
      <c r="N10" s="8"/>
      <c r="O10" s="5" t="s">
        <v>592</v>
      </c>
    </row>
    <row r="11" ht="13.5" customHeight="1">
      <c r="A11" s="7">
        <v>10.0</v>
      </c>
      <c r="B11" s="7" t="s">
        <v>587</v>
      </c>
      <c r="C11" s="5" t="s">
        <v>597</v>
      </c>
      <c r="D11" s="5" t="s">
        <v>602</v>
      </c>
      <c r="E11" s="3"/>
      <c r="F11" s="7" t="s">
        <v>21</v>
      </c>
      <c r="G11" s="7" t="s">
        <v>590</v>
      </c>
      <c r="H11" s="3"/>
      <c r="I11" s="3"/>
      <c r="J11" s="7">
        <v>100.0</v>
      </c>
      <c r="K11" s="3"/>
      <c r="L11" s="7" t="s">
        <v>591</v>
      </c>
      <c r="M11" s="5" t="s">
        <v>7</v>
      </c>
      <c r="N11" s="8"/>
      <c r="O11" s="5" t="s">
        <v>592</v>
      </c>
    </row>
    <row r="12" ht="13.5" customHeight="1">
      <c r="A12" s="7">
        <v>11.0</v>
      </c>
      <c r="B12" s="7" t="s">
        <v>587</v>
      </c>
      <c r="C12" s="5" t="s">
        <v>603</v>
      </c>
      <c r="D12" s="5" t="s">
        <v>517</v>
      </c>
      <c r="E12" s="3"/>
      <c r="F12" s="7" t="s">
        <v>21</v>
      </c>
      <c r="G12" s="7" t="s">
        <v>590</v>
      </c>
      <c r="H12" s="3"/>
      <c r="I12" s="3"/>
      <c r="J12" s="7">
        <v>100.0</v>
      </c>
      <c r="K12" s="3"/>
      <c r="L12" s="7" t="s">
        <v>591</v>
      </c>
      <c r="M12" s="5" t="s">
        <v>7</v>
      </c>
      <c r="N12" s="8"/>
      <c r="O12" s="5" t="s">
        <v>604</v>
      </c>
      <c r="P12" s="20" t="s">
        <v>605</v>
      </c>
    </row>
    <row r="13" ht="13.5" customHeight="1">
      <c r="A13" s="7">
        <v>12.0</v>
      </c>
      <c r="B13" s="7" t="s">
        <v>587</v>
      </c>
      <c r="C13" s="5" t="s">
        <v>603</v>
      </c>
      <c r="D13" s="5" t="s">
        <v>606</v>
      </c>
      <c r="E13" s="3"/>
      <c r="F13" s="7" t="s">
        <v>21</v>
      </c>
      <c r="G13" s="7" t="s">
        <v>590</v>
      </c>
      <c r="H13" s="3"/>
      <c r="I13" s="3"/>
      <c r="J13" s="7">
        <v>100.0</v>
      </c>
      <c r="K13" s="3"/>
      <c r="L13" s="7" t="s">
        <v>591</v>
      </c>
      <c r="M13" s="5" t="s">
        <v>7</v>
      </c>
      <c r="N13" s="8"/>
      <c r="O13" s="5" t="s">
        <v>604</v>
      </c>
      <c r="P13" s="20" t="s">
        <v>607</v>
      </c>
    </row>
    <row r="14" ht="13.5" customHeight="1">
      <c r="A14" s="7">
        <v>13.0</v>
      </c>
      <c r="B14" s="7" t="s">
        <v>587</v>
      </c>
      <c r="C14" s="5" t="s">
        <v>608</v>
      </c>
      <c r="D14" s="5" t="s">
        <v>609</v>
      </c>
      <c r="E14" s="3"/>
      <c r="F14" s="7" t="s">
        <v>21</v>
      </c>
      <c r="G14" s="7" t="s">
        <v>590</v>
      </c>
      <c r="H14" s="3"/>
      <c r="I14" s="3"/>
      <c r="J14" s="7">
        <v>100.0</v>
      </c>
      <c r="K14" s="3"/>
      <c r="L14" s="7" t="s">
        <v>591</v>
      </c>
      <c r="M14" s="5" t="s">
        <v>7</v>
      </c>
      <c r="N14" s="8"/>
      <c r="O14" s="5" t="s">
        <v>592</v>
      </c>
    </row>
    <row r="15" ht="13.5" customHeight="1">
      <c r="A15" s="7">
        <v>14.0</v>
      </c>
      <c r="B15" s="7" t="s">
        <v>587</v>
      </c>
      <c r="C15" s="5" t="s">
        <v>608</v>
      </c>
      <c r="D15" s="5" t="s">
        <v>610</v>
      </c>
      <c r="E15" s="3"/>
      <c r="F15" s="7" t="s">
        <v>21</v>
      </c>
      <c r="G15" s="7" t="s">
        <v>590</v>
      </c>
      <c r="H15" s="3"/>
      <c r="I15" s="3"/>
      <c r="J15" s="7">
        <v>100.0</v>
      </c>
      <c r="K15" s="3"/>
      <c r="L15" s="7" t="s">
        <v>591</v>
      </c>
      <c r="M15" s="5" t="s">
        <v>7</v>
      </c>
      <c r="N15" s="8"/>
      <c r="O15" s="5" t="s">
        <v>592</v>
      </c>
    </row>
    <row r="16" ht="13.5" customHeight="1">
      <c r="A16" s="7">
        <v>15.0</v>
      </c>
      <c r="B16" s="7" t="s">
        <v>587</v>
      </c>
      <c r="C16" s="5" t="s">
        <v>608</v>
      </c>
      <c r="D16" s="5" t="s">
        <v>611</v>
      </c>
      <c r="E16" s="3"/>
      <c r="F16" s="7" t="s">
        <v>21</v>
      </c>
      <c r="G16" s="7" t="s">
        <v>590</v>
      </c>
      <c r="H16" s="3"/>
      <c r="I16" s="3"/>
      <c r="J16" s="7">
        <v>100.0</v>
      </c>
      <c r="K16" s="3"/>
      <c r="L16" s="7" t="s">
        <v>591</v>
      </c>
      <c r="M16" s="5" t="s">
        <v>7</v>
      </c>
      <c r="N16" s="8"/>
      <c r="O16" s="5" t="s">
        <v>592</v>
      </c>
    </row>
    <row r="17" ht="13.5" customHeight="1">
      <c r="A17" s="7">
        <v>16.0</v>
      </c>
      <c r="B17" s="7" t="s">
        <v>587</v>
      </c>
      <c r="C17" s="5" t="s">
        <v>608</v>
      </c>
      <c r="D17" s="5" t="s">
        <v>612</v>
      </c>
      <c r="E17" s="3"/>
      <c r="F17" s="7" t="s">
        <v>21</v>
      </c>
      <c r="G17" s="7" t="s">
        <v>590</v>
      </c>
      <c r="H17" s="3"/>
      <c r="I17" s="3"/>
      <c r="J17" s="7">
        <v>100.0</v>
      </c>
      <c r="K17" s="3"/>
      <c r="L17" s="7" t="s">
        <v>591</v>
      </c>
      <c r="M17" s="5" t="s">
        <v>7</v>
      </c>
      <c r="N17" s="8"/>
      <c r="O17" s="5" t="s">
        <v>592</v>
      </c>
    </row>
    <row r="18" ht="13.5" customHeight="1">
      <c r="A18" s="7">
        <v>17.0</v>
      </c>
      <c r="B18" s="7" t="s">
        <v>587</v>
      </c>
      <c r="C18" s="5" t="s">
        <v>116</v>
      </c>
      <c r="D18" s="3"/>
      <c r="E18" s="3"/>
      <c r="F18" s="7" t="s">
        <v>21</v>
      </c>
      <c r="G18" s="10"/>
      <c r="H18" s="3"/>
      <c r="I18" s="3"/>
      <c r="J18" s="10"/>
      <c r="K18" s="3"/>
      <c r="L18" s="7" t="s">
        <v>591</v>
      </c>
      <c r="M18" s="5" t="s">
        <v>7</v>
      </c>
      <c r="N18" s="8"/>
      <c r="O18" s="5" t="s">
        <v>592</v>
      </c>
    </row>
    <row r="19" ht="13.5" customHeight="1">
      <c r="A19" s="7">
        <v>18.0</v>
      </c>
      <c r="B19" s="7" t="s">
        <v>587</v>
      </c>
      <c r="C19" s="5" t="s">
        <v>613</v>
      </c>
      <c r="D19" s="3"/>
      <c r="E19" s="3"/>
      <c r="F19" s="7" t="s">
        <v>21</v>
      </c>
      <c r="G19" s="10"/>
      <c r="H19" s="3"/>
      <c r="I19" s="3"/>
      <c r="J19" s="10"/>
      <c r="K19" s="3"/>
      <c r="L19" s="7" t="s">
        <v>591</v>
      </c>
      <c r="M19" s="5" t="s">
        <v>7</v>
      </c>
      <c r="N19" s="8"/>
      <c r="O19" s="5" t="s">
        <v>592</v>
      </c>
    </row>
    <row r="20" ht="13.5" customHeight="1">
      <c r="A20" s="10"/>
      <c r="B20" s="10"/>
      <c r="C20" s="3"/>
      <c r="D20" s="3"/>
      <c r="E20" s="3"/>
      <c r="F20" s="10"/>
      <c r="G20" s="10"/>
      <c r="H20" s="3"/>
      <c r="I20" s="3"/>
      <c r="J20" s="10"/>
      <c r="K20" s="3"/>
      <c r="L20" s="10"/>
      <c r="M20" s="3"/>
      <c r="N20" s="8"/>
      <c r="O20" s="3"/>
    </row>
    <row r="21" ht="13.5" customHeight="1">
      <c r="A21" s="10"/>
      <c r="B21" s="10"/>
      <c r="C21" s="3"/>
      <c r="D21" s="3"/>
      <c r="E21" s="3"/>
      <c r="F21" s="10"/>
      <c r="G21" s="10"/>
      <c r="H21" s="3"/>
      <c r="I21" s="3"/>
      <c r="J21" s="10"/>
      <c r="K21" s="3"/>
      <c r="L21" s="10"/>
      <c r="M21" s="3"/>
      <c r="N21" s="8"/>
      <c r="O21" s="3"/>
    </row>
    <row r="22" ht="13.5" customHeight="1">
      <c r="A22" s="10"/>
      <c r="B22" s="10"/>
      <c r="C22" s="3"/>
      <c r="D22" s="3"/>
      <c r="E22" s="3"/>
      <c r="F22" s="10"/>
      <c r="G22" s="10"/>
      <c r="H22" s="3"/>
      <c r="I22" s="3"/>
      <c r="J22" s="10"/>
      <c r="K22" s="3"/>
      <c r="L22" s="10"/>
      <c r="M22" s="3"/>
      <c r="N22" s="8"/>
      <c r="O22" s="3"/>
    </row>
    <row r="23" ht="13.5" customHeight="1">
      <c r="A23" s="10"/>
      <c r="B23" s="10"/>
      <c r="C23" s="3"/>
      <c r="D23" s="3"/>
      <c r="E23" s="3"/>
      <c r="F23" s="10"/>
      <c r="G23" s="10"/>
      <c r="H23" s="3"/>
      <c r="I23" s="3"/>
      <c r="J23" s="10"/>
      <c r="K23" s="3"/>
      <c r="L23" s="10"/>
      <c r="M23" s="3"/>
      <c r="N23" s="8"/>
      <c r="O23" s="3"/>
    </row>
    <row r="24" ht="13.5" customHeight="1">
      <c r="A24" s="10"/>
      <c r="B24" s="10"/>
      <c r="C24" s="3"/>
      <c r="D24" s="3"/>
      <c r="E24" s="3"/>
      <c r="F24" s="10"/>
      <c r="G24" s="10"/>
      <c r="H24" s="3"/>
      <c r="I24" s="3"/>
      <c r="J24" s="10"/>
      <c r="K24" s="3"/>
      <c r="L24" s="10"/>
      <c r="M24" s="3"/>
      <c r="N24" s="8"/>
      <c r="O24" s="3"/>
    </row>
    <row r="25" ht="13.5" customHeight="1">
      <c r="A25" s="10"/>
      <c r="B25" s="10"/>
      <c r="C25" s="3"/>
      <c r="D25" s="3"/>
      <c r="E25" s="3"/>
      <c r="F25" s="10"/>
      <c r="G25" s="10"/>
      <c r="H25" s="3"/>
      <c r="I25" s="3"/>
      <c r="J25" s="10"/>
      <c r="K25" s="3"/>
      <c r="L25" s="10"/>
      <c r="M25" s="3"/>
      <c r="N25" s="8"/>
      <c r="O25" s="3"/>
    </row>
    <row r="26" ht="13.5" customHeight="1">
      <c r="A26" s="10"/>
      <c r="B26" s="10"/>
      <c r="C26" s="3"/>
      <c r="D26" s="3"/>
      <c r="E26" s="3"/>
      <c r="F26" s="10"/>
      <c r="G26" s="10"/>
      <c r="H26" s="3"/>
      <c r="I26" s="3"/>
      <c r="J26" s="10"/>
      <c r="K26" s="3"/>
      <c r="L26" s="10"/>
      <c r="M26" s="3"/>
      <c r="N26" s="8"/>
      <c r="O26" s="3"/>
    </row>
    <row r="27" ht="13.5" customHeight="1">
      <c r="A27" s="10"/>
      <c r="B27" s="10"/>
      <c r="C27" s="3"/>
      <c r="D27" s="3"/>
      <c r="E27" s="3"/>
      <c r="F27" s="10"/>
      <c r="G27" s="10"/>
      <c r="H27" s="3"/>
      <c r="I27" s="3"/>
      <c r="J27" s="10"/>
      <c r="K27" s="3"/>
      <c r="L27" s="10"/>
      <c r="M27" s="3"/>
      <c r="N27" s="8"/>
      <c r="O27" s="3"/>
    </row>
    <row r="28" ht="13.5" customHeight="1">
      <c r="A28" s="10"/>
      <c r="B28" s="10"/>
      <c r="C28" s="3"/>
      <c r="D28" s="3"/>
      <c r="E28" s="3"/>
      <c r="F28" s="10"/>
      <c r="G28" s="10"/>
      <c r="H28" s="3"/>
      <c r="I28" s="3"/>
      <c r="J28" s="10"/>
      <c r="K28" s="3"/>
      <c r="L28" s="10"/>
      <c r="M28" s="3"/>
      <c r="N28" s="8"/>
      <c r="O28" s="3"/>
    </row>
    <row r="29" ht="13.5" customHeight="1">
      <c r="A29" s="10"/>
      <c r="B29" s="10"/>
      <c r="C29" s="3"/>
      <c r="D29" s="3"/>
      <c r="E29" s="3"/>
      <c r="F29" s="10"/>
      <c r="G29" s="10"/>
      <c r="H29" s="3"/>
      <c r="I29" s="3"/>
      <c r="J29" s="10"/>
      <c r="K29" s="3"/>
      <c r="L29" s="10"/>
      <c r="M29" s="3"/>
      <c r="N29" s="8"/>
      <c r="O29" s="3"/>
    </row>
    <row r="30" ht="13.5" customHeight="1">
      <c r="A30" s="10"/>
      <c r="B30" s="10"/>
      <c r="C30" s="3"/>
      <c r="D30" s="3"/>
      <c r="E30" s="3"/>
      <c r="F30" s="10"/>
      <c r="G30" s="10"/>
      <c r="H30" s="3"/>
      <c r="I30" s="3"/>
      <c r="J30" s="10"/>
      <c r="K30" s="3"/>
      <c r="L30" s="10"/>
      <c r="M30" s="3"/>
      <c r="N30" s="8"/>
      <c r="O30" s="3"/>
    </row>
    <row r="31" ht="13.5" customHeight="1">
      <c r="A31" s="10"/>
      <c r="B31" s="10"/>
      <c r="C31" s="3"/>
      <c r="D31" s="3"/>
      <c r="E31" s="3"/>
      <c r="F31" s="10"/>
      <c r="G31" s="10"/>
      <c r="H31" s="3"/>
      <c r="I31" s="3"/>
      <c r="J31" s="10"/>
      <c r="K31" s="3"/>
      <c r="L31" s="10"/>
      <c r="M31" s="3"/>
      <c r="N31" s="8"/>
      <c r="O31" s="3"/>
    </row>
    <row r="32" ht="13.5" customHeight="1">
      <c r="A32" s="10"/>
      <c r="B32" s="10"/>
      <c r="C32" s="3"/>
      <c r="D32" s="3"/>
      <c r="E32" s="3"/>
      <c r="F32" s="10"/>
      <c r="G32" s="10"/>
      <c r="H32" s="3"/>
      <c r="I32" s="3"/>
      <c r="J32" s="10"/>
      <c r="K32" s="3"/>
      <c r="L32" s="10"/>
      <c r="M32" s="3"/>
      <c r="N32" s="8"/>
      <c r="O32" s="3"/>
    </row>
    <row r="33" ht="13.5" customHeight="1">
      <c r="A33" s="10"/>
      <c r="B33" s="10"/>
      <c r="C33" s="3"/>
      <c r="D33" s="3"/>
      <c r="E33" s="3"/>
      <c r="F33" s="10"/>
      <c r="G33" s="10"/>
      <c r="H33" s="3"/>
      <c r="I33" s="3"/>
      <c r="J33" s="10"/>
      <c r="K33" s="3"/>
      <c r="L33" s="10"/>
      <c r="M33" s="3"/>
      <c r="N33" s="8"/>
      <c r="O33" s="3"/>
    </row>
    <row r="34" ht="13.5" customHeight="1">
      <c r="A34" s="10"/>
      <c r="B34" s="10"/>
      <c r="C34" s="3"/>
      <c r="D34" s="3"/>
      <c r="E34" s="3"/>
      <c r="F34" s="10"/>
      <c r="G34" s="10"/>
      <c r="H34" s="3"/>
      <c r="I34" s="3"/>
      <c r="J34" s="10"/>
      <c r="K34" s="3"/>
      <c r="L34" s="10"/>
      <c r="M34" s="3"/>
      <c r="N34" s="8"/>
      <c r="O34" s="3"/>
    </row>
    <row r="35" ht="13.5" customHeight="1">
      <c r="A35" s="10"/>
      <c r="B35" s="10"/>
      <c r="C35" s="3"/>
      <c r="D35" s="3"/>
      <c r="E35" s="3"/>
      <c r="F35" s="10"/>
      <c r="G35" s="10"/>
      <c r="H35" s="3"/>
      <c r="I35" s="3"/>
      <c r="J35" s="10"/>
      <c r="K35" s="3"/>
      <c r="L35" s="10"/>
      <c r="M35" s="3"/>
      <c r="N35" s="8"/>
      <c r="O35" s="3"/>
    </row>
    <row r="36" ht="13.5" customHeight="1">
      <c r="A36" s="10"/>
      <c r="B36" s="10"/>
      <c r="C36" s="3"/>
      <c r="D36" s="3"/>
      <c r="E36" s="3"/>
      <c r="F36" s="10"/>
      <c r="G36" s="10"/>
      <c r="H36" s="3"/>
      <c r="I36" s="3"/>
      <c r="J36" s="10"/>
      <c r="K36" s="3"/>
      <c r="L36" s="10"/>
      <c r="M36" s="3"/>
      <c r="N36" s="8"/>
      <c r="O36" s="3"/>
    </row>
    <row r="37" ht="13.5" customHeight="1">
      <c r="A37" s="10"/>
      <c r="B37" s="10"/>
      <c r="C37" s="3"/>
      <c r="D37" s="3"/>
      <c r="E37" s="3"/>
      <c r="F37" s="10"/>
      <c r="G37" s="10"/>
      <c r="H37" s="3"/>
      <c r="I37" s="3"/>
      <c r="J37" s="10"/>
      <c r="K37" s="3"/>
      <c r="L37" s="10"/>
      <c r="M37" s="3"/>
      <c r="N37" s="8"/>
      <c r="O37" s="3"/>
    </row>
    <row r="38" ht="13.5" customHeight="1">
      <c r="A38" s="10"/>
      <c r="B38" s="10"/>
      <c r="C38" s="3"/>
      <c r="D38" s="3"/>
      <c r="E38" s="3"/>
      <c r="F38" s="10"/>
      <c r="G38" s="10"/>
      <c r="H38" s="3"/>
      <c r="I38" s="3"/>
      <c r="J38" s="10"/>
      <c r="K38" s="3"/>
      <c r="L38" s="10"/>
      <c r="M38" s="3"/>
      <c r="N38" s="8"/>
      <c r="O38" s="3"/>
    </row>
    <row r="39" ht="13.5" customHeight="1">
      <c r="A39" s="10"/>
      <c r="B39" s="10"/>
      <c r="C39" s="3"/>
      <c r="D39" s="3"/>
      <c r="E39" s="3"/>
      <c r="F39" s="10"/>
      <c r="G39" s="10"/>
      <c r="H39" s="3"/>
      <c r="I39" s="3"/>
      <c r="J39" s="10"/>
      <c r="K39" s="3"/>
      <c r="L39" s="10"/>
      <c r="M39" s="3"/>
      <c r="N39" s="8"/>
      <c r="O39" s="3"/>
    </row>
    <row r="40" ht="13.5" customHeight="1">
      <c r="A40" s="10"/>
      <c r="B40" s="10"/>
      <c r="C40" s="3"/>
      <c r="D40" s="3"/>
      <c r="E40" s="3"/>
      <c r="F40" s="10"/>
      <c r="G40" s="10"/>
      <c r="H40" s="3"/>
      <c r="I40" s="3"/>
      <c r="J40" s="10"/>
      <c r="K40" s="3"/>
      <c r="L40" s="10"/>
      <c r="M40" s="3"/>
      <c r="N40" s="8"/>
      <c r="O40" s="3"/>
    </row>
    <row r="41" ht="13.5" customHeight="1">
      <c r="A41" s="10"/>
      <c r="B41" s="10"/>
      <c r="C41" s="3"/>
      <c r="D41" s="3"/>
      <c r="E41" s="3"/>
      <c r="F41" s="10"/>
      <c r="G41" s="10"/>
      <c r="H41" s="3"/>
      <c r="I41" s="3"/>
      <c r="J41" s="10"/>
      <c r="K41" s="3"/>
      <c r="L41" s="10"/>
      <c r="M41" s="3"/>
      <c r="N41" s="8"/>
      <c r="O41" s="3"/>
    </row>
    <row r="42" ht="13.5" customHeight="1">
      <c r="A42" s="10"/>
      <c r="B42" s="10"/>
      <c r="C42" s="3"/>
      <c r="D42" s="3"/>
      <c r="E42" s="3"/>
      <c r="F42" s="10"/>
      <c r="G42" s="10"/>
      <c r="H42" s="3"/>
      <c r="I42" s="3"/>
      <c r="J42" s="10"/>
      <c r="K42" s="3"/>
      <c r="L42" s="10"/>
      <c r="M42" s="3"/>
      <c r="N42" s="8"/>
      <c r="O42" s="3"/>
    </row>
    <row r="43" ht="13.5" customHeight="1">
      <c r="A43" s="10"/>
      <c r="B43" s="10"/>
      <c r="C43" s="3"/>
      <c r="D43" s="3"/>
      <c r="E43" s="3"/>
      <c r="F43" s="10"/>
      <c r="G43" s="10"/>
      <c r="H43" s="3"/>
      <c r="I43" s="3"/>
      <c r="J43" s="10"/>
      <c r="K43" s="3"/>
      <c r="L43" s="10"/>
      <c r="M43" s="3"/>
      <c r="N43" s="8"/>
      <c r="O43" s="3"/>
    </row>
    <row r="44" ht="13.5" customHeight="1">
      <c r="A44" s="10"/>
      <c r="B44" s="10"/>
      <c r="C44" s="3"/>
      <c r="D44" s="3"/>
      <c r="E44" s="3"/>
      <c r="F44" s="10"/>
      <c r="G44" s="10"/>
      <c r="H44" s="3"/>
      <c r="I44" s="3"/>
      <c r="J44" s="10"/>
      <c r="K44" s="3"/>
      <c r="L44" s="10"/>
      <c r="M44" s="3"/>
      <c r="N44" s="8"/>
      <c r="O44" s="3"/>
    </row>
    <row r="45" ht="13.5" customHeight="1">
      <c r="A45" s="10"/>
      <c r="B45" s="10"/>
      <c r="C45" s="3"/>
      <c r="D45" s="3"/>
      <c r="E45" s="3"/>
      <c r="F45" s="10"/>
      <c r="G45" s="10"/>
      <c r="H45" s="3"/>
      <c r="I45" s="3"/>
      <c r="J45" s="10"/>
      <c r="K45" s="3"/>
      <c r="L45" s="10"/>
      <c r="M45" s="3"/>
      <c r="N45" s="8"/>
      <c r="O45" s="3"/>
    </row>
    <row r="46" ht="13.5" customHeight="1">
      <c r="A46" s="10"/>
      <c r="B46" s="10"/>
      <c r="C46" s="3"/>
      <c r="D46" s="3"/>
      <c r="E46" s="3"/>
      <c r="F46" s="10"/>
      <c r="G46" s="10"/>
      <c r="H46" s="3"/>
      <c r="I46" s="3"/>
      <c r="J46" s="10"/>
      <c r="K46" s="3"/>
      <c r="L46" s="10"/>
      <c r="M46" s="3"/>
      <c r="N46" s="8"/>
      <c r="O46" s="3"/>
    </row>
    <row r="47" ht="13.5" customHeight="1">
      <c r="A47" s="10"/>
      <c r="B47" s="10"/>
      <c r="C47" s="3"/>
      <c r="D47" s="3"/>
      <c r="E47" s="3"/>
      <c r="F47" s="10"/>
      <c r="G47" s="10"/>
      <c r="H47" s="3"/>
      <c r="I47" s="3"/>
      <c r="J47" s="10"/>
      <c r="K47" s="3"/>
      <c r="L47" s="10"/>
      <c r="M47" s="3"/>
      <c r="N47" s="8"/>
      <c r="O47" s="3"/>
    </row>
    <row r="48" ht="13.5" customHeight="1">
      <c r="A48" s="10"/>
      <c r="B48" s="10"/>
      <c r="C48" s="3"/>
      <c r="D48" s="3"/>
      <c r="E48" s="3"/>
      <c r="F48" s="10"/>
      <c r="G48" s="10"/>
      <c r="H48" s="3"/>
      <c r="I48" s="3"/>
      <c r="J48" s="10"/>
      <c r="K48" s="3"/>
      <c r="L48" s="10"/>
      <c r="M48" s="3"/>
      <c r="N48" s="8"/>
      <c r="O48" s="3"/>
    </row>
    <row r="49" ht="13.5" customHeight="1">
      <c r="A49" s="10"/>
      <c r="B49" s="10"/>
      <c r="C49" s="3"/>
      <c r="D49" s="3"/>
      <c r="E49" s="3"/>
      <c r="F49" s="10"/>
      <c r="G49" s="10"/>
      <c r="H49" s="3"/>
      <c r="I49" s="3"/>
      <c r="J49" s="10"/>
      <c r="K49" s="3"/>
      <c r="L49" s="10"/>
      <c r="M49" s="3"/>
      <c r="N49" s="8"/>
      <c r="O49" s="3"/>
    </row>
    <row r="50" ht="13.5" customHeight="1">
      <c r="A50" s="10"/>
      <c r="B50" s="10"/>
      <c r="C50" s="3"/>
      <c r="D50" s="3"/>
      <c r="E50" s="3"/>
      <c r="F50" s="10"/>
      <c r="G50" s="10"/>
      <c r="H50" s="3"/>
      <c r="I50" s="3"/>
      <c r="J50" s="10"/>
      <c r="K50" s="3"/>
      <c r="L50" s="10"/>
      <c r="M50" s="3"/>
      <c r="N50" s="8"/>
      <c r="O50" s="3"/>
    </row>
    <row r="51" ht="13.5" customHeight="1">
      <c r="A51" s="10"/>
      <c r="B51" s="10"/>
      <c r="C51" s="3"/>
      <c r="D51" s="3"/>
      <c r="E51" s="3"/>
      <c r="F51" s="10"/>
      <c r="G51" s="10"/>
      <c r="H51" s="3"/>
      <c r="I51" s="3"/>
      <c r="J51" s="10"/>
      <c r="K51" s="3"/>
      <c r="L51" s="10"/>
      <c r="M51" s="3"/>
      <c r="N51" s="8"/>
      <c r="O51" s="3"/>
    </row>
    <row r="52" ht="13.5" customHeight="1">
      <c r="A52" s="10"/>
      <c r="B52" s="10"/>
      <c r="C52" s="3"/>
      <c r="D52" s="3"/>
      <c r="E52" s="3"/>
      <c r="F52" s="10"/>
      <c r="G52" s="10"/>
      <c r="H52" s="3"/>
      <c r="I52" s="3"/>
      <c r="J52" s="10"/>
      <c r="K52" s="3"/>
      <c r="L52" s="10"/>
      <c r="M52" s="3"/>
      <c r="N52" s="8"/>
      <c r="O52" s="3"/>
    </row>
    <row r="53" ht="13.5" customHeight="1">
      <c r="A53" s="10"/>
      <c r="B53" s="10"/>
      <c r="C53" s="3"/>
      <c r="D53" s="3"/>
      <c r="E53" s="3"/>
      <c r="F53" s="10"/>
      <c r="G53" s="10"/>
      <c r="H53" s="3"/>
      <c r="I53" s="3"/>
      <c r="J53" s="10"/>
      <c r="K53" s="3"/>
      <c r="L53" s="10"/>
      <c r="M53" s="3"/>
      <c r="N53" s="8"/>
      <c r="O53" s="3"/>
    </row>
    <row r="54" ht="13.5" customHeight="1">
      <c r="A54" s="10"/>
      <c r="B54" s="10"/>
      <c r="C54" s="3"/>
      <c r="D54" s="3"/>
      <c r="E54" s="3"/>
      <c r="F54" s="10"/>
      <c r="G54" s="10"/>
      <c r="H54" s="3"/>
      <c r="I54" s="3"/>
      <c r="J54" s="10"/>
      <c r="K54" s="3"/>
      <c r="L54" s="10"/>
      <c r="M54" s="3"/>
      <c r="N54" s="8"/>
      <c r="O54" s="3"/>
    </row>
    <row r="55" ht="13.5" customHeight="1">
      <c r="A55" s="10"/>
      <c r="B55" s="10"/>
      <c r="C55" s="3"/>
      <c r="D55" s="3"/>
      <c r="E55" s="3"/>
      <c r="F55" s="10"/>
      <c r="G55" s="10"/>
      <c r="H55" s="3"/>
      <c r="I55" s="3"/>
      <c r="J55" s="10"/>
      <c r="K55" s="3"/>
      <c r="L55" s="10"/>
      <c r="M55" s="3"/>
      <c r="N55" s="8"/>
      <c r="O55" s="3"/>
    </row>
    <row r="56" ht="13.5" customHeight="1">
      <c r="A56" s="10"/>
      <c r="B56" s="10"/>
      <c r="C56" s="3"/>
      <c r="D56" s="3"/>
      <c r="E56" s="3"/>
      <c r="F56" s="10"/>
      <c r="G56" s="10"/>
      <c r="H56" s="3"/>
      <c r="I56" s="3"/>
      <c r="J56" s="10"/>
      <c r="K56" s="3"/>
      <c r="L56" s="10"/>
      <c r="M56" s="3"/>
      <c r="N56" s="8"/>
      <c r="O56" s="3"/>
    </row>
    <row r="57" ht="13.5" customHeight="1">
      <c r="A57" s="10"/>
      <c r="B57" s="10"/>
      <c r="C57" s="3"/>
      <c r="D57" s="3"/>
      <c r="E57" s="3"/>
      <c r="F57" s="10"/>
      <c r="G57" s="10"/>
      <c r="H57" s="3"/>
      <c r="I57" s="3"/>
      <c r="J57" s="10"/>
      <c r="K57" s="3"/>
      <c r="L57" s="10"/>
      <c r="M57" s="3"/>
      <c r="N57" s="8"/>
      <c r="O57" s="3"/>
    </row>
    <row r="58" ht="13.5" customHeight="1">
      <c r="A58" s="10"/>
      <c r="B58" s="10"/>
      <c r="C58" s="3"/>
      <c r="D58" s="3"/>
      <c r="E58" s="3"/>
      <c r="F58" s="10"/>
      <c r="G58" s="10"/>
      <c r="H58" s="3"/>
      <c r="I58" s="3"/>
      <c r="J58" s="10"/>
      <c r="K58" s="3"/>
      <c r="L58" s="10"/>
      <c r="M58" s="3"/>
      <c r="N58" s="8"/>
      <c r="O58" s="3"/>
    </row>
    <row r="59" ht="13.5" customHeight="1">
      <c r="A59" s="10"/>
      <c r="B59" s="10"/>
      <c r="C59" s="3"/>
      <c r="D59" s="3"/>
      <c r="E59" s="3"/>
      <c r="F59" s="10"/>
      <c r="G59" s="10"/>
      <c r="H59" s="3"/>
      <c r="I59" s="3"/>
      <c r="J59" s="10"/>
      <c r="K59" s="3"/>
      <c r="L59" s="10"/>
      <c r="M59" s="3"/>
      <c r="N59" s="8"/>
      <c r="O59" s="3"/>
    </row>
    <row r="60" ht="13.5" customHeight="1">
      <c r="A60" s="10"/>
      <c r="B60" s="10"/>
      <c r="C60" s="3"/>
      <c r="D60" s="3"/>
      <c r="E60" s="3"/>
      <c r="F60" s="10"/>
      <c r="G60" s="10"/>
      <c r="H60" s="3"/>
      <c r="I60" s="3"/>
      <c r="J60" s="10"/>
      <c r="K60" s="3"/>
      <c r="L60" s="10"/>
      <c r="M60" s="3"/>
      <c r="N60" s="8"/>
      <c r="O60" s="3"/>
    </row>
    <row r="61" ht="13.5" customHeight="1">
      <c r="A61" s="10"/>
      <c r="B61" s="10"/>
      <c r="C61" s="3"/>
      <c r="D61" s="3"/>
      <c r="E61" s="3"/>
      <c r="F61" s="10"/>
      <c r="G61" s="10"/>
      <c r="H61" s="3"/>
      <c r="I61" s="3"/>
      <c r="J61" s="10"/>
      <c r="K61" s="3"/>
      <c r="L61" s="10"/>
      <c r="M61" s="3"/>
      <c r="N61" s="8"/>
      <c r="O61" s="3"/>
    </row>
    <row r="62" ht="13.5" customHeight="1">
      <c r="A62" s="10"/>
      <c r="B62" s="10"/>
      <c r="C62" s="3"/>
      <c r="D62" s="3"/>
      <c r="E62" s="3"/>
      <c r="F62" s="10"/>
      <c r="G62" s="10"/>
      <c r="H62" s="3"/>
      <c r="I62" s="3"/>
      <c r="J62" s="10"/>
      <c r="K62" s="3"/>
      <c r="L62" s="10"/>
      <c r="M62" s="3"/>
      <c r="N62" s="8"/>
      <c r="O62" s="3"/>
    </row>
    <row r="63" ht="13.5" customHeight="1">
      <c r="A63" s="10"/>
      <c r="B63" s="10"/>
      <c r="C63" s="3"/>
      <c r="D63" s="3"/>
      <c r="E63" s="3"/>
      <c r="F63" s="10"/>
      <c r="G63" s="10"/>
      <c r="H63" s="3"/>
      <c r="I63" s="3"/>
      <c r="J63" s="10"/>
      <c r="K63" s="3"/>
      <c r="L63" s="10"/>
      <c r="M63" s="3"/>
      <c r="N63" s="8"/>
      <c r="O63" s="3"/>
    </row>
    <row r="64" ht="13.5" customHeight="1">
      <c r="A64" s="10"/>
      <c r="B64" s="10"/>
      <c r="C64" s="3"/>
      <c r="D64" s="3"/>
      <c r="E64" s="3"/>
      <c r="F64" s="10"/>
      <c r="G64" s="10"/>
      <c r="H64" s="3"/>
      <c r="I64" s="3"/>
      <c r="J64" s="10"/>
      <c r="K64" s="3"/>
      <c r="L64" s="10"/>
      <c r="M64" s="3"/>
      <c r="N64" s="8"/>
      <c r="O64" s="3"/>
    </row>
    <row r="65" ht="13.5" customHeight="1">
      <c r="A65" s="10"/>
      <c r="B65" s="10"/>
      <c r="C65" s="3"/>
      <c r="D65" s="3"/>
      <c r="E65" s="3"/>
      <c r="F65" s="10"/>
      <c r="G65" s="10"/>
      <c r="H65" s="3"/>
      <c r="I65" s="3"/>
      <c r="J65" s="10"/>
      <c r="K65" s="3"/>
      <c r="L65" s="10"/>
      <c r="M65" s="3"/>
      <c r="N65" s="8"/>
      <c r="O65" s="3"/>
    </row>
    <row r="66" ht="13.5" customHeight="1">
      <c r="A66" s="10"/>
      <c r="B66" s="10"/>
      <c r="C66" s="3"/>
      <c r="D66" s="3"/>
      <c r="E66" s="3"/>
      <c r="F66" s="10"/>
      <c r="G66" s="10"/>
      <c r="H66" s="3"/>
      <c r="I66" s="3"/>
      <c r="J66" s="10"/>
      <c r="K66" s="3"/>
      <c r="L66" s="10"/>
      <c r="M66" s="3"/>
      <c r="N66" s="8"/>
      <c r="O66" s="3"/>
    </row>
    <row r="67" ht="13.5" customHeight="1">
      <c r="A67" s="10"/>
      <c r="B67" s="10"/>
      <c r="C67" s="3"/>
      <c r="D67" s="3"/>
      <c r="E67" s="3"/>
      <c r="F67" s="10"/>
      <c r="G67" s="10"/>
      <c r="H67" s="3"/>
      <c r="I67" s="3"/>
      <c r="J67" s="10"/>
      <c r="K67" s="3"/>
      <c r="L67" s="10"/>
      <c r="M67" s="3"/>
      <c r="N67" s="8"/>
      <c r="O67" s="3"/>
    </row>
    <row r="68" ht="13.5" customHeight="1">
      <c r="A68" s="10"/>
      <c r="B68" s="10"/>
      <c r="C68" s="3"/>
      <c r="D68" s="3"/>
      <c r="E68" s="3"/>
      <c r="F68" s="10"/>
      <c r="G68" s="10"/>
      <c r="H68" s="3"/>
      <c r="I68" s="3"/>
      <c r="J68" s="10"/>
      <c r="K68" s="3"/>
      <c r="L68" s="10"/>
      <c r="M68" s="3"/>
      <c r="N68" s="8"/>
      <c r="O68" s="3"/>
    </row>
    <row r="69" ht="13.5" customHeight="1">
      <c r="A69" s="10"/>
      <c r="B69" s="10"/>
      <c r="C69" s="3"/>
      <c r="D69" s="3"/>
      <c r="E69" s="3"/>
      <c r="F69" s="10"/>
      <c r="G69" s="10"/>
      <c r="H69" s="3"/>
      <c r="I69" s="3"/>
      <c r="J69" s="10"/>
      <c r="K69" s="3"/>
      <c r="L69" s="10"/>
      <c r="M69" s="3"/>
      <c r="N69" s="8"/>
      <c r="O69" s="3"/>
    </row>
    <row r="70" ht="13.5" customHeight="1">
      <c r="A70" s="10"/>
      <c r="B70" s="10"/>
      <c r="C70" s="3"/>
      <c r="D70" s="3"/>
      <c r="E70" s="3"/>
      <c r="F70" s="10"/>
      <c r="G70" s="10"/>
      <c r="H70" s="3"/>
      <c r="I70" s="3"/>
      <c r="J70" s="10"/>
      <c r="K70" s="3"/>
      <c r="L70" s="10"/>
      <c r="M70" s="3"/>
      <c r="N70" s="8"/>
      <c r="O70" s="3"/>
    </row>
    <row r="71" ht="13.5" customHeight="1">
      <c r="A71" s="10"/>
      <c r="B71" s="10"/>
      <c r="C71" s="3"/>
      <c r="D71" s="3"/>
      <c r="E71" s="3"/>
      <c r="F71" s="10"/>
      <c r="G71" s="10"/>
      <c r="H71" s="3"/>
      <c r="I71" s="3"/>
      <c r="J71" s="10"/>
      <c r="K71" s="3"/>
      <c r="L71" s="10"/>
      <c r="M71" s="3"/>
      <c r="N71" s="8"/>
      <c r="O71" s="3"/>
    </row>
    <row r="72" ht="13.5" customHeight="1">
      <c r="A72" s="10"/>
      <c r="B72" s="10"/>
      <c r="C72" s="3"/>
      <c r="D72" s="3"/>
      <c r="E72" s="3"/>
      <c r="F72" s="10"/>
      <c r="G72" s="10"/>
      <c r="H72" s="3"/>
      <c r="I72" s="3"/>
      <c r="J72" s="10"/>
      <c r="K72" s="3"/>
      <c r="L72" s="10"/>
      <c r="M72" s="3"/>
      <c r="N72" s="8"/>
      <c r="O72" s="3"/>
    </row>
    <row r="73" ht="13.5" customHeight="1">
      <c r="A73" s="10"/>
      <c r="B73" s="10"/>
      <c r="C73" s="3"/>
      <c r="D73" s="3"/>
      <c r="E73" s="3"/>
      <c r="F73" s="10"/>
      <c r="G73" s="10"/>
      <c r="H73" s="3"/>
      <c r="I73" s="3"/>
      <c r="J73" s="10"/>
      <c r="K73" s="3"/>
      <c r="L73" s="10"/>
      <c r="M73" s="3"/>
      <c r="N73" s="8"/>
      <c r="O73" s="3"/>
    </row>
    <row r="74" ht="13.5" customHeight="1">
      <c r="A74" s="10"/>
      <c r="B74" s="10"/>
      <c r="C74" s="3"/>
      <c r="D74" s="3"/>
      <c r="E74" s="3"/>
      <c r="F74" s="10"/>
      <c r="G74" s="10"/>
      <c r="H74" s="3"/>
      <c r="I74" s="3"/>
      <c r="J74" s="10"/>
      <c r="K74" s="3"/>
      <c r="L74" s="10"/>
      <c r="M74" s="3"/>
      <c r="N74" s="8"/>
      <c r="O74" s="3"/>
    </row>
    <row r="75" ht="13.5" customHeight="1">
      <c r="A75" s="10"/>
      <c r="B75" s="10"/>
      <c r="C75" s="3"/>
      <c r="D75" s="3"/>
      <c r="E75" s="3"/>
      <c r="F75" s="10"/>
      <c r="G75" s="10"/>
      <c r="H75" s="3"/>
      <c r="I75" s="3"/>
      <c r="J75" s="10"/>
      <c r="K75" s="3"/>
      <c r="L75" s="10"/>
      <c r="M75" s="3"/>
      <c r="N75" s="8"/>
      <c r="O75" s="3"/>
    </row>
    <row r="76" ht="13.5" customHeight="1">
      <c r="A76" s="10"/>
      <c r="B76" s="10"/>
      <c r="C76" s="3"/>
      <c r="D76" s="3"/>
      <c r="E76" s="3"/>
      <c r="F76" s="10"/>
      <c r="G76" s="10"/>
      <c r="H76" s="3"/>
      <c r="I76" s="3"/>
      <c r="J76" s="10"/>
      <c r="K76" s="3"/>
      <c r="L76" s="10"/>
      <c r="M76" s="3"/>
      <c r="N76" s="8"/>
      <c r="O76" s="3"/>
    </row>
    <row r="77" ht="13.5" customHeight="1">
      <c r="A77" s="10"/>
      <c r="B77" s="10"/>
      <c r="C77" s="3"/>
      <c r="D77" s="3"/>
      <c r="E77" s="3"/>
      <c r="F77" s="10"/>
      <c r="G77" s="10"/>
      <c r="H77" s="3"/>
      <c r="I77" s="3"/>
      <c r="J77" s="10"/>
      <c r="K77" s="3"/>
      <c r="L77" s="10"/>
      <c r="M77" s="3"/>
      <c r="N77" s="8"/>
      <c r="O77" s="3"/>
    </row>
    <row r="78" ht="13.5" customHeight="1">
      <c r="A78" s="10"/>
      <c r="B78" s="10"/>
      <c r="C78" s="3"/>
      <c r="D78" s="3"/>
      <c r="E78" s="3"/>
      <c r="F78" s="10"/>
      <c r="G78" s="10"/>
      <c r="H78" s="3"/>
      <c r="I78" s="3"/>
      <c r="J78" s="10"/>
      <c r="K78" s="3"/>
      <c r="L78" s="10"/>
      <c r="M78" s="3"/>
      <c r="N78" s="8"/>
      <c r="O78" s="3"/>
    </row>
    <row r="79" ht="13.5" customHeight="1">
      <c r="A79" s="10"/>
      <c r="B79" s="10"/>
      <c r="C79" s="3"/>
      <c r="D79" s="3"/>
      <c r="E79" s="3"/>
      <c r="F79" s="10"/>
      <c r="G79" s="10"/>
      <c r="H79" s="3"/>
      <c r="I79" s="3"/>
      <c r="J79" s="10"/>
      <c r="K79" s="3"/>
      <c r="L79" s="10"/>
      <c r="M79" s="3"/>
      <c r="N79" s="8"/>
      <c r="O79" s="3"/>
    </row>
    <row r="80" ht="13.5" customHeight="1">
      <c r="A80" s="10"/>
      <c r="B80" s="10"/>
      <c r="C80" s="3"/>
      <c r="D80" s="3"/>
      <c r="E80" s="3"/>
      <c r="F80" s="10"/>
      <c r="G80" s="10"/>
      <c r="H80" s="3"/>
      <c r="I80" s="3"/>
      <c r="J80" s="10"/>
      <c r="K80" s="3"/>
      <c r="L80" s="10"/>
      <c r="M80" s="3"/>
      <c r="N80" s="8"/>
      <c r="O80" s="3"/>
    </row>
    <row r="81" ht="13.5" customHeight="1">
      <c r="A81" s="10"/>
      <c r="B81" s="10"/>
      <c r="C81" s="3"/>
      <c r="D81" s="3"/>
      <c r="E81" s="3"/>
      <c r="F81" s="10"/>
      <c r="G81" s="10"/>
      <c r="H81" s="3"/>
      <c r="I81" s="3"/>
      <c r="J81" s="10"/>
      <c r="K81" s="3"/>
      <c r="L81" s="10"/>
      <c r="M81" s="3"/>
      <c r="N81" s="8"/>
      <c r="O81" s="3"/>
    </row>
    <row r="82" ht="13.5" customHeight="1">
      <c r="A82" s="10"/>
      <c r="B82" s="10"/>
      <c r="C82" s="3"/>
      <c r="D82" s="3"/>
      <c r="E82" s="3"/>
      <c r="F82" s="10"/>
      <c r="G82" s="10"/>
      <c r="H82" s="3"/>
      <c r="I82" s="3"/>
      <c r="J82" s="10"/>
      <c r="K82" s="3"/>
      <c r="L82" s="10"/>
      <c r="M82" s="3"/>
      <c r="N82" s="8"/>
      <c r="O82" s="3"/>
    </row>
    <row r="83" ht="13.5" customHeight="1">
      <c r="A83" s="10"/>
      <c r="B83" s="10"/>
      <c r="C83" s="3"/>
      <c r="D83" s="3"/>
      <c r="E83" s="3"/>
      <c r="F83" s="10"/>
      <c r="G83" s="10"/>
      <c r="H83" s="3"/>
      <c r="I83" s="3"/>
      <c r="J83" s="10"/>
      <c r="K83" s="3"/>
      <c r="L83" s="10"/>
      <c r="M83" s="3"/>
      <c r="N83" s="8"/>
      <c r="O83" s="3"/>
    </row>
    <row r="84" ht="13.5" customHeight="1">
      <c r="A84" s="10"/>
      <c r="B84" s="10"/>
      <c r="C84" s="3"/>
      <c r="D84" s="3"/>
      <c r="E84" s="3"/>
      <c r="F84" s="10"/>
      <c r="G84" s="10"/>
      <c r="H84" s="3"/>
      <c r="I84" s="3"/>
      <c r="J84" s="10"/>
      <c r="K84" s="3"/>
      <c r="L84" s="10"/>
      <c r="M84" s="3"/>
      <c r="N84" s="8"/>
      <c r="O84" s="3"/>
    </row>
    <row r="85" ht="13.5" customHeight="1">
      <c r="A85" s="10"/>
      <c r="B85" s="10"/>
      <c r="C85" s="3"/>
      <c r="D85" s="3"/>
      <c r="E85" s="3"/>
      <c r="F85" s="10"/>
      <c r="G85" s="10"/>
      <c r="H85" s="3"/>
      <c r="I85" s="3"/>
      <c r="J85" s="10"/>
      <c r="K85" s="3"/>
      <c r="L85" s="10"/>
      <c r="M85" s="3"/>
      <c r="N85" s="8"/>
      <c r="O85" s="3"/>
    </row>
    <row r="86" ht="13.5" customHeight="1">
      <c r="A86" s="10"/>
      <c r="B86" s="10"/>
      <c r="C86" s="3"/>
      <c r="D86" s="3"/>
      <c r="E86" s="3"/>
      <c r="F86" s="10"/>
      <c r="G86" s="10"/>
      <c r="H86" s="3"/>
      <c r="I86" s="3"/>
      <c r="J86" s="10"/>
      <c r="K86" s="3"/>
      <c r="L86" s="10"/>
      <c r="M86" s="3"/>
      <c r="N86" s="8"/>
      <c r="O86" s="3"/>
    </row>
    <row r="87" ht="13.5" customHeight="1">
      <c r="A87" s="10"/>
      <c r="B87" s="10"/>
      <c r="C87" s="3"/>
      <c r="D87" s="3"/>
      <c r="E87" s="3"/>
      <c r="F87" s="10"/>
      <c r="G87" s="10"/>
      <c r="H87" s="3"/>
      <c r="I87" s="3"/>
      <c r="J87" s="10"/>
      <c r="K87" s="3"/>
      <c r="L87" s="10"/>
      <c r="M87" s="3"/>
      <c r="N87" s="8"/>
      <c r="O87" s="3"/>
    </row>
    <row r="88" ht="13.5" customHeight="1">
      <c r="A88" s="10"/>
      <c r="B88" s="10"/>
      <c r="C88" s="3"/>
      <c r="D88" s="3"/>
      <c r="E88" s="3"/>
      <c r="F88" s="10"/>
      <c r="G88" s="10"/>
      <c r="H88" s="3"/>
      <c r="I88" s="3"/>
      <c r="J88" s="10"/>
      <c r="K88" s="3"/>
      <c r="L88" s="10"/>
      <c r="M88" s="3"/>
      <c r="N88" s="8"/>
      <c r="O88" s="3"/>
    </row>
    <row r="89" ht="13.5" customHeight="1">
      <c r="A89" s="10"/>
      <c r="B89" s="10"/>
      <c r="C89" s="3"/>
      <c r="D89" s="3"/>
      <c r="E89" s="3"/>
      <c r="F89" s="10"/>
      <c r="G89" s="10"/>
      <c r="H89" s="3"/>
      <c r="I89" s="3"/>
      <c r="J89" s="10"/>
      <c r="K89" s="3"/>
      <c r="L89" s="10"/>
      <c r="M89" s="3"/>
      <c r="N89" s="8"/>
      <c r="O89" s="3"/>
    </row>
    <row r="90" ht="13.5" customHeight="1">
      <c r="A90" s="10"/>
      <c r="B90" s="10"/>
      <c r="C90" s="3"/>
      <c r="D90" s="3"/>
      <c r="E90" s="3"/>
      <c r="F90" s="10"/>
      <c r="G90" s="10"/>
      <c r="H90" s="3"/>
      <c r="I90" s="3"/>
      <c r="J90" s="10"/>
      <c r="K90" s="3"/>
      <c r="L90" s="10"/>
      <c r="M90" s="3"/>
      <c r="N90" s="8"/>
      <c r="O90" s="3"/>
    </row>
    <row r="91" ht="13.5" customHeight="1">
      <c r="A91" s="10"/>
      <c r="B91" s="10"/>
      <c r="C91" s="3"/>
      <c r="D91" s="3"/>
      <c r="E91" s="3"/>
      <c r="F91" s="10"/>
      <c r="G91" s="10"/>
      <c r="H91" s="3"/>
      <c r="I91" s="3"/>
      <c r="J91" s="10"/>
      <c r="K91" s="3"/>
      <c r="L91" s="10"/>
      <c r="M91" s="3"/>
      <c r="N91" s="8"/>
      <c r="O91" s="3"/>
    </row>
    <row r="92" ht="13.5" customHeight="1">
      <c r="A92" s="10"/>
      <c r="B92" s="10"/>
      <c r="C92" s="3"/>
      <c r="D92" s="3"/>
      <c r="E92" s="3"/>
      <c r="F92" s="10"/>
      <c r="G92" s="10"/>
      <c r="H92" s="3"/>
      <c r="I92" s="3"/>
      <c r="J92" s="10"/>
      <c r="K92" s="3"/>
      <c r="L92" s="10"/>
      <c r="M92" s="3"/>
      <c r="N92" s="8"/>
      <c r="O92" s="3"/>
    </row>
    <row r="93" ht="13.5" customHeight="1">
      <c r="A93" s="10"/>
      <c r="B93" s="10"/>
      <c r="C93" s="3"/>
      <c r="D93" s="3"/>
      <c r="E93" s="3"/>
      <c r="F93" s="10"/>
      <c r="G93" s="10"/>
      <c r="H93" s="3"/>
      <c r="I93" s="3"/>
      <c r="J93" s="10"/>
      <c r="K93" s="3"/>
      <c r="L93" s="10"/>
      <c r="M93" s="3"/>
      <c r="N93" s="8"/>
      <c r="O93" s="3"/>
    </row>
    <row r="94" ht="13.5" customHeight="1">
      <c r="A94" s="10"/>
      <c r="B94" s="10"/>
      <c r="C94" s="3"/>
      <c r="D94" s="3"/>
      <c r="E94" s="3"/>
      <c r="F94" s="10"/>
      <c r="G94" s="10"/>
      <c r="H94" s="3"/>
      <c r="I94" s="3"/>
      <c r="J94" s="10"/>
      <c r="K94" s="3"/>
      <c r="L94" s="10"/>
      <c r="M94" s="3"/>
      <c r="N94" s="8"/>
      <c r="O94" s="3"/>
    </row>
    <row r="95" ht="13.5" customHeight="1">
      <c r="A95" s="10"/>
      <c r="B95" s="10"/>
      <c r="C95" s="3"/>
      <c r="D95" s="3"/>
      <c r="E95" s="3"/>
      <c r="F95" s="10"/>
      <c r="G95" s="10"/>
      <c r="H95" s="3"/>
      <c r="I95" s="3"/>
      <c r="J95" s="10"/>
      <c r="K95" s="3"/>
      <c r="L95" s="10"/>
      <c r="M95" s="3"/>
      <c r="N95" s="8"/>
      <c r="O95" s="3"/>
    </row>
    <row r="96" ht="13.5" customHeight="1">
      <c r="A96" s="10"/>
      <c r="B96" s="10"/>
      <c r="C96" s="3"/>
      <c r="D96" s="3"/>
      <c r="E96" s="3"/>
      <c r="F96" s="10"/>
      <c r="G96" s="10"/>
      <c r="H96" s="3"/>
      <c r="I96" s="3"/>
      <c r="J96" s="10"/>
      <c r="K96" s="3"/>
      <c r="L96" s="10"/>
      <c r="M96" s="3"/>
      <c r="N96" s="8"/>
      <c r="O96" s="3"/>
    </row>
    <row r="97" ht="13.5" customHeight="1">
      <c r="A97" s="10"/>
      <c r="B97" s="10"/>
      <c r="C97" s="3"/>
      <c r="D97" s="3"/>
      <c r="E97" s="3"/>
      <c r="F97" s="10"/>
      <c r="G97" s="10"/>
      <c r="H97" s="3"/>
      <c r="I97" s="3"/>
      <c r="J97" s="10"/>
      <c r="K97" s="3"/>
      <c r="L97" s="10"/>
      <c r="M97" s="3"/>
      <c r="N97" s="8"/>
      <c r="O97" s="3"/>
    </row>
    <row r="98" ht="13.5" customHeight="1">
      <c r="A98" s="10"/>
      <c r="B98" s="10"/>
      <c r="C98" s="3"/>
      <c r="D98" s="3"/>
      <c r="E98" s="3"/>
      <c r="F98" s="10"/>
      <c r="G98" s="10"/>
      <c r="H98" s="3"/>
      <c r="I98" s="3"/>
      <c r="J98" s="10"/>
      <c r="K98" s="3"/>
      <c r="L98" s="10"/>
      <c r="M98" s="3"/>
      <c r="N98" s="8"/>
      <c r="O98" s="3"/>
    </row>
    <row r="99" ht="13.5" customHeight="1">
      <c r="A99" s="10"/>
      <c r="B99" s="10"/>
      <c r="C99" s="3"/>
      <c r="D99" s="3"/>
      <c r="E99" s="3"/>
      <c r="F99" s="10"/>
      <c r="G99" s="10"/>
      <c r="H99" s="3"/>
      <c r="I99" s="3"/>
      <c r="J99" s="10"/>
      <c r="K99" s="3"/>
      <c r="L99" s="10"/>
      <c r="M99" s="3"/>
      <c r="N99" s="8"/>
      <c r="O99" s="3"/>
    </row>
    <row r="100" ht="13.5" customHeight="1">
      <c r="A100" s="10"/>
      <c r="B100" s="10"/>
      <c r="C100" s="3"/>
      <c r="D100" s="3"/>
      <c r="E100" s="3"/>
      <c r="F100" s="10"/>
      <c r="G100" s="10"/>
      <c r="H100" s="3"/>
      <c r="I100" s="3"/>
      <c r="J100" s="10"/>
      <c r="K100" s="3"/>
      <c r="L100" s="10"/>
      <c r="M100" s="3"/>
      <c r="N100" s="8"/>
      <c r="O100" s="3"/>
    </row>
    <row r="101" ht="13.5" customHeight="1">
      <c r="A101" s="10"/>
      <c r="B101" s="10"/>
      <c r="C101" s="3"/>
      <c r="D101" s="3"/>
      <c r="E101" s="3"/>
      <c r="F101" s="10"/>
      <c r="G101" s="10"/>
      <c r="H101" s="3"/>
      <c r="I101" s="3"/>
      <c r="J101" s="10"/>
      <c r="K101" s="3"/>
      <c r="L101" s="10"/>
      <c r="M101" s="3"/>
      <c r="N101" s="8"/>
      <c r="O101" s="3"/>
    </row>
    <row r="102" ht="13.5" customHeight="1">
      <c r="A102" s="10"/>
      <c r="B102" s="10"/>
      <c r="C102" s="3"/>
      <c r="D102" s="3"/>
      <c r="E102" s="3"/>
      <c r="F102" s="10"/>
      <c r="G102" s="10"/>
      <c r="H102" s="3"/>
      <c r="I102" s="3"/>
      <c r="J102" s="10"/>
      <c r="K102" s="3"/>
      <c r="L102" s="10"/>
      <c r="M102" s="3"/>
      <c r="N102" s="8"/>
      <c r="O102" s="3"/>
    </row>
    <row r="103" ht="13.5" customHeight="1">
      <c r="A103" s="10"/>
      <c r="B103" s="10"/>
      <c r="C103" s="3"/>
      <c r="D103" s="3"/>
      <c r="E103" s="3"/>
      <c r="F103" s="10"/>
      <c r="G103" s="10"/>
      <c r="H103" s="3"/>
      <c r="I103" s="3"/>
      <c r="J103" s="10"/>
      <c r="K103" s="3"/>
      <c r="L103" s="10"/>
      <c r="M103" s="3"/>
      <c r="N103" s="8"/>
      <c r="O103" s="3"/>
    </row>
    <row r="104" ht="13.5" customHeight="1">
      <c r="A104" s="10"/>
      <c r="B104" s="10"/>
      <c r="C104" s="3"/>
      <c r="D104" s="3"/>
      <c r="E104" s="3"/>
      <c r="F104" s="10"/>
      <c r="G104" s="10"/>
      <c r="H104" s="3"/>
      <c r="I104" s="3"/>
      <c r="J104" s="10"/>
      <c r="K104" s="3"/>
      <c r="L104" s="10"/>
      <c r="M104" s="3"/>
      <c r="N104" s="8"/>
      <c r="O104" s="3"/>
    </row>
    <row r="105" ht="13.5" customHeight="1">
      <c r="A105" s="10"/>
      <c r="B105" s="10"/>
      <c r="C105" s="3"/>
      <c r="D105" s="3"/>
      <c r="E105" s="3"/>
      <c r="F105" s="10"/>
      <c r="G105" s="10"/>
      <c r="H105" s="3"/>
      <c r="I105" s="3"/>
      <c r="J105" s="10"/>
      <c r="K105" s="3"/>
      <c r="L105" s="10"/>
      <c r="M105" s="3"/>
      <c r="N105" s="8"/>
      <c r="O105" s="3"/>
    </row>
    <row r="106" ht="13.5" customHeight="1">
      <c r="A106" s="10"/>
      <c r="B106" s="10"/>
      <c r="C106" s="3"/>
      <c r="D106" s="3"/>
      <c r="E106" s="3"/>
      <c r="F106" s="10"/>
      <c r="G106" s="10"/>
      <c r="H106" s="3"/>
      <c r="I106" s="3"/>
      <c r="J106" s="10"/>
      <c r="K106" s="3"/>
      <c r="L106" s="10"/>
      <c r="M106" s="3"/>
      <c r="N106" s="8"/>
      <c r="O106" s="3"/>
    </row>
    <row r="107" ht="13.5" customHeight="1">
      <c r="A107" s="10"/>
      <c r="B107" s="10"/>
      <c r="C107" s="3"/>
      <c r="D107" s="3"/>
      <c r="E107" s="3"/>
      <c r="F107" s="10"/>
      <c r="G107" s="10"/>
      <c r="H107" s="3"/>
      <c r="I107" s="3"/>
      <c r="J107" s="10"/>
      <c r="K107" s="3"/>
      <c r="L107" s="10"/>
      <c r="M107" s="3"/>
      <c r="N107" s="8"/>
      <c r="O107" s="3"/>
    </row>
    <row r="108" ht="13.5" customHeight="1">
      <c r="A108" s="10"/>
      <c r="B108" s="10"/>
      <c r="C108" s="3"/>
      <c r="D108" s="3"/>
      <c r="E108" s="3"/>
      <c r="F108" s="10"/>
      <c r="G108" s="10"/>
      <c r="H108" s="3"/>
      <c r="I108" s="3"/>
      <c r="J108" s="10"/>
      <c r="K108" s="3"/>
      <c r="L108" s="10"/>
      <c r="M108" s="3"/>
      <c r="N108" s="8"/>
      <c r="O108" s="3"/>
    </row>
    <row r="109" ht="13.5" customHeight="1">
      <c r="A109" s="10"/>
      <c r="B109" s="10"/>
      <c r="C109" s="3"/>
      <c r="D109" s="3"/>
      <c r="E109" s="3"/>
      <c r="F109" s="10"/>
      <c r="G109" s="10"/>
      <c r="H109" s="3"/>
      <c r="I109" s="3"/>
      <c r="J109" s="10"/>
      <c r="K109" s="3"/>
      <c r="L109" s="10"/>
      <c r="M109" s="3"/>
      <c r="N109" s="8"/>
      <c r="O109" s="3"/>
    </row>
    <row r="110" ht="13.5" customHeight="1">
      <c r="A110" s="10"/>
      <c r="B110" s="10"/>
      <c r="C110" s="3"/>
      <c r="D110" s="3"/>
      <c r="E110" s="3"/>
      <c r="F110" s="10"/>
      <c r="G110" s="10"/>
      <c r="H110" s="3"/>
      <c r="I110" s="3"/>
      <c r="J110" s="10"/>
      <c r="K110" s="3"/>
      <c r="L110" s="10"/>
      <c r="M110" s="3"/>
      <c r="N110" s="8"/>
      <c r="O110" s="3"/>
    </row>
    <row r="111" ht="13.5" customHeight="1">
      <c r="A111" s="10"/>
      <c r="B111" s="10"/>
      <c r="C111" s="3"/>
      <c r="D111" s="3"/>
      <c r="E111" s="3"/>
      <c r="F111" s="10"/>
      <c r="G111" s="10"/>
      <c r="H111" s="3"/>
      <c r="I111" s="3"/>
      <c r="J111" s="10"/>
      <c r="K111" s="3"/>
      <c r="L111" s="10"/>
      <c r="M111" s="3"/>
      <c r="N111" s="8"/>
      <c r="O111" s="3"/>
    </row>
    <row r="112" ht="13.5" customHeight="1">
      <c r="A112" s="10"/>
      <c r="B112" s="10"/>
      <c r="C112" s="3"/>
      <c r="D112" s="3"/>
      <c r="E112" s="3"/>
      <c r="F112" s="10"/>
      <c r="G112" s="10"/>
      <c r="H112" s="3"/>
      <c r="I112" s="3"/>
      <c r="J112" s="10"/>
      <c r="K112" s="3"/>
      <c r="L112" s="10"/>
      <c r="M112" s="3"/>
      <c r="N112" s="8"/>
      <c r="O112" s="3"/>
    </row>
    <row r="113" ht="13.5" customHeight="1">
      <c r="A113" s="10"/>
      <c r="B113" s="10"/>
      <c r="C113" s="3"/>
      <c r="D113" s="3"/>
      <c r="E113" s="3"/>
      <c r="F113" s="10"/>
      <c r="G113" s="10"/>
      <c r="H113" s="3"/>
      <c r="I113" s="3"/>
      <c r="J113" s="10"/>
      <c r="K113" s="3"/>
      <c r="L113" s="10"/>
      <c r="M113" s="3"/>
      <c r="N113" s="8"/>
      <c r="O113" s="3"/>
    </row>
    <row r="114" ht="13.5" customHeight="1">
      <c r="A114" s="10"/>
      <c r="B114" s="10"/>
      <c r="C114" s="3"/>
      <c r="D114" s="3"/>
      <c r="E114" s="3"/>
      <c r="F114" s="10"/>
      <c r="G114" s="10"/>
      <c r="H114" s="3"/>
      <c r="I114" s="3"/>
      <c r="J114" s="10"/>
      <c r="K114" s="3"/>
      <c r="L114" s="10"/>
      <c r="M114" s="3"/>
      <c r="N114" s="8"/>
      <c r="O114" s="3"/>
    </row>
    <row r="115" ht="13.5" customHeight="1">
      <c r="A115" s="10"/>
      <c r="B115" s="10"/>
      <c r="C115" s="3"/>
      <c r="D115" s="3"/>
      <c r="E115" s="3"/>
      <c r="F115" s="10"/>
      <c r="G115" s="10"/>
      <c r="H115" s="3"/>
      <c r="I115" s="3"/>
      <c r="J115" s="10"/>
      <c r="K115" s="3"/>
      <c r="L115" s="10"/>
      <c r="M115" s="3"/>
      <c r="N115" s="8"/>
      <c r="O115" s="3"/>
    </row>
    <row r="116" ht="13.5" customHeight="1">
      <c r="A116" s="10"/>
      <c r="B116" s="10"/>
      <c r="C116" s="3"/>
      <c r="D116" s="3"/>
      <c r="E116" s="3"/>
      <c r="F116" s="10"/>
      <c r="G116" s="10"/>
      <c r="H116" s="3"/>
      <c r="I116" s="3"/>
      <c r="J116" s="10"/>
      <c r="K116" s="3"/>
      <c r="L116" s="10"/>
      <c r="M116" s="3"/>
      <c r="N116" s="8"/>
      <c r="O116" s="3"/>
    </row>
    <row r="117" ht="13.5" customHeight="1">
      <c r="A117" s="10"/>
      <c r="B117" s="10"/>
      <c r="C117" s="3"/>
      <c r="D117" s="3"/>
      <c r="E117" s="3"/>
      <c r="F117" s="10"/>
      <c r="G117" s="10"/>
      <c r="H117" s="3"/>
      <c r="I117" s="3"/>
      <c r="J117" s="10"/>
      <c r="K117" s="3"/>
      <c r="L117" s="10"/>
      <c r="M117" s="3"/>
      <c r="N117" s="8"/>
      <c r="O117" s="3"/>
    </row>
    <row r="118" ht="13.5" customHeight="1">
      <c r="A118" s="10"/>
      <c r="B118" s="10"/>
      <c r="C118" s="3"/>
      <c r="D118" s="3"/>
      <c r="E118" s="3"/>
      <c r="F118" s="10"/>
      <c r="G118" s="10"/>
      <c r="H118" s="3"/>
      <c r="I118" s="3"/>
      <c r="J118" s="10"/>
      <c r="K118" s="3"/>
      <c r="L118" s="10"/>
      <c r="M118" s="3"/>
      <c r="N118" s="8"/>
      <c r="O118" s="3"/>
    </row>
    <row r="119" ht="13.5" customHeight="1">
      <c r="A119" s="10"/>
      <c r="B119" s="10"/>
      <c r="C119" s="3"/>
      <c r="D119" s="3"/>
      <c r="E119" s="3"/>
      <c r="F119" s="10"/>
      <c r="G119" s="10"/>
      <c r="H119" s="3"/>
      <c r="I119" s="3"/>
      <c r="J119" s="10"/>
      <c r="K119" s="3"/>
      <c r="L119" s="10"/>
      <c r="M119" s="3"/>
      <c r="N119" s="8"/>
      <c r="O119" s="3"/>
    </row>
    <row r="120" ht="13.5" customHeight="1">
      <c r="A120" s="10"/>
      <c r="B120" s="10"/>
      <c r="C120" s="3"/>
      <c r="D120" s="3"/>
      <c r="E120" s="3"/>
      <c r="F120" s="10"/>
      <c r="G120" s="10"/>
      <c r="H120" s="3"/>
      <c r="I120" s="3"/>
      <c r="J120" s="10"/>
      <c r="K120" s="3"/>
      <c r="L120" s="10"/>
      <c r="M120" s="3"/>
      <c r="N120" s="8"/>
      <c r="O120" s="3"/>
    </row>
    <row r="121" ht="13.5" customHeight="1">
      <c r="A121" s="10"/>
      <c r="B121" s="10"/>
      <c r="C121" s="3"/>
      <c r="D121" s="3"/>
      <c r="E121" s="3"/>
      <c r="F121" s="10"/>
      <c r="G121" s="10"/>
      <c r="H121" s="3"/>
      <c r="I121" s="3"/>
      <c r="J121" s="10"/>
      <c r="K121" s="3"/>
      <c r="L121" s="10"/>
      <c r="M121" s="3"/>
      <c r="N121" s="8"/>
      <c r="O121" s="3"/>
    </row>
    <row r="122" ht="13.5" customHeight="1">
      <c r="A122" s="10"/>
      <c r="B122" s="10"/>
      <c r="C122" s="3"/>
      <c r="D122" s="3"/>
      <c r="E122" s="3"/>
      <c r="F122" s="10"/>
      <c r="G122" s="10"/>
      <c r="H122" s="3"/>
      <c r="I122" s="3"/>
      <c r="J122" s="10"/>
      <c r="K122" s="3"/>
      <c r="L122" s="10"/>
      <c r="M122" s="3"/>
      <c r="N122" s="8"/>
      <c r="O122" s="3"/>
    </row>
    <row r="123" ht="13.5" customHeight="1">
      <c r="A123" s="10"/>
      <c r="B123" s="10"/>
      <c r="C123" s="3"/>
      <c r="D123" s="3"/>
      <c r="E123" s="3"/>
      <c r="F123" s="10"/>
      <c r="G123" s="10"/>
      <c r="H123" s="3"/>
      <c r="I123" s="3"/>
      <c r="J123" s="10"/>
      <c r="K123" s="3"/>
      <c r="L123" s="10"/>
      <c r="M123" s="3"/>
      <c r="N123" s="8"/>
      <c r="O123" s="3"/>
    </row>
    <row r="124" ht="13.5" customHeight="1">
      <c r="A124" s="10"/>
      <c r="B124" s="10"/>
      <c r="C124" s="3"/>
      <c r="D124" s="3"/>
      <c r="E124" s="3"/>
      <c r="F124" s="10"/>
      <c r="G124" s="10"/>
      <c r="H124" s="3"/>
      <c r="I124" s="3"/>
      <c r="J124" s="10"/>
      <c r="K124" s="3"/>
      <c r="L124" s="10"/>
      <c r="M124" s="3"/>
      <c r="N124" s="8"/>
      <c r="O124" s="3"/>
    </row>
    <row r="125" ht="13.5" customHeight="1">
      <c r="A125" s="10"/>
      <c r="B125" s="10"/>
      <c r="C125" s="3"/>
      <c r="D125" s="3"/>
      <c r="E125" s="3"/>
      <c r="F125" s="10"/>
      <c r="G125" s="10"/>
      <c r="H125" s="3"/>
      <c r="I125" s="3"/>
      <c r="J125" s="10"/>
      <c r="K125" s="3"/>
      <c r="L125" s="10"/>
      <c r="M125" s="3"/>
      <c r="N125" s="8"/>
      <c r="O125" s="3"/>
    </row>
    <row r="126" ht="13.5" customHeight="1">
      <c r="A126" s="10"/>
      <c r="B126" s="10"/>
      <c r="C126" s="3"/>
      <c r="D126" s="3"/>
      <c r="E126" s="3"/>
      <c r="F126" s="10"/>
      <c r="G126" s="10"/>
      <c r="H126" s="3"/>
      <c r="I126" s="3"/>
      <c r="J126" s="10"/>
      <c r="K126" s="3"/>
      <c r="L126" s="10"/>
      <c r="M126" s="3"/>
      <c r="N126" s="8"/>
      <c r="O126" s="3"/>
    </row>
    <row r="127" ht="13.5" customHeight="1">
      <c r="A127" s="10"/>
      <c r="B127" s="10"/>
      <c r="C127" s="3"/>
      <c r="D127" s="3"/>
      <c r="E127" s="3"/>
      <c r="F127" s="10"/>
      <c r="G127" s="10"/>
      <c r="H127" s="3"/>
      <c r="I127" s="3"/>
      <c r="J127" s="10"/>
      <c r="K127" s="3"/>
      <c r="L127" s="10"/>
      <c r="M127" s="3"/>
      <c r="N127" s="8"/>
      <c r="O127" s="3"/>
    </row>
    <row r="128" ht="13.5" customHeight="1">
      <c r="A128" s="10"/>
      <c r="B128" s="10"/>
      <c r="C128" s="3"/>
      <c r="D128" s="3"/>
      <c r="E128" s="3"/>
      <c r="F128" s="10"/>
      <c r="G128" s="10"/>
      <c r="H128" s="3"/>
      <c r="I128" s="3"/>
      <c r="J128" s="10"/>
      <c r="K128" s="3"/>
      <c r="L128" s="10"/>
      <c r="M128" s="3"/>
      <c r="N128" s="8"/>
      <c r="O128" s="3"/>
    </row>
    <row r="129" ht="13.5" customHeight="1">
      <c r="A129" s="10"/>
      <c r="B129" s="10"/>
      <c r="C129" s="3"/>
      <c r="D129" s="3"/>
      <c r="E129" s="3"/>
      <c r="F129" s="10"/>
      <c r="G129" s="10"/>
      <c r="H129" s="3"/>
      <c r="I129" s="3"/>
      <c r="J129" s="10"/>
      <c r="K129" s="3"/>
      <c r="L129" s="10"/>
      <c r="M129" s="3"/>
      <c r="N129" s="8"/>
      <c r="O129" s="3"/>
    </row>
    <row r="130" ht="13.5" customHeight="1">
      <c r="A130" s="10"/>
      <c r="B130" s="10"/>
      <c r="C130" s="3"/>
      <c r="D130" s="3"/>
      <c r="E130" s="3"/>
      <c r="F130" s="10"/>
      <c r="G130" s="10"/>
      <c r="H130" s="3"/>
      <c r="I130" s="3"/>
      <c r="J130" s="10"/>
      <c r="K130" s="3"/>
      <c r="L130" s="10"/>
      <c r="M130" s="3"/>
      <c r="N130" s="8"/>
      <c r="O130" s="3"/>
    </row>
    <row r="131" ht="13.5" customHeight="1">
      <c r="A131" s="10"/>
      <c r="B131" s="10"/>
      <c r="C131" s="3"/>
      <c r="D131" s="3"/>
      <c r="E131" s="3"/>
      <c r="F131" s="10"/>
      <c r="G131" s="10"/>
      <c r="H131" s="3"/>
      <c r="I131" s="3"/>
      <c r="J131" s="10"/>
      <c r="K131" s="3"/>
      <c r="L131" s="10"/>
      <c r="M131" s="3"/>
      <c r="N131" s="8"/>
      <c r="O131" s="3"/>
    </row>
    <row r="132" ht="13.5" customHeight="1">
      <c r="A132" s="10"/>
      <c r="B132" s="10"/>
      <c r="C132" s="3"/>
      <c r="D132" s="3"/>
      <c r="E132" s="3"/>
      <c r="F132" s="10"/>
      <c r="G132" s="10"/>
      <c r="H132" s="3"/>
      <c r="I132" s="3"/>
      <c r="J132" s="10"/>
      <c r="K132" s="3"/>
      <c r="L132" s="10"/>
      <c r="M132" s="3"/>
      <c r="N132" s="8"/>
      <c r="O132" s="3"/>
    </row>
    <row r="133" ht="13.5" customHeight="1">
      <c r="A133" s="10"/>
      <c r="B133" s="10"/>
      <c r="C133" s="3"/>
      <c r="D133" s="3"/>
      <c r="E133" s="3"/>
      <c r="F133" s="10"/>
      <c r="G133" s="10"/>
      <c r="H133" s="3"/>
      <c r="I133" s="3"/>
      <c r="J133" s="10"/>
      <c r="K133" s="3"/>
      <c r="L133" s="10"/>
      <c r="M133" s="3"/>
      <c r="N133" s="8"/>
      <c r="O133" s="3"/>
    </row>
    <row r="134" ht="13.5" customHeight="1">
      <c r="A134" s="10"/>
      <c r="B134" s="10"/>
      <c r="C134" s="3"/>
      <c r="D134" s="3"/>
      <c r="E134" s="3"/>
      <c r="F134" s="10"/>
      <c r="G134" s="10"/>
      <c r="H134" s="3"/>
      <c r="I134" s="3"/>
      <c r="J134" s="10"/>
      <c r="K134" s="3"/>
      <c r="L134" s="10"/>
      <c r="M134" s="3"/>
      <c r="N134" s="8"/>
      <c r="O134" s="3"/>
    </row>
    <row r="135" ht="13.5" customHeight="1">
      <c r="A135" s="10"/>
      <c r="B135" s="10"/>
      <c r="C135" s="3"/>
      <c r="D135" s="3"/>
      <c r="E135" s="3"/>
      <c r="F135" s="10"/>
      <c r="G135" s="10"/>
      <c r="H135" s="3"/>
      <c r="I135" s="3"/>
      <c r="J135" s="10"/>
      <c r="K135" s="3"/>
      <c r="L135" s="10"/>
      <c r="M135" s="3"/>
      <c r="N135" s="8"/>
      <c r="O135" s="3"/>
    </row>
    <row r="136" ht="13.5" customHeight="1">
      <c r="A136" s="10"/>
      <c r="B136" s="10"/>
      <c r="C136" s="3"/>
      <c r="D136" s="3"/>
      <c r="E136" s="3"/>
      <c r="F136" s="10"/>
      <c r="G136" s="10"/>
      <c r="H136" s="3"/>
      <c r="I136" s="3"/>
      <c r="J136" s="10"/>
      <c r="K136" s="3"/>
      <c r="L136" s="10"/>
      <c r="M136" s="3"/>
      <c r="N136" s="8"/>
      <c r="O136" s="3"/>
    </row>
    <row r="137" ht="13.5" customHeight="1">
      <c r="A137" s="10"/>
      <c r="B137" s="10"/>
      <c r="C137" s="3"/>
      <c r="D137" s="3"/>
      <c r="E137" s="3"/>
      <c r="F137" s="10"/>
      <c r="G137" s="10"/>
      <c r="H137" s="3"/>
      <c r="I137" s="3"/>
      <c r="J137" s="10"/>
      <c r="K137" s="3"/>
      <c r="L137" s="10"/>
      <c r="M137" s="3"/>
      <c r="N137" s="8"/>
      <c r="O137" s="3"/>
    </row>
    <row r="138" ht="13.5" customHeight="1">
      <c r="A138" s="10"/>
      <c r="B138" s="10"/>
      <c r="C138" s="3"/>
      <c r="D138" s="3"/>
      <c r="E138" s="3"/>
      <c r="F138" s="10"/>
      <c r="G138" s="10"/>
      <c r="H138" s="3"/>
      <c r="I138" s="3"/>
      <c r="J138" s="10"/>
      <c r="K138" s="3"/>
      <c r="L138" s="10"/>
      <c r="M138" s="3"/>
      <c r="N138" s="8"/>
      <c r="O138" s="3"/>
    </row>
    <row r="139" ht="13.5" customHeight="1">
      <c r="A139" s="10"/>
      <c r="B139" s="10"/>
      <c r="C139" s="3"/>
      <c r="D139" s="3"/>
      <c r="E139" s="3"/>
      <c r="F139" s="10"/>
      <c r="G139" s="10"/>
      <c r="H139" s="3"/>
      <c r="I139" s="3"/>
      <c r="J139" s="10"/>
      <c r="K139" s="3"/>
      <c r="L139" s="10"/>
      <c r="M139" s="3"/>
      <c r="N139" s="8"/>
      <c r="O139" s="3"/>
    </row>
    <row r="140" ht="13.5" customHeight="1">
      <c r="A140" s="10"/>
      <c r="B140" s="10"/>
      <c r="C140" s="3"/>
      <c r="D140" s="3"/>
      <c r="E140" s="3"/>
      <c r="F140" s="10"/>
      <c r="G140" s="10"/>
      <c r="H140" s="3"/>
      <c r="I140" s="3"/>
      <c r="J140" s="10"/>
      <c r="K140" s="3"/>
      <c r="L140" s="10"/>
      <c r="M140" s="3"/>
      <c r="N140" s="8"/>
      <c r="O140" s="3"/>
    </row>
    <row r="141" ht="13.5" customHeight="1">
      <c r="A141" s="10"/>
      <c r="B141" s="10"/>
      <c r="C141" s="3"/>
      <c r="D141" s="3"/>
      <c r="E141" s="3"/>
      <c r="F141" s="10"/>
      <c r="G141" s="10"/>
      <c r="H141" s="3"/>
      <c r="I141" s="3"/>
      <c r="J141" s="10"/>
      <c r="K141" s="3"/>
      <c r="L141" s="10"/>
      <c r="M141" s="3"/>
      <c r="N141" s="8"/>
      <c r="O141" s="3"/>
    </row>
    <row r="142" ht="13.5" customHeight="1">
      <c r="A142" s="10"/>
      <c r="B142" s="10"/>
      <c r="C142" s="3"/>
      <c r="D142" s="3"/>
      <c r="E142" s="3"/>
      <c r="F142" s="10"/>
      <c r="G142" s="10"/>
      <c r="H142" s="3"/>
      <c r="I142" s="3"/>
      <c r="J142" s="10"/>
      <c r="K142" s="3"/>
      <c r="L142" s="10"/>
      <c r="M142" s="3"/>
      <c r="N142" s="8"/>
      <c r="O142" s="3"/>
    </row>
    <row r="143" ht="13.5" customHeight="1">
      <c r="A143" s="10"/>
      <c r="B143" s="10"/>
      <c r="C143" s="3"/>
      <c r="D143" s="3"/>
      <c r="E143" s="3"/>
      <c r="F143" s="10"/>
      <c r="G143" s="10"/>
      <c r="H143" s="3"/>
      <c r="I143" s="3"/>
      <c r="J143" s="10"/>
      <c r="K143" s="3"/>
      <c r="L143" s="10"/>
      <c r="M143" s="3"/>
      <c r="N143" s="8"/>
      <c r="O143" s="3"/>
    </row>
    <row r="144" ht="13.5" customHeight="1">
      <c r="A144" s="10"/>
      <c r="B144" s="10"/>
      <c r="C144" s="3"/>
      <c r="D144" s="3"/>
      <c r="E144" s="3"/>
      <c r="F144" s="10"/>
      <c r="G144" s="10"/>
      <c r="H144" s="3"/>
      <c r="I144" s="3"/>
      <c r="J144" s="10"/>
      <c r="K144" s="3"/>
      <c r="L144" s="10"/>
      <c r="M144" s="3"/>
      <c r="N144" s="8"/>
      <c r="O144" s="3"/>
    </row>
    <row r="145" ht="13.5" customHeight="1">
      <c r="A145" s="10"/>
      <c r="B145" s="10"/>
      <c r="C145" s="3"/>
      <c r="D145" s="3"/>
      <c r="E145" s="3"/>
      <c r="F145" s="10"/>
      <c r="G145" s="10"/>
      <c r="H145" s="3"/>
      <c r="I145" s="3"/>
      <c r="J145" s="10"/>
      <c r="K145" s="3"/>
      <c r="L145" s="10"/>
      <c r="M145" s="3"/>
      <c r="N145" s="8"/>
      <c r="O145" s="3"/>
    </row>
    <row r="146" ht="13.5" customHeight="1">
      <c r="A146" s="10"/>
      <c r="B146" s="10"/>
      <c r="C146" s="3"/>
      <c r="D146" s="3"/>
      <c r="E146" s="3"/>
      <c r="F146" s="10"/>
      <c r="G146" s="10"/>
      <c r="H146" s="3"/>
      <c r="I146" s="3"/>
      <c r="J146" s="10"/>
      <c r="K146" s="3"/>
      <c r="L146" s="10"/>
      <c r="M146" s="3"/>
      <c r="N146" s="8"/>
      <c r="O146" s="3"/>
    </row>
    <row r="147" ht="13.5" customHeight="1">
      <c r="A147" s="10"/>
      <c r="B147" s="10"/>
      <c r="C147" s="3"/>
      <c r="D147" s="3"/>
      <c r="E147" s="3"/>
      <c r="F147" s="10"/>
      <c r="G147" s="10"/>
      <c r="H147" s="3"/>
      <c r="I147" s="3"/>
      <c r="J147" s="10"/>
      <c r="K147" s="3"/>
      <c r="L147" s="10"/>
      <c r="M147" s="3"/>
      <c r="N147" s="8"/>
      <c r="O147" s="3"/>
    </row>
    <row r="148" ht="13.5" customHeight="1">
      <c r="A148" s="10"/>
      <c r="B148" s="10"/>
      <c r="C148" s="3"/>
      <c r="D148" s="3"/>
      <c r="E148" s="3"/>
      <c r="F148" s="10"/>
      <c r="G148" s="10"/>
      <c r="H148" s="3"/>
      <c r="I148" s="3"/>
      <c r="J148" s="10"/>
      <c r="K148" s="3"/>
      <c r="L148" s="10"/>
      <c r="M148" s="3"/>
      <c r="N148" s="8"/>
      <c r="O148" s="3"/>
    </row>
    <row r="149" ht="13.5" customHeight="1">
      <c r="A149" s="10"/>
      <c r="B149" s="10"/>
      <c r="C149" s="3"/>
      <c r="D149" s="3"/>
      <c r="E149" s="3"/>
      <c r="F149" s="10"/>
      <c r="G149" s="10"/>
      <c r="H149" s="3"/>
      <c r="I149" s="3"/>
      <c r="J149" s="10"/>
      <c r="K149" s="3"/>
      <c r="L149" s="10"/>
      <c r="M149" s="3"/>
      <c r="N149" s="8"/>
      <c r="O149" s="3"/>
    </row>
    <row r="150" ht="13.5" customHeight="1">
      <c r="A150" s="10"/>
      <c r="B150" s="10"/>
      <c r="C150" s="3"/>
      <c r="D150" s="3"/>
      <c r="E150" s="3"/>
      <c r="F150" s="10"/>
      <c r="G150" s="10"/>
      <c r="H150" s="3"/>
      <c r="I150" s="3"/>
      <c r="J150" s="10"/>
      <c r="K150" s="3"/>
      <c r="L150" s="10"/>
      <c r="M150" s="3"/>
      <c r="N150" s="8"/>
      <c r="O150" s="3"/>
    </row>
    <row r="151" ht="13.5" customHeight="1">
      <c r="A151" s="10"/>
      <c r="B151" s="10"/>
      <c r="C151" s="3"/>
      <c r="D151" s="3"/>
      <c r="E151" s="3"/>
      <c r="F151" s="10"/>
      <c r="G151" s="10"/>
      <c r="H151" s="3"/>
      <c r="I151" s="3"/>
      <c r="J151" s="10"/>
      <c r="K151" s="3"/>
      <c r="L151" s="10"/>
      <c r="M151" s="3"/>
      <c r="N151" s="8"/>
      <c r="O151" s="3"/>
    </row>
    <row r="152" ht="13.5" customHeight="1">
      <c r="A152" s="10"/>
      <c r="B152" s="10"/>
      <c r="C152" s="3"/>
      <c r="D152" s="3"/>
      <c r="E152" s="3"/>
      <c r="F152" s="10"/>
      <c r="G152" s="10"/>
      <c r="H152" s="3"/>
      <c r="I152" s="3"/>
      <c r="J152" s="10"/>
      <c r="K152" s="3"/>
      <c r="L152" s="10"/>
      <c r="M152" s="3"/>
      <c r="N152" s="8"/>
      <c r="O152" s="3"/>
    </row>
    <row r="153" ht="13.5" customHeight="1">
      <c r="A153" s="10"/>
      <c r="B153" s="10"/>
      <c r="C153" s="3"/>
      <c r="D153" s="3"/>
      <c r="E153" s="3"/>
      <c r="F153" s="10"/>
      <c r="G153" s="10"/>
      <c r="H153" s="3"/>
      <c r="I153" s="3"/>
      <c r="J153" s="10"/>
      <c r="K153" s="3"/>
      <c r="L153" s="10"/>
      <c r="M153" s="3"/>
      <c r="N153" s="8"/>
      <c r="O153" s="3"/>
    </row>
    <row r="154" ht="13.5" customHeight="1">
      <c r="A154" s="10"/>
      <c r="B154" s="10"/>
      <c r="C154" s="3"/>
      <c r="D154" s="3"/>
      <c r="E154" s="3"/>
      <c r="F154" s="10"/>
      <c r="G154" s="10"/>
      <c r="H154" s="3"/>
      <c r="I154" s="3"/>
      <c r="J154" s="10"/>
      <c r="K154" s="3"/>
      <c r="L154" s="10"/>
      <c r="M154" s="3"/>
      <c r="N154" s="8"/>
      <c r="O154" s="3"/>
    </row>
    <row r="155" ht="13.5" customHeight="1">
      <c r="A155" s="10"/>
      <c r="B155" s="10"/>
      <c r="C155" s="3"/>
      <c r="D155" s="3"/>
      <c r="E155" s="3"/>
      <c r="F155" s="10"/>
      <c r="G155" s="10"/>
      <c r="H155" s="3"/>
      <c r="I155" s="3"/>
      <c r="J155" s="10"/>
      <c r="K155" s="3"/>
      <c r="L155" s="10"/>
      <c r="M155" s="3"/>
      <c r="N155" s="8"/>
      <c r="O155" s="3"/>
    </row>
    <row r="156" ht="13.5" customHeight="1">
      <c r="A156" s="10"/>
      <c r="B156" s="10"/>
      <c r="C156" s="3"/>
      <c r="D156" s="3"/>
      <c r="E156" s="3"/>
      <c r="F156" s="10"/>
      <c r="G156" s="10"/>
      <c r="H156" s="3"/>
      <c r="I156" s="3"/>
      <c r="J156" s="10"/>
      <c r="K156" s="3"/>
      <c r="L156" s="10"/>
      <c r="M156" s="3"/>
      <c r="N156" s="8"/>
      <c r="O156" s="3"/>
    </row>
    <row r="157" ht="13.5" customHeight="1">
      <c r="A157" s="10"/>
      <c r="B157" s="10"/>
      <c r="C157" s="3"/>
      <c r="D157" s="3"/>
      <c r="E157" s="3"/>
      <c r="F157" s="10"/>
      <c r="G157" s="10"/>
      <c r="H157" s="3"/>
      <c r="I157" s="3"/>
      <c r="J157" s="10"/>
      <c r="K157" s="3"/>
      <c r="L157" s="10"/>
      <c r="M157" s="3"/>
      <c r="N157" s="8"/>
      <c r="O157" s="3"/>
    </row>
    <row r="158" ht="13.5" customHeight="1">
      <c r="A158" s="10"/>
      <c r="B158" s="10"/>
      <c r="C158" s="3"/>
      <c r="D158" s="3"/>
      <c r="E158" s="3"/>
      <c r="F158" s="10"/>
      <c r="G158" s="10"/>
      <c r="H158" s="3"/>
      <c r="I158" s="3"/>
      <c r="J158" s="10"/>
      <c r="K158" s="3"/>
      <c r="L158" s="10"/>
      <c r="M158" s="3"/>
      <c r="N158" s="8"/>
      <c r="O158" s="3"/>
    </row>
    <row r="159" ht="13.5" customHeight="1">
      <c r="A159" s="10"/>
      <c r="B159" s="10"/>
      <c r="C159" s="3"/>
      <c r="D159" s="3"/>
      <c r="E159" s="3"/>
      <c r="F159" s="10"/>
      <c r="G159" s="10"/>
      <c r="H159" s="3"/>
      <c r="I159" s="3"/>
      <c r="J159" s="10"/>
      <c r="K159" s="3"/>
      <c r="L159" s="10"/>
      <c r="M159" s="3"/>
      <c r="N159" s="8"/>
      <c r="O159" s="3"/>
    </row>
    <row r="160" ht="13.5" customHeight="1">
      <c r="A160" s="10"/>
      <c r="B160" s="10"/>
      <c r="C160" s="3"/>
      <c r="D160" s="3"/>
      <c r="E160" s="3"/>
      <c r="F160" s="10"/>
      <c r="G160" s="10"/>
      <c r="H160" s="3"/>
      <c r="I160" s="3"/>
      <c r="J160" s="10"/>
      <c r="K160" s="3"/>
      <c r="L160" s="10"/>
      <c r="M160" s="3"/>
      <c r="N160" s="8"/>
      <c r="O160" s="3"/>
    </row>
    <row r="161" ht="13.5" customHeight="1">
      <c r="A161" s="10"/>
      <c r="B161" s="10"/>
      <c r="C161" s="3"/>
      <c r="D161" s="3"/>
      <c r="E161" s="3"/>
      <c r="F161" s="10"/>
      <c r="G161" s="10"/>
      <c r="H161" s="3"/>
      <c r="I161" s="3"/>
      <c r="J161" s="10"/>
      <c r="K161" s="3"/>
      <c r="L161" s="10"/>
      <c r="M161" s="3"/>
      <c r="N161" s="8"/>
      <c r="O161" s="3"/>
    </row>
    <row r="162" ht="13.5" customHeight="1">
      <c r="A162" s="10"/>
      <c r="B162" s="10"/>
      <c r="C162" s="3"/>
      <c r="D162" s="3"/>
      <c r="E162" s="3"/>
      <c r="F162" s="10"/>
      <c r="G162" s="10"/>
      <c r="H162" s="3"/>
      <c r="I162" s="3"/>
      <c r="J162" s="10"/>
      <c r="K162" s="3"/>
      <c r="L162" s="10"/>
      <c r="M162" s="3"/>
      <c r="N162" s="8"/>
      <c r="O162" s="3"/>
    </row>
    <row r="163" ht="13.5" customHeight="1">
      <c r="A163" s="10"/>
      <c r="B163" s="10"/>
      <c r="C163" s="3"/>
      <c r="D163" s="3"/>
      <c r="E163" s="3"/>
      <c r="F163" s="10"/>
      <c r="G163" s="10"/>
      <c r="H163" s="3"/>
      <c r="I163" s="3"/>
      <c r="J163" s="10"/>
      <c r="K163" s="3"/>
      <c r="L163" s="10"/>
      <c r="M163" s="3"/>
      <c r="N163" s="8"/>
      <c r="O163" s="3"/>
    </row>
    <row r="164" ht="13.5" customHeight="1">
      <c r="A164" s="10"/>
      <c r="B164" s="10"/>
      <c r="C164" s="3"/>
      <c r="D164" s="3"/>
      <c r="E164" s="3"/>
      <c r="F164" s="10"/>
      <c r="G164" s="10"/>
      <c r="H164" s="3"/>
      <c r="I164" s="3"/>
      <c r="J164" s="10"/>
      <c r="K164" s="3"/>
      <c r="L164" s="10"/>
      <c r="M164" s="3"/>
      <c r="N164" s="8"/>
      <c r="O164" s="3"/>
    </row>
    <row r="165" ht="13.5" customHeight="1">
      <c r="A165" s="10"/>
      <c r="B165" s="10"/>
      <c r="C165" s="3"/>
      <c r="D165" s="3"/>
      <c r="E165" s="3"/>
      <c r="F165" s="10"/>
      <c r="G165" s="10"/>
      <c r="H165" s="3"/>
      <c r="I165" s="3"/>
      <c r="J165" s="10"/>
      <c r="K165" s="3"/>
      <c r="L165" s="10"/>
      <c r="M165" s="3"/>
      <c r="N165" s="8"/>
      <c r="O165" s="3"/>
    </row>
    <row r="166" ht="13.5" customHeight="1">
      <c r="A166" s="10"/>
      <c r="B166" s="10"/>
      <c r="C166" s="3"/>
      <c r="D166" s="3"/>
      <c r="E166" s="3"/>
      <c r="F166" s="10"/>
      <c r="G166" s="10"/>
      <c r="H166" s="3"/>
      <c r="I166" s="3"/>
      <c r="J166" s="10"/>
      <c r="K166" s="3"/>
      <c r="L166" s="10"/>
      <c r="M166" s="3"/>
      <c r="N166" s="8"/>
      <c r="O166" s="3"/>
    </row>
    <row r="167" ht="13.5" customHeight="1">
      <c r="A167" s="10"/>
      <c r="B167" s="10"/>
      <c r="C167" s="3"/>
      <c r="D167" s="3"/>
      <c r="E167" s="3"/>
      <c r="F167" s="10"/>
      <c r="G167" s="10"/>
      <c r="H167" s="3"/>
      <c r="I167" s="3"/>
      <c r="J167" s="10"/>
      <c r="K167" s="3"/>
      <c r="L167" s="10"/>
      <c r="M167" s="3"/>
      <c r="N167" s="8"/>
      <c r="O167" s="3"/>
    </row>
    <row r="168" ht="13.5" customHeight="1">
      <c r="A168" s="10"/>
      <c r="B168" s="10"/>
      <c r="C168" s="3"/>
      <c r="D168" s="3"/>
      <c r="E168" s="3"/>
      <c r="F168" s="10"/>
      <c r="G168" s="10"/>
      <c r="H168" s="3"/>
      <c r="I168" s="3"/>
      <c r="J168" s="10"/>
      <c r="K168" s="3"/>
      <c r="L168" s="10"/>
      <c r="M168" s="3"/>
      <c r="N168" s="8"/>
      <c r="O168" s="3"/>
    </row>
    <row r="169" ht="13.5" customHeight="1">
      <c r="A169" s="10"/>
      <c r="B169" s="10"/>
      <c r="C169" s="3"/>
      <c r="D169" s="3"/>
      <c r="E169" s="3"/>
      <c r="F169" s="10"/>
      <c r="G169" s="10"/>
      <c r="H169" s="3"/>
      <c r="I169" s="3"/>
      <c r="J169" s="10"/>
      <c r="K169" s="3"/>
      <c r="L169" s="10"/>
      <c r="M169" s="3"/>
      <c r="N169" s="8"/>
      <c r="O169" s="3"/>
    </row>
    <row r="170" ht="13.5" customHeight="1">
      <c r="A170" s="10"/>
      <c r="B170" s="10"/>
      <c r="C170" s="3"/>
      <c r="D170" s="3"/>
      <c r="E170" s="3"/>
      <c r="F170" s="10"/>
      <c r="G170" s="10"/>
      <c r="H170" s="3"/>
      <c r="I170" s="3"/>
      <c r="J170" s="10"/>
      <c r="K170" s="3"/>
      <c r="L170" s="10"/>
      <c r="M170" s="3"/>
      <c r="N170" s="8"/>
      <c r="O170" s="3"/>
    </row>
    <row r="171" ht="13.5" customHeight="1">
      <c r="A171" s="10"/>
      <c r="B171" s="10"/>
      <c r="C171" s="3"/>
      <c r="D171" s="3"/>
      <c r="E171" s="3"/>
      <c r="F171" s="10"/>
      <c r="G171" s="10"/>
      <c r="H171" s="3"/>
      <c r="I171" s="3"/>
      <c r="J171" s="10"/>
      <c r="K171" s="3"/>
      <c r="L171" s="10"/>
      <c r="M171" s="3"/>
      <c r="N171" s="8"/>
      <c r="O171" s="3"/>
    </row>
    <row r="172" ht="13.5" customHeight="1">
      <c r="A172" s="10"/>
      <c r="B172" s="10"/>
      <c r="C172" s="3"/>
      <c r="D172" s="3"/>
      <c r="E172" s="3"/>
      <c r="F172" s="10"/>
      <c r="G172" s="10"/>
      <c r="H172" s="3"/>
      <c r="I172" s="3"/>
      <c r="J172" s="10"/>
      <c r="K172" s="3"/>
      <c r="L172" s="10"/>
      <c r="M172" s="3"/>
      <c r="N172" s="8"/>
      <c r="O172" s="3"/>
    </row>
    <row r="173" ht="13.5" customHeight="1">
      <c r="A173" s="10"/>
      <c r="B173" s="10"/>
      <c r="C173" s="3"/>
      <c r="D173" s="3"/>
      <c r="E173" s="3"/>
      <c r="F173" s="10"/>
      <c r="G173" s="10"/>
      <c r="H173" s="3"/>
      <c r="I173" s="3"/>
      <c r="J173" s="10"/>
      <c r="K173" s="3"/>
      <c r="L173" s="10"/>
      <c r="M173" s="3"/>
      <c r="N173" s="8"/>
      <c r="O173" s="3"/>
    </row>
    <row r="174" ht="13.5" customHeight="1">
      <c r="A174" s="10"/>
      <c r="B174" s="10"/>
      <c r="C174" s="3"/>
      <c r="D174" s="3"/>
      <c r="E174" s="3"/>
      <c r="F174" s="10"/>
      <c r="G174" s="10"/>
      <c r="H174" s="3"/>
      <c r="I174" s="3"/>
      <c r="J174" s="10"/>
      <c r="K174" s="3"/>
      <c r="L174" s="10"/>
      <c r="M174" s="3"/>
      <c r="N174" s="8"/>
      <c r="O174" s="3"/>
    </row>
    <row r="175" ht="13.5" customHeight="1">
      <c r="A175" s="10"/>
      <c r="B175" s="10"/>
      <c r="C175" s="3"/>
      <c r="D175" s="3"/>
      <c r="E175" s="3"/>
      <c r="F175" s="10"/>
      <c r="G175" s="10"/>
      <c r="H175" s="3"/>
      <c r="I175" s="3"/>
      <c r="J175" s="10"/>
      <c r="K175" s="3"/>
      <c r="L175" s="10"/>
      <c r="M175" s="3"/>
      <c r="N175" s="8"/>
      <c r="O175" s="3"/>
    </row>
    <row r="176" ht="13.5" customHeight="1">
      <c r="A176" s="10"/>
      <c r="B176" s="10"/>
      <c r="C176" s="3"/>
      <c r="D176" s="3"/>
      <c r="E176" s="3"/>
      <c r="F176" s="10"/>
      <c r="G176" s="10"/>
      <c r="H176" s="3"/>
      <c r="I176" s="3"/>
      <c r="J176" s="10"/>
      <c r="K176" s="3"/>
      <c r="L176" s="10"/>
      <c r="M176" s="3"/>
      <c r="N176" s="8"/>
      <c r="O176" s="3"/>
    </row>
    <row r="177" ht="13.5" customHeight="1">
      <c r="A177" s="10"/>
      <c r="B177" s="10"/>
      <c r="C177" s="3"/>
      <c r="D177" s="3"/>
      <c r="E177" s="3"/>
      <c r="F177" s="10"/>
      <c r="G177" s="10"/>
      <c r="H177" s="3"/>
      <c r="I177" s="3"/>
      <c r="J177" s="10"/>
      <c r="K177" s="3"/>
      <c r="L177" s="10"/>
      <c r="M177" s="3"/>
      <c r="N177" s="8"/>
      <c r="O177" s="3"/>
    </row>
    <row r="178" ht="13.5" customHeight="1">
      <c r="A178" s="10"/>
      <c r="B178" s="10"/>
      <c r="C178" s="3"/>
      <c r="D178" s="3"/>
      <c r="E178" s="3"/>
      <c r="F178" s="10"/>
      <c r="G178" s="10"/>
      <c r="H178" s="3"/>
      <c r="I178" s="3"/>
      <c r="J178" s="10"/>
      <c r="K178" s="3"/>
      <c r="L178" s="10"/>
      <c r="M178" s="3"/>
      <c r="N178" s="8"/>
      <c r="O178" s="3"/>
    </row>
    <row r="179" ht="13.5" customHeight="1">
      <c r="A179" s="10"/>
      <c r="B179" s="10"/>
      <c r="C179" s="3"/>
      <c r="D179" s="3"/>
      <c r="E179" s="3"/>
      <c r="F179" s="10"/>
      <c r="G179" s="10"/>
      <c r="H179" s="3"/>
      <c r="I179" s="3"/>
      <c r="J179" s="10"/>
      <c r="K179" s="3"/>
      <c r="L179" s="10"/>
      <c r="M179" s="3"/>
      <c r="N179" s="8"/>
      <c r="O179" s="3"/>
    </row>
    <row r="180" ht="13.5" customHeight="1">
      <c r="A180" s="10"/>
      <c r="B180" s="10"/>
      <c r="C180" s="3"/>
      <c r="D180" s="3"/>
      <c r="E180" s="3"/>
      <c r="F180" s="10"/>
      <c r="G180" s="10"/>
      <c r="H180" s="3"/>
      <c r="I180" s="3"/>
      <c r="J180" s="10"/>
      <c r="K180" s="3"/>
      <c r="L180" s="10"/>
      <c r="M180" s="3"/>
      <c r="N180" s="8"/>
      <c r="O180" s="3"/>
    </row>
    <row r="181" ht="13.5" customHeight="1">
      <c r="A181" s="10"/>
      <c r="B181" s="10"/>
      <c r="C181" s="3"/>
      <c r="D181" s="3"/>
      <c r="E181" s="3"/>
      <c r="F181" s="10"/>
      <c r="G181" s="10"/>
      <c r="H181" s="3"/>
      <c r="I181" s="3"/>
      <c r="J181" s="10"/>
      <c r="K181" s="3"/>
      <c r="L181" s="10"/>
      <c r="M181" s="3"/>
      <c r="N181" s="8"/>
      <c r="O181" s="3"/>
    </row>
    <row r="182" ht="13.5" customHeight="1">
      <c r="A182" s="10"/>
      <c r="B182" s="10"/>
      <c r="C182" s="3"/>
      <c r="D182" s="3"/>
      <c r="E182" s="3"/>
      <c r="F182" s="10"/>
      <c r="G182" s="10"/>
      <c r="H182" s="3"/>
      <c r="I182" s="3"/>
      <c r="J182" s="10"/>
      <c r="K182" s="3"/>
      <c r="L182" s="10"/>
      <c r="M182" s="3"/>
      <c r="N182" s="8"/>
      <c r="O182" s="3"/>
    </row>
    <row r="183" ht="13.5" customHeight="1">
      <c r="A183" s="10"/>
      <c r="B183" s="10"/>
      <c r="C183" s="3"/>
      <c r="D183" s="3"/>
      <c r="E183" s="3"/>
      <c r="F183" s="10"/>
      <c r="G183" s="10"/>
      <c r="H183" s="3"/>
      <c r="I183" s="3"/>
      <c r="J183" s="10"/>
      <c r="K183" s="3"/>
      <c r="L183" s="10"/>
      <c r="M183" s="3"/>
      <c r="N183" s="8"/>
      <c r="O183" s="3"/>
    </row>
    <row r="184" ht="13.5" customHeight="1">
      <c r="A184" s="10"/>
      <c r="B184" s="10"/>
      <c r="C184" s="3"/>
      <c r="D184" s="3"/>
      <c r="E184" s="3"/>
      <c r="F184" s="10"/>
      <c r="G184" s="10"/>
      <c r="H184" s="3"/>
      <c r="I184" s="3"/>
      <c r="J184" s="10"/>
      <c r="K184" s="3"/>
      <c r="L184" s="10"/>
      <c r="M184" s="3"/>
      <c r="N184" s="8"/>
      <c r="O184" s="3"/>
    </row>
    <row r="185" ht="13.5" customHeight="1">
      <c r="A185" s="10"/>
      <c r="B185" s="10"/>
      <c r="C185" s="3"/>
      <c r="D185" s="3"/>
      <c r="E185" s="3"/>
      <c r="F185" s="10"/>
      <c r="G185" s="10"/>
      <c r="H185" s="3"/>
      <c r="I185" s="3"/>
      <c r="J185" s="10"/>
      <c r="K185" s="3"/>
      <c r="L185" s="10"/>
      <c r="M185" s="3"/>
      <c r="N185" s="8"/>
      <c r="O185" s="3"/>
    </row>
    <row r="186" ht="13.5" customHeight="1">
      <c r="A186" s="10"/>
      <c r="B186" s="10"/>
      <c r="C186" s="3"/>
      <c r="D186" s="3"/>
      <c r="E186" s="3"/>
      <c r="F186" s="10"/>
      <c r="G186" s="10"/>
      <c r="H186" s="3"/>
      <c r="I186" s="3"/>
      <c r="J186" s="10"/>
      <c r="K186" s="3"/>
      <c r="L186" s="10"/>
      <c r="M186" s="3"/>
      <c r="N186" s="8"/>
      <c r="O186" s="3"/>
    </row>
    <row r="187" ht="13.5" customHeight="1">
      <c r="A187" s="10"/>
      <c r="B187" s="10"/>
      <c r="C187" s="3"/>
      <c r="D187" s="3"/>
      <c r="E187" s="3"/>
      <c r="F187" s="10"/>
      <c r="G187" s="10"/>
      <c r="H187" s="3"/>
      <c r="I187" s="3"/>
      <c r="J187" s="10"/>
      <c r="K187" s="3"/>
      <c r="L187" s="10"/>
      <c r="M187" s="3"/>
      <c r="N187" s="8"/>
      <c r="O187" s="3"/>
    </row>
    <row r="188" ht="13.5" customHeight="1">
      <c r="A188" s="10"/>
      <c r="B188" s="10"/>
      <c r="C188" s="3"/>
      <c r="D188" s="3"/>
      <c r="E188" s="3"/>
      <c r="F188" s="10"/>
      <c r="G188" s="10"/>
      <c r="H188" s="3"/>
      <c r="I188" s="3"/>
      <c r="J188" s="10"/>
      <c r="K188" s="3"/>
      <c r="L188" s="10"/>
      <c r="M188" s="3"/>
      <c r="N188" s="8"/>
      <c r="O188" s="3"/>
    </row>
    <row r="189" ht="13.5" customHeight="1">
      <c r="A189" s="10"/>
      <c r="B189" s="10"/>
      <c r="C189" s="3"/>
      <c r="D189" s="3"/>
      <c r="E189" s="3"/>
      <c r="F189" s="10"/>
      <c r="G189" s="10"/>
      <c r="H189" s="3"/>
      <c r="I189" s="3"/>
      <c r="J189" s="10"/>
      <c r="K189" s="3"/>
      <c r="L189" s="10"/>
      <c r="M189" s="3"/>
      <c r="N189" s="8"/>
      <c r="O189" s="3"/>
    </row>
    <row r="190" ht="13.5" customHeight="1">
      <c r="A190" s="10"/>
      <c r="B190" s="10"/>
      <c r="C190" s="3"/>
      <c r="D190" s="3"/>
      <c r="E190" s="3"/>
      <c r="F190" s="10"/>
      <c r="G190" s="10"/>
      <c r="H190" s="3"/>
      <c r="I190" s="3"/>
      <c r="J190" s="10"/>
      <c r="K190" s="3"/>
      <c r="L190" s="10"/>
      <c r="M190" s="3"/>
      <c r="N190" s="8"/>
      <c r="O190" s="3"/>
    </row>
    <row r="191" ht="13.5" customHeight="1">
      <c r="A191" s="10"/>
      <c r="B191" s="10"/>
      <c r="C191" s="3"/>
      <c r="D191" s="3"/>
      <c r="E191" s="3"/>
      <c r="F191" s="10"/>
      <c r="G191" s="10"/>
      <c r="H191" s="3"/>
      <c r="I191" s="3"/>
      <c r="J191" s="10"/>
      <c r="K191" s="3"/>
      <c r="L191" s="10"/>
      <c r="M191" s="3"/>
      <c r="N191" s="8"/>
      <c r="O191" s="3"/>
    </row>
    <row r="192" ht="13.5" customHeight="1">
      <c r="A192" s="10"/>
      <c r="B192" s="10"/>
      <c r="C192" s="3"/>
      <c r="D192" s="3"/>
      <c r="E192" s="3"/>
      <c r="F192" s="10"/>
      <c r="G192" s="10"/>
      <c r="H192" s="3"/>
      <c r="I192" s="3"/>
      <c r="J192" s="10"/>
      <c r="K192" s="3"/>
      <c r="L192" s="10"/>
      <c r="M192" s="3"/>
      <c r="N192" s="8"/>
      <c r="O192" s="3"/>
    </row>
    <row r="193" ht="13.5" customHeight="1">
      <c r="A193" s="10"/>
      <c r="B193" s="10"/>
      <c r="C193" s="3"/>
      <c r="D193" s="3"/>
      <c r="E193" s="3"/>
      <c r="F193" s="10"/>
      <c r="G193" s="10"/>
      <c r="H193" s="3"/>
      <c r="I193" s="3"/>
      <c r="J193" s="10"/>
      <c r="K193" s="3"/>
      <c r="L193" s="10"/>
      <c r="M193" s="3"/>
      <c r="N193" s="8"/>
      <c r="O193" s="3"/>
    </row>
    <row r="194" ht="13.5" customHeight="1">
      <c r="A194" s="10"/>
      <c r="B194" s="10"/>
      <c r="C194" s="3"/>
      <c r="D194" s="3"/>
      <c r="E194" s="3"/>
      <c r="F194" s="10"/>
      <c r="G194" s="10"/>
      <c r="H194" s="3"/>
      <c r="I194" s="3"/>
      <c r="J194" s="10"/>
      <c r="K194" s="3"/>
      <c r="L194" s="10"/>
      <c r="M194" s="3"/>
      <c r="N194" s="8"/>
      <c r="O194" s="3"/>
    </row>
    <row r="195" ht="13.5" customHeight="1">
      <c r="A195" s="10"/>
      <c r="B195" s="10"/>
      <c r="C195" s="3"/>
      <c r="D195" s="3"/>
      <c r="E195" s="3"/>
      <c r="F195" s="10"/>
      <c r="G195" s="10"/>
      <c r="H195" s="3"/>
      <c r="I195" s="3"/>
      <c r="J195" s="10"/>
      <c r="K195" s="3"/>
      <c r="L195" s="10"/>
      <c r="M195" s="3"/>
      <c r="N195" s="8"/>
      <c r="O195" s="3"/>
    </row>
    <row r="196" ht="13.5" customHeight="1">
      <c r="A196" s="10"/>
      <c r="B196" s="10"/>
      <c r="C196" s="3"/>
      <c r="D196" s="3"/>
      <c r="E196" s="3"/>
      <c r="F196" s="10"/>
      <c r="G196" s="10"/>
      <c r="H196" s="3"/>
      <c r="I196" s="3"/>
      <c r="J196" s="10"/>
      <c r="K196" s="3"/>
      <c r="L196" s="10"/>
      <c r="M196" s="3"/>
      <c r="N196" s="8"/>
      <c r="O196" s="3"/>
    </row>
    <row r="197" ht="13.5" customHeight="1">
      <c r="A197" s="10"/>
      <c r="B197" s="10"/>
      <c r="C197" s="3"/>
      <c r="D197" s="3"/>
      <c r="E197" s="3"/>
      <c r="F197" s="10"/>
      <c r="G197" s="10"/>
      <c r="H197" s="3"/>
      <c r="I197" s="3"/>
      <c r="J197" s="10"/>
      <c r="K197" s="3"/>
      <c r="L197" s="10"/>
      <c r="M197" s="3"/>
      <c r="N197" s="8"/>
      <c r="O197" s="3"/>
    </row>
    <row r="198" ht="13.5" customHeight="1">
      <c r="A198" s="10"/>
      <c r="B198" s="10"/>
      <c r="C198" s="3"/>
      <c r="D198" s="3"/>
      <c r="E198" s="3"/>
      <c r="F198" s="10"/>
      <c r="G198" s="10"/>
      <c r="H198" s="3"/>
      <c r="I198" s="3"/>
      <c r="J198" s="10"/>
      <c r="K198" s="3"/>
      <c r="L198" s="10"/>
      <c r="M198" s="3"/>
      <c r="N198" s="8"/>
      <c r="O198" s="3"/>
    </row>
    <row r="199" ht="13.5" customHeight="1">
      <c r="A199" s="10"/>
      <c r="B199" s="10"/>
      <c r="C199" s="3"/>
      <c r="D199" s="3"/>
      <c r="E199" s="3"/>
      <c r="F199" s="10"/>
      <c r="G199" s="10"/>
      <c r="H199" s="3"/>
      <c r="I199" s="3"/>
      <c r="J199" s="10"/>
      <c r="K199" s="3"/>
      <c r="L199" s="10"/>
      <c r="M199" s="3"/>
      <c r="N199" s="8"/>
      <c r="O199" s="3"/>
    </row>
    <row r="200" ht="13.5" customHeight="1">
      <c r="A200" s="10"/>
      <c r="B200" s="10"/>
      <c r="C200" s="3"/>
      <c r="D200" s="3"/>
      <c r="E200" s="3"/>
      <c r="F200" s="10"/>
      <c r="G200" s="10"/>
      <c r="H200" s="3"/>
      <c r="I200" s="3"/>
      <c r="J200" s="10"/>
      <c r="K200" s="3"/>
      <c r="L200" s="10"/>
      <c r="M200" s="3"/>
      <c r="N200" s="8"/>
      <c r="O200" s="3"/>
    </row>
    <row r="201" ht="13.5" customHeight="1">
      <c r="A201" s="10"/>
      <c r="B201" s="10"/>
      <c r="C201" s="3"/>
      <c r="D201" s="3"/>
      <c r="E201" s="3"/>
      <c r="F201" s="10"/>
      <c r="G201" s="10"/>
      <c r="H201" s="3"/>
      <c r="I201" s="3"/>
      <c r="J201" s="10"/>
      <c r="K201" s="3"/>
      <c r="L201" s="10"/>
      <c r="M201" s="3"/>
      <c r="N201" s="8"/>
      <c r="O201" s="3"/>
    </row>
    <row r="202" ht="13.5" customHeight="1">
      <c r="A202" s="87"/>
      <c r="B202" s="87"/>
      <c r="F202" s="87"/>
      <c r="G202" s="87"/>
      <c r="J202" s="87"/>
      <c r="L202" s="87"/>
    </row>
    <row r="203" ht="13.5" customHeight="1">
      <c r="A203" s="87"/>
      <c r="B203" s="87"/>
      <c r="F203" s="87"/>
      <c r="G203" s="87"/>
      <c r="J203" s="87"/>
      <c r="L203" s="87"/>
    </row>
    <row r="204" ht="13.5" customHeight="1">
      <c r="A204" s="87"/>
      <c r="B204" s="87"/>
      <c r="F204" s="87"/>
      <c r="G204" s="87"/>
      <c r="J204" s="87"/>
      <c r="L204" s="87"/>
    </row>
    <row r="205" ht="13.5" customHeight="1">
      <c r="A205" s="87"/>
      <c r="B205" s="87"/>
      <c r="F205" s="87"/>
      <c r="G205" s="87"/>
      <c r="J205" s="87"/>
      <c r="L205" s="87"/>
    </row>
    <row r="206" ht="13.5" customHeight="1">
      <c r="A206" s="87"/>
      <c r="B206" s="87"/>
      <c r="F206" s="87"/>
      <c r="G206" s="87"/>
      <c r="J206" s="87"/>
      <c r="L206" s="87"/>
    </row>
    <row r="207" ht="13.5" customHeight="1">
      <c r="A207" s="87"/>
      <c r="B207" s="87"/>
      <c r="F207" s="87"/>
      <c r="G207" s="87"/>
      <c r="J207" s="87"/>
      <c r="L207" s="87"/>
    </row>
    <row r="208" ht="13.5" customHeight="1">
      <c r="A208" s="87"/>
      <c r="B208" s="87"/>
      <c r="F208" s="87"/>
      <c r="G208" s="87"/>
      <c r="J208" s="87"/>
      <c r="L208" s="87"/>
    </row>
    <row r="209" ht="13.5" customHeight="1">
      <c r="A209" s="87"/>
      <c r="B209" s="87"/>
      <c r="F209" s="87"/>
      <c r="G209" s="87"/>
      <c r="J209" s="87"/>
      <c r="L209" s="87"/>
    </row>
    <row r="210" ht="13.5" customHeight="1">
      <c r="A210" s="87"/>
      <c r="B210" s="87"/>
      <c r="F210" s="87"/>
      <c r="G210" s="87"/>
      <c r="J210" s="87"/>
      <c r="L210" s="87"/>
    </row>
    <row r="211" ht="13.5" customHeight="1">
      <c r="A211" s="87"/>
      <c r="B211" s="87"/>
      <c r="F211" s="87"/>
      <c r="G211" s="87"/>
      <c r="J211" s="87"/>
      <c r="L211" s="87"/>
    </row>
    <row r="212" ht="13.5" customHeight="1">
      <c r="A212" s="87"/>
      <c r="B212" s="87"/>
      <c r="F212" s="87"/>
      <c r="G212" s="87"/>
      <c r="J212" s="87"/>
      <c r="L212" s="87"/>
    </row>
    <row r="213" ht="13.5" customHeight="1">
      <c r="A213" s="87"/>
      <c r="B213" s="87"/>
      <c r="F213" s="87"/>
      <c r="G213" s="87"/>
      <c r="J213" s="87"/>
      <c r="L213" s="87"/>
    </row>
    <row r="214" ht="13.5" customHeight="1">
      <c r="A214" s="87"/>
      <c r="B214" s="87"/>
      <c r="F214" s="87"/>
      <c r="G214" s="87"/>
      <c r="J214" s="87"/>
      <c r="L214" s="87"/>
    </row>
    <row r="215" ht="13.5" customHeight="1">
      <c r="A215" s="87"/>
      <c r="B215" s="87"/>
      <c r="F215" s="87"/>
      <c r="G215" s="87"/>
      <c r="J215" s="87"/>
      <c r="L215" s="87"/>
    </row>
    <row r="216" ht="13.5" customHeight="1">
      <c r="A216" s="87"/>
      <c r="B216" s="87"/>
      <c r="F216" s="87"/>
      <c r="G216" s="87"/>
      <c r="J216" s="87"/>
      <c r="L216" s="87"/>
    </row>
    <row r="217" ht="13.5" customHeight="1">
      <c r="A217" s="87"/>
      <c r="B217" s="87"/>
      <c r="F217" s="87"/>
      <c r="G217" s="87"/>
      <c r="J217" s="87"/>
      <c r="L217" s="87"/>
    </row>
    <row r="218" ht="13.5" customHeight="1">
      <c r="A218" s="87"/>
      <c r="B218" s="87"/>
      <c r="F218" s="87"/>
      <c r="G218" s="87"/>
      <c r="J218" s="87"/>
      <c r="L218" s="87"/>
    </row>
    <row r="219" ht="13.5" customHeight="1">
      <c r="A219" s="87"/>
      <c r="B219" s="87"/>
      <c r="F219" s="87"/>
      <c r="G219" s="87"/>
      <c r="J219" s="87"/>
      <c r="L219" s="87"/>
    </row>
    <row r="220" ht="13.5" customHeight="1">
      <c r="A220" s="87"/>
      <c r="B220" s="87"/>
      <c r="F220" s="87"/>
      <c r="G220" s="87"/>
      <c r="J220" s="87"/>
      <c r="L220" s="87"/>
    </row>
    <row r="221" ht="13.5" customHeight="1">
      <c r="A221" s="87"/>
      <c r="B221" s="87"/>
      <c r="F221" s="87"/>
      <c r="G221" s="87"/>
      <c r="J221" s="87"/>
      <c r="L221" s="87"/>
    </row>
    <row r="222" ht="13.5" customHeight="1">
      <c r="A222" s="87"/>
      <c r="B222" s="87"/>
      <c r="F222" s="87"/>
      <c r="G222" s="87"/>
      <c r="J222" s="87"/>
      <c r="L222" s="87"/>
    </row>
    <row r="223" ht="13.5" customHeight="1">
      <c r="A223" s="87"/>
      <c r="B223" s="87"/>
      <c r="F223" s="87"/>
      <c r="G223" s="87"/>
      <c r="J223" s="87"/>
      <c r="L223" s="87"/>
    </row>
    <row r="224" ht="13.5" customHeight="1">
      <c r="A224" s="87"/>
      <c r="B224" s="87"/>
      <c r="F224" s="87"/>
      <c r="G224" s="87"/>
      <c r="J224" s="87"/>
      <c r="L224" s="87"/>
    </row>
    <row r="225" ht="13.5" customHeight="1">
      <c r="A225" s="87"/>
      <c r="B225" s="87"/>
      <c r="F225" s="87"/>
      <c r="G225" s="87"/>
      <c r="J225" s="87"/>
      <c r="L225" s="87"/>
    </row>
    <row r="226" ht="13.5" customHeight="1">
      <c r="A226" s="87"/>
      <c r="B226" s="87"/>
      <c r="F226" s="87"/>
      <c r="G226" s="87"/>
      <c r="J226" s="87"/>
      <c r="L226" s="87"/>
    </row>
    <row r="227" ht="13.5" customHeight="1">
      <c r="A227" s="87"/>
      <c r="B227" s="87"/>
      <c r="F227" s="87"/>
      <c r="G227" s="87"/>
      <c r="J227" s="87"/>
      <c r="L227" s="87"/>
    </row>
    <row r="228" ht="13.5" customHeight="1">
      <c r="A228" s="87"/>
      <c r="B228" s="87"/>
      <c r="F228" s="87"/>
      <c r="G228" s="87"/>
      <c r="J228" s="87"/>
      <c r="L228" s="87"/>
    </row>
    <row r="229" ht="13.5" customHeight="1">
      <c r="A229" s="87"/>
      <c r="B229" s="87"/>
      <c r="F229" s="87"/>
      <c r="G229" s="87"/>
      <c r="J229" s="87"/>
      <c r="L229" s="87"/>
    </row>
    <row r="230" ht="13.5" customHeight="1">
      <c r="A230" s="87"/>
      <c r="B230" s="87"/>
      <c r="F230" s="87"/>
      <c r="G230" s="87"/>
      <c r="J230" s="87"/>
      <c r="L230" s="87"/>
    </row>
    <row r="231" ht="13.5" customHeight="1">
      <c r="A231" s="87"/>
      <c r="B231" s="87"/>
      <c r="F231" s="87"/>
      <c r="G231" s="87"/>
      <c r="J231" s="87"/>
      <c r="L231" s="87"/>
    </row>
    <row r="232" ht="13.5" customHeight="1">
      <c r="A232" s="87"/>
      <c r="B232" s="87"/>
      <c r="F232" s="87"/>
      <c r="G232" s="87"/>
      <c r="J232" s="87"/>
      <c r="L232" s="87"/>
    </row>
    <row r="233" ht="13.5" customHeight="1">
      <c r="A233" s="87"/>
      <c r="B233" s="87"/>
      <c r="F233" s="87"/>
      <c r="G233" s="87"/>
      <c r="J233" s="87"/>
      <c r="L233" s="87"/>
    </row>
    <row r="234" ht="13.5" customHeight="1">
      <c r="A234" s="87"/>
      <c r="B234" s="87"/>
      <c r="F234" s="87"/>
      <c r="G234" s="87"/>
      <c r="J234" s="87"/>
      <c r="L234" s="87"/>
    </row>
    <row r="235" ht="13.5" customHeight="1">
      <c r="A235" s="87"/>
      <c r="B235" s="87"/>
      <c r="F235" s="87"/>
      <c r="G235" s="87"/>
      <c r="J235" s="87"/>
      <c r="L235" s="87"/>
    </row>
    <row r="236" ht="13.5" customHeight="1">
      <c r="A236" s="87"/>
      <c r="B236" s="87"/>
      <c r="F236" s="87"/>
      <c r="G236" s="87"/>
      <c r="J236" s="87"/>
      <c r="L236" s="87"/>
    </row>
    <row r="237" ht="13.5" customHeight="1">
      <c r="A237" s="87"/>
      <c r="B237" s="87"/>
      <c r="F237" s="87"/>
      <c r="G237" s="87"/>
      <c r="J237" s="87"/>
      <c r="L237" s="87"/>
    </row>
    <row r="238" ht="13.5" customHeight="1">
      <c r="A238" s="87"/>
      <c r="B238" s="87"/>
      <c r="F238" s="87"/>
      <c r="G238" s="87"/>
      <c r="J238" s="87"/>
      <c r="L238" s="87"/>
    </row>
    <row r="239" ht="13.5" customHeight="1">
      <c r="A239" s="87"/>
      <c r="B239" s="87"/>
      <c r="F239" s="87"/>
      <c r="G239" s="87"/>
      <c r="J239" s="87"/>
      <c r="L239" s="87"/>
    </row>
    <row r="240" ht="13.5" customHeight="1">
      <c r="A240" s="87"/>
      <c r="B240" s="87"/>
      <c r="F240" s="87"/>
      <c r="G240" s="87"/>
      <c r="J240" s="87"/>
      <c r="L240" s="87"/>
    </row>
    <row r="241" ht="13.5" customHeight="1">
      <c r="A241" s="87"/>
      <c r="B241" s="87"/>
      <c r="F241" s="87"/>
      <c r="G241" s="87"/>
      <c r="J241" s="87"/>
      <c r="L241" s="87"/>
    </row>
    <row r="242" ht="13.5" customHeight="1">
      <c r="A242" s="87"/>
      <c r="B242" s="87"/>
      <c r="F242" s="87"/>
      <c r="G242" s="87"/>
      <c r="J242" s="87"/>
      <c r="L242" s="87"/>
    </row>
    <row r="243" ht="13.5" customHeight="1">
      <c r="A243" s="87"/>
      <c r="B243" s="87"/>
      <c r="F243" s="87"/>
      <c r="G243" s="87"/>
      <c r="J243" s="87"/>
      <c r="L243" s="87"/>
    </row>
    <row r="244" ht="13.5" customHeight="1">
      <c r="A244" s="87"/>
      <c r="B244" s="87"/>
      <c r="F244" s="87"/>
      <c r="G244" s="87"/>
      <c r="J244" s="87"/>
      <c r="L244" s="87"/>
    </row>
    <row r="245" ht="13.5" customHeight="1">
      <c r="A245" s="87"/>
      <c r="B245" s="87"/>
      <c r="F245" s="87"/>
      <c r="G245" s="87"/>
      <c r="J245" s="87"/>
      <c r="L245" s="87"/>
    </row>
    <row r="246" ht="13.5" customHeight="1">
      <c r="A246" s="87"/>
      <c r="B246" s="87"/>
      <c r="F246" s="87"/>
      <c r="G246" s="87"/>
      <c r="J246" s="87"/>
      <c r="L246" s="87"/>
    </row>
    <row r="247" ht="13.5" customHeight="1">
      <c r="A247" s="87"/>
      <c r="B247" s="87"/>
      <c r="F247" s="87"/>
      <c r="G247" s="87"/>
      <c r="J247" s="87"/>
      <c r="L247" s="87"/>
    </row>
    <row r="248" ht="13.5" customHeight="1">
      <c r="A248" s="87"/>
      <c r="B248" s="87"/>
      <c r="F248" s="87"/>
      <c r="G248" s="87"/>
      <c r="J248" s="87"/>
      <c r="L248" s="87"/>
    </row>
    <row r="249" ht="13.5" customHeight="1">
      <c r="A249" s="87"/>
      <c r="B249" s="87"/>
      <c r="F249" s="87"/>
      <c r="G249" s="87"/>
      <c r="J249" s="87"/>
      <c r="L249" s="87"/>
    </row>
    <row r="250" ht="13.5" customHeight="1">
      <c r="A250" s="87"/>
      <c r="B250" s="87"/>
      <c r="F250" s="87"/>
      <c r="G250" s="87"/>
      <c r="J250" s="87"/>
      <c r="L250" s="87"/>
    </row>
    <row r="251" ht="13.5" customHeight="1">
      <c r="A251" s="87"/>
      <c r="B251" s="87"/>
      <c r="F251" s="87"/>
      <c r="G251" s="87"/>
      <c r="J251" s="87"/>
      <c r="L251" s="87"/>
    </row>
    <row r="252" ht="13.5" customHeight="1">
      <c r="A252" s="87"/>
      <c r="B252" s="87"/>
      <c r="F252" s="87"/>
      <c r="G252" s="87"/>
      <c r="J252" s="87"/>
      <c r="L252" s="87"/>
    </row>
    <row r="253" ht="13.5" customHeight="1">
      <c r="A253" s="87"/>
      <c r="B253" s="87"/>
      <c r="F253" s="87"/>
      <c r="G253" s="87"/>
      <c r="J253" s="87"/>
      <c r="L253" s="87"/>
    </row>
    <row r="254" ht="13.5" customHeight="1">
      <c r="A254" s="87"/>
      <c r="B254" s="87"/>
      <c r="F254" s="87"/>
      <c r="G254" s="87"/>
      <c r="J254" s="87"/>
      <c r="L254" s="87"/>
    </row>
    <row r="255" ht="13.5" customHeight="1">
      <c r="A255" s="87"/>
      <c r="B255" s="87"/>
      <c r="F255" s="87"/>
      <c r="G255" s="87"/>
      <c r="J255" s="87"/>
      <c r="L255" s="87"/>
    </row>
    <row r="256" ht="13.5" customHeight="1">
      <c r="A256" s="87"/>
      <c r="B256" s="87"/>
      <c r="F256" s="87"/>
      <c r="G256" s="87"/>
      <c r="J256" s="87"/>
      <c r="L256" s="87"/>
    </row>
    <row r="257" ht="13.5" customHeight="1">
      <c r="A257" s="87"/>
      <c r="B257" s="87"/>
      <c r="F257" s="87"/>
      <c r="G257" s="87"/>
      <c r="J257" s="87"/>
      <c r="L257" s="87"/>
    </row>
    <row r="258" ht="13.5" customHeight="1">
      <c r="A258" s="87"/>
      <c r="B258" s="87"/>
      <c r="F258" s="87"/>
      <c r="G258" s="87"/>
      <c r="J258" s="87"/>
      <c r="L258" s="87"/>
    </row>
    <row r="259" ht="13.5" customHeight="1">
      <c r="A259" s="87"/>
      <c r="B259" s="87"/>
      <c r="F259" s="87"/>
      <c r="G259" s="87"/>
      <c r="J259" s="87"/>
      <c r="L259" s="87"/>
    </row>
    <row r="260" ht="13.5" customHeight="1">
      <c r="A260" s="87"/>
      <c r="B260" s="87"/>
      <c r="F260" s="87"/>
      <c r="G260" s="87"/>
      <c r="J260" s="87"/>
      <c r="L260" s="87"/>
    </row>
    <row r="261" ht="13.5" customHeight="1">
      <c r="A261" s="87"/>
      <c r="B261" s="87"/>
      <c r="F261" s="87"/>
      <c r="G261" s="87"/>
      <c r="J261" s="87"/>
      <c r="L261" s="87"/>
    </row>
    <row r="262" ht="13.5" customHeight="1">
      <c r="A262" s="87"/>
      <c r="B262" s="87"/>
      <c r="F262" s="87"/>
      <c r="G262" s="87"/>
      <c r="J262" s="87"/>
      <c r="L262" s="87"/>
    </row>
    <row r="263" ht="13.5" customHeight="1">
      <c r="A263" s="87"/>
      <c r="B263" s="87"/>
      <c r="F263" s="87"/>
      <c r="G263" s="87"/>
      <c r="J263" s="87"/>
      <c r="L263" s="87"/>
    </row>
    <row r="264" ht="13.5" customHeight="1">
      <c r="A264" s="87"/>
      <c r="B264" s="87"/>
      <c r="F264" s="87"/>
      <c r="G264" s="87"/>
      <c r="J264" s="87"/>
      <c r="L264" s="87"/>
    </row>
    <row r="265" ht="13.5" customHeight="1">
      <c r="A265" s="87"/>
      <c r="B265" s="87"/>
      <c r="F265" s="87"/>
      <c r="G265" s="87"/>
      <c r="J265" s="87"/>
      <c r="L265" s="87"/>
    </row>
    <row r="266" ht="13.5" customHeight="1">
      <c r="A266" s="87"/>
      <c r="B266" s="87"/>
      <c r="F266" s="87"/>
      <c r="G266" s="87"/>
      <c r="J266" s="87"/>
      <c r="L266" s="87"/>
    </row>
    <row r="267" ht="13.5" customHeight="1">
      <c r="A267" s="87"/>
      <c r="B267" s="87"/>
      <c r="F267" s="87"/>
      <c r="G267" s="87"/>
      <c r="J267" s="87"/>
      <c r="L267" s="87"/>
    </row>
    <row r="268" ht="13.5" customHeight="1">
      <c r="A268" s="87"/>
      <c r="B268" s="87"/>
      <c r="F268" s="87"/>
      <c r="G268" s="87"/>
      <c r="J268" s="87"/>
      <c r="L268" s="87"/>
    </row>
    <row r="269" ht="13.5" customHeight="1">
      <c r="A269" s="87"/>
      <c r="B269" s="87"/>
      <c r="F269" s="87"/>
      <c r="G269" s="87"/>
      <c r="J269" s="87"/>
      <c r="L269" s="87"/>
    </row>
    <row r="270" ht="13.5" customHeight="1">
      <c r="A270" s="87"/>
      <c r="B270" s="87"/>
      <c r="F270" s="87"/>
      <c r="G270" s="87"/>
      <c r="J270" s="87"/>
      <c r="L270" s="87"/>
    </row>
    <row r="271" ht="13.5" customHeight="1">
      <c r="A271" s="87"/>
      <c r="B271" s="87"/>
      <c r="F271" s="87"/>
      <c r="G271" s="87"/>
      <c r="J271" s="87"/>
      <c r="L271" s="87"/>
    </row>
    <row r="272" ht="13.5" customHeight="1">
      <c r="A272" s="87"/>
      <c r="B272" s="87"/>
      <c r="F272" s="87"/>
      <c r="G272" s="87"/>
      <c r="J272" s="87"/>
      <c r="L272" s="87"/>
    </row>
    <row r="273" ht="13.5" customHeight="1">
      <c r="A273" s="87"/>
      <c r="B273" s="87"/>
      <c r="F273" s="87"/>
      <c r="G273" s="87"/>
      <c r="J273" s="87"/>
      <c r="L273" s="87"/>
    </row>
    <row r="274" ht="13.5" customHeight="1">
      <c r="A274" s="87"/>
      <c r="B274" s="87"/>
      <c r="F274" s="87"/>
      <c r="G274" s="87"/>
      <c r="J274" s="87"/>
      <c r="L274" s="87"/>
    </row>
    <row r="275" ht="13.5" customHeight="1">
      <c r="A275" s="87"/>
      <c r="B275" s="87"/>
      <c r="F275" s="87"/>
      <c r="G275" s="87"/>
      <c r="J275" s="87"/>
      <c r="L275" s="87"/>
    </row>
    <row r="276" ht="13.5" customHeight="1">
      <c r="A276" s="87"/>
      <c r="B276" s="87"/>
      <c r="F276" s="87"/>
      <c r="G276" s="87"/>
      <c r="J276" s="87"/>
      <c r="L276" s="87"/>
    </row>
    <row r="277" ht="13.5" customHeight="1">
      <c r="A277" s="87"/>
      <c r="B277" s="87"/>
      <c r="F277" s="87"/>
      <c r="G277" s="87"/>
      <c r="J277" s="87"/>
      <c r="L277" s="87"/>
    </row>
    <row r="278" ht="13.5" customHeight="1">
      <c r="A278" s="87"/>
      <c r="B278" s="87"/>
      <c r="F278" s="87"/>
      <c r="G278" s="87"/>
      <c r="J278" s="87"/>
      <c r="L278" s="87"/>
    </row>
    <row r="279" ht="13.5" customHeight="1">
      <c r="A279" s="87"/>
      <c r="B279" s="87"/>
      <c r="F279" s="87"/>
      <c r="G279" s="87"/>
      <c r="J279" s="87"/>
      <c r="L279" s="87"/>
    </row>
    <row r="280" ht="13.5" customHeight="1">
      <c r="A280" s="87"/>
      <c r="B280" s="87"/>
      <c r="F280" s="87"/>
      <c r="G280" s="87"/>
      <c r="J280" s="87"/>
      <c r="L280" s="87"/>
    </row>
    <row r="281" ht="13.5" customHeight="1">
      <c r="A281" s="87"/>
      <c r="B281" s="87"/>
      <c r="F281" s="87"/>
      <c r="G281" s="87"/>
      <c r="J281" s="87"/>
      <c r="L281" s="87"/>
    </row>
    <row r="282" ht="13.5" customHeight="1">
      <c r="A282" s="87"/>
      <c r="B282" s="87"/>
      <c r="F282" s="87"/>
      <c r="G282" s="87"/>
      <c r="J282" s="87"/>
      <c r="L282" s="87"/>
    </row>
    <row r="283" ht="13.5" customHeight="1">
      <c r="A283" s="87"/>
      <c r="B283" s="87"/>
      <c r="F283" s="87"/>
      <c r="G283" s="87"/>
      <c r="J283" s="87"/>
      <c r="L283" s="87"/>
    </row>
    <row r="284" ht="13.5" customHeight="1">
      <c r="A284" s="87"/>
      <c r="B284" s="87"/>
      <c r="F284" s="87"/>
      <c r="G284" s="87"/>
      <c r="J284" s="87"/>
      <c r="L284" s="87"/>
    </row>
    <row r="285" ht="13.5" customHeight="1">
      <c r="A285" s="87"/>
      <c r="B285" s="87"/>
      <c r="F285" s="87"/>
      <c r="G285" s="87"/>
      <c r="J285" s="87"/>
      <c r="L285" s="87"/>
    </row>
    <row r="286" ht="13.5" customHeight="1">
      <c r="A286" s="87"/>
      <c r="B286" s="87"/>
      <c r="F286" s="87"/>
      <c r="G286" s="87"/>
      <c r="J286" s="87"/>
      <c r="L286" s="87"/>
    </row>
    <row r="287" ht="13.5" customHeight="1">
      <c r="A287" s="87"/>
      <c r="B287" s="87"/>
      <c r="F287" s="87"/>
      <c r="G287" s="87"/>
      <c r="J287" s="87"/>
      <c r="L287" s="87"/>
    </row>
    <row r="288" ht="13.5" customHeight="1">
      <c r="A288" s="87"/>
      <c r="B288" s="87"/>
      <c r="F288" s="87"/>
      <c r="G288" s="87"/>
      <c r="J288" s="87"/>
      <c r="L288" s="87"/>
    </row>
    <row r="289" ht="13.5" customHeight="1">
      <c r="A289" s="87"/>
      <c r="B289" s="87"/>
      <c r="F289" s="87"/>
      <c r="G289" s="87"/>
      <c r="J289" s="87"/>
      <c r="L289" s="87"/>
    </row>
    <row r="290" ht="13.5" customHeight="1">
      <c r="A290" s="87"/>
      <c r="B290" s="87"/>
      <c r="F290" s="87"/>
      <c r="G290" s="87"/>
      <c r="J290" s="87"/>
      <c r="L290" s="87"/>
    </row>
    <row r="291" ht="13.5" customHeight="1">
      <c r="A291" s="87"/>
      <c r="B291" s="87"/>
      <c r="F291" s="87"/>
      <c r="G291" s="87"/>
      <c r="J291" s="87"/>
      <c r="L291" s="87"/>
    </row>
    <row r="292" ht="13.5" customHeight="1">
      <c r="A292" s="87"/>
      <c r="B292" s="87"/>
      <c r="F292" s="87"/>
      <c r="G292" s="87"/>
      <c r="J292" s="87"/>
      <c r="L292" s="87"/>
    </row>
    <row r="293" ht="13.5" customHeight="1">
      <c r="A293" s="87"/>
      <c r="B293" s="87"/>
      <c r="F293" s="87"/>
      <c r="G293" s="87"/>
      <c r="J293" s="87"/>
      <c r="L293" s="87"/>
    </row>
    <row r="294" ht="13.5" customHeight="1">
      <c r="A294" s="87"/>
      <c r="B294" s="87"/>
      <c r="F294" s="87"/>
      <c r="G294" s="87"/>
      <c r="J294" s="87"/>
      <c r="L294" s="87"/>
    </row>
    <row r="295" ht="13.5" customHeight="1">
      <c r="A295" s="87"/>
      <c r="B295" s="87"/>
      <c r="F295" s="87"/>
      <c r="G295" s="87"/>
      <c r="J295" s="87"/>
      <c r="L295" s="87"/>
    </row>
    <row r="296" ht="13.5" customHeight="1">
      <c r="A296" s="87"/>
      <c r="B296" s="87"/>
      <c r="F296" s="87"/>
      <c r="G296" s="87"/>
      <c r="J296" s="87"/>
      <c r="L296" s="87"/>
    </row>
    <row r="297" ht="13.5" customHeight="1">
      <c r="A297" s="87"/>
      <c r="B297" s="87"/>
      <c r="F297" s="87"/>
      <c r="G297" s="87"/>
      <c r="J297" s="87"/>
      <c r="L297" s="87"/>
    </row>
    <row r="298" ht="13.5" customHeight="1">
      <c r="A298" s="87"/>
      <c r="B298" s="87"/>
      <c r="F298" s="87"/>
      <c r="G298" s="87"/>
      <c r="J298" s="87"/>
      <c r="L298" s="87"/>
    </row>
    <row r="299" ht="13.5" customHeight="1">
      <c r="A299" s="87"/>
      <c r="B299" s="87"/>
      <c r="F299" s="87"/>
      <c r="G299" s="87"/>
      <c r="J299" s="87"/>
      <c r="L299" s="87"/>
    </row>
    <row r="300" ht="13.5" customHeight="1">
      <c r="A300" s="87"/>
      <c r="B300" s="87"/>
      <c r="F300" s="87"/>
      <c r="G300" s="87"/>
      <c r="J300" s="87"/>
      <c r="L300" s="87"/>
    </row>
    <row r="301" ht="13.5" customHeight="1">
      <c r="A301" s="87"/>
      <c r="B301" s="87"/>
      <c r="F301" s="87"/>
      <c r="G301" s="87"/>
      <c r="J301" s="87"/>
      <c r="L301" s="87"/>
    </row>
    <row r="302" ht="13.5" customHeight="1">
      <c r="A302" s="87"/>
      <c r="B302" s="87"/>
      <c r="F302" s="87"/>
      <c r="G302" s="87"/>
      <c r="J302" s="87"/>
      <c r="L302" s="87"/>
    </row>
    <row r="303" ht="13.5" customHeight="1">
      <c r="A303" s="87"/>
      <c r="B303" s="87"/>
      <c r="F303" s="87"/>
      <c r="G303" s="87"/>
      <c r="J303" s="87"/>
      <c r="L303" s="87"/>
    </row>
    <row r="304" ht="13.5" customHeight="1">
      <c r="A304" s="87"/>
      <c r="B304" s="87"/>
      <c r="F304" s="87"/>
      <c r="G304" s="87"/>
      <c r="J304" s="87"/>
      <c r="L304" s="87"/>
    </row>
    <row r="305" ht="13.5" customHeight="1">
      <c r="A305" s="87"/>
      <c r="B305" s="87"/>
      <c r="F305" s="87"/>
      <c r="G305" s="87"/>
      <c r="J305" s="87"/>
      <c r="L305" s="87"/>
    </row>
    <row r="306" ht="13.5" customHeight="1">
      <c r="A306" s="87"/>
      <c r="B306" s="87"/>
      <c r="F306" s="87"/>
      <c r="G306" s="87"/>
      <c r="J306" s="87"/>
      <c r="L306" s="87"/>
    </row>
    <row r="307" ht="13.5" customHeight="1">
      <c r="A307" s="87"/>
      <c r="B307" s="87"/>
      <c r="F307" s="87"/>
      <c r="G307" s="87"/>
      <c r="J307" s="87"/>
      <c r="L307" s="87"/>
    </row>
    <row r="308" ht="13.5" customHeight="1">
      <c r="A308" s="87"/>
      <c r="B308" s="87"/>
      <c r="F308" s="87"/>
      <c r="G308" s="87"/>
      <c r="J308" s="87"/>
      <c r="L308" s="87"/>
    </row>
    <row r="309" ht="13.5" customHeight="1">
      <c r="A309" s="87"/>
      <c r="B309" s="87"/>
      <c r="F309" s="87"/>
      <c r="G309" s="87"/>
      <c r="J309" s="87"/>
      <c r="L309" s="87"/>
    </row>
    <row r="310" ht="13.5" customHeight="1">
      <c r="A310" s="87"/>
      <c r="B310" s="87"/>
      <c r="F310" s="87"/>
      <c r="G310" s="87"/>
      <c r="J310" s="87"/>
      <c r="L310" s="87"/>
    </row>
    <row r="311" ht="13.5" customHeight="1">
      <c r="A311" s="87"/>
      <c r="B311" s="87"/>
      <c r="F311" s="87"/>
      <c r="G311" s="87"/>
      <c r="J311" s="87"/>
      <c r="L311" s="87"/>
    </row>
    <row r="312" ht="13.5" customHeight="1">
      <c r="A312" s="87"/>
      <c r="B312" s="87"/>
      <c r="F312" s="87"/>
      <c r="G312" s="87"/>
      <c r="J312" s="87"/>
      <c r="L312" s="87"/>
    </row>
    <row r="313" ht="13.5" customHeight="1">
      <c r="A313" s="87"/>
      <c r="B313" s="87"/>
      <c r="F313" s="87"/>
      <c r="G313" s="87"/>
      <c r="J313" s="87"/>
      <c r="L313" s="87"/>
    </row>
    <row r="314" ht="13.5" customHeight="1">
      <c r="A314" s="87"/>
      <c r="B314" s="87"/>
      <c r="F314" s="87"/>
      <c r="G314" s="87"/>
      <c r="J314" s="87"/>
      <c r="L314" s="87"/>
    </row>
    <row r="315" ht="13.5" customHeight="1">
      <c r="A315" s="87"/>
      <c r="B315" s="87"/>
      <c r="F315" s="87"/>
      <c r="G315" s="87"/>
      <c r="J315" s="87"/>
      <c r="L315" s="87"/>
    </row>
    <row r="316" ht="13.5" customHeight="1">
      <c r="A316" s="87"/>
      <c r="B316" s="87"/>
      <c r="F316" s="87"/>
      <c r="G316" s="87"/>
      <c r="J316" s="87"/>
      <c r="L316" s="87"/>
    </row>
    <row r="317" ht="13.5" customHeight="1">
      <c r="A317" s="87"/>
      <c r="B317" s="87"/>
      <c r="F317" s="87"/>
      <c r="G317" s="87"/>
      <c r="J317" s="87"/>
      <c r="L317" s="87"/>
    </row>
    <row r="318" ht="13.5" customHeight="1">
      <c r="A318" s="87"/>
      <c r="B318" s="87"/>
      <c r="F318" s="87"/>
      <c r="G318" s="87"/>
      <c r="J318" s="87"/>
      <c r="L318" s="87"/>
    </row>
    <row r="319" ht="13.5" customHeight="1">
      <c r="A319" s="87"/>
      <c r="B319" s="87"/>
      <c r="F319" s="87"/>
      <c r="G319" s="87"/>
      <c r="J319" s="87"/>
      <c r="L319" s="87"/>
    </row>
    <row r="320" ht="13.5" customHeight="1">
      <c r="A320" s="87"/>
      <c r="B320" s="87"/>
      <c r="F320" s="87"/>
      <c r="G320" s="87"/>
      <c r="J320" s="87"/>
      <c r="L320" s="87"/>
    </row>
    <row r="321" ht="13.5" customHeight="1">
      <c r="A321" s="87"/>
      <c r="B321" s="87"/>
      <c r="F321" s="87"/>
      <c r="G321" s="87"/>
      <c r="J321" s="87"/>
      <c r="L321" s="87"/>
    </row>
    <row r="322" ht="13.5" customHeight="1">
      <c r="A322" s="87"/>
      <c r="B322" s="87"/>
      <c r="F322" s="87"/>
      <c r="G322" s="87"/>
      <c r="J322" s="87"/>
      <c r="L322" s="87"/>
    </row>
    <row r="323" ht="13.5" customHeight="1">
      <c r="A323" s="87"/>
      <c r="B323" s="87"/>
      <c r="F323" s="87"/>
      <c r="G323" s="87"/>
      <c r="J323" s="87"/>
      <c r="L323" s="87"/>
    </row>
    <row r="324" ht="13.5" customHeight="1">
      <c r="A324" s="87"/>
      <c r="B324" s="87"/>
      <c r="F324" s="87"/>
      <c r="G324" s="87"/>
      <c r="J324" s="87"/>
      <c r="L324" s="87"/>
    </row>
    <row r="325" ht="13.5" customHeight="1">
      <c r="A325" s="87"/>
      <c r="B325" s="87"/>
      <c r="F325" s="87"/>
      <c r="G325" s="87"/>
      <c r="J325" s="87"/>
      <c r="L325" s="87"/>
    </row>
    <row r="326" ht="13.5" customHeight="1">
      <c r="A326" s="87"/>
      <c r="B326" s="87"/>
      <c r="F326" s="87"/>
      <c r="G326" s="87"/>
      <c r="J326" s="87"/>
      <c r="L326" s="87"/>
    </row>
    <row r="327" ht="13.5" customHeight="1">
      <c r="A327" s="87"/>
      <c r="B327" s="87"/>
      <c r="F327" s="87"/>
      <c r="G327" s="87"/>
      <c r="J327" s="87"/>
      <c r="L327" s="87"/>
    </row>
    <row r="328" ht="13.5" customHeight="1">
      <c r="A328" s="87"/>
      <c r="B328" s="87"/>
      <c r="F328" s="87"/>
      <c r="G328" s="87"/>
      <c r="J328" s="87"/>
      <c r="L328" s="87"/>
    </row>
    <row r="329" ht="13.5" customHeight="1">
      <c r="A329" s="87"/>
      <c r="B329" s="87"/>
      <c r="F329" s="87"/>
      <c r="G329" s="87"/>
      <c r="J329" s="87"/>
      <c r="L329" s="87"/>
    </row>
    <row r="330" ht="13.5" customHeight="1">
      <c r="A330" s="87"/>
      <c r="B330" s="87"/>
      <c r="F330" s="87"/>
      <c r="G330" s="87"/>
      <c r="J330" s="87"/>
      <c r="L330" s="87"/>
    </row>
    <row r="331" ht="13.5" customHeight="1">
      <c r="A331" s="87"/>
      <c r="B331" s="87"/>
      <c r="F331" s="87"/>
      <c r="G331" s="87"/>
      <c r="J331" s="87"/>
      <c r="L331" s="87"/>
    </row>
    <row r="332" ht="13.5" customHeight="1">
      <c r="A332" s="87"/>
      <c r="B332" s="87"/>
      <c r="F332" s="87"/>
      <c r="G332" s="87"/>
      <c r="J332" s="87"/>
      <c r="L332" s="87"/>
    </row>
    <row r="333" ht="13.5" customHeight="1">
      <c r="A333" s="87"/>
      <c r="B333" s="87"/>
      <c r="F333" s="87"/>
      <c r="G333" s="87"/>
      <c r="J333" s="87"/>
      <c r="L333" s="87"/>
    </row>
    <row r="334" ht="13.5" customHeight="1">
      <c r="A334" s="87"/>
      <c r="B334" s="87"/>
      <c r="F334" s="87"/>
      <c r="G334" s="87"/>
      <c r="J334" s="87"/>
      <c r="L334" s="87"/>
    </row>
    <row r="335" ht="13.5" customHeight="1">
      <c r="A335" s="87"/>
      <c r="B335" s="87"/>
      <c r="F335" s="87"/>
      <c r="G335" s="87"/>
      <c r="J335" s="87"/>
      <c r="L335" s="87"/>
    </row>
    <row r="336" ht="13.5" customHeight="1">
      <c r="A336" s="87"/>
      <c r="B336" s="87"/>
      <c r="F336" s="87"/>
      <c r="G336" s="87"/>
      <c r="J336" s="87"/>
      <c r="L336" s="87"/>
    </row>
    <row r="337" ht="13.5" customHeight="1">
      <c r="A337" s="87"/>
      <c r="B337" s="87"/>
      <c r="F337" s="87"/>
      <c r="G337" s="87"/>
      <c r="J337" s="87"/>
      <c r="L337" s="87"/>
    </row>
    <row r="338" ht="13.5" customHeight="1">
      <c r="A338" s="87"/>
      <c r="B338" s="87"/>
      <c r="F338" s="87"/>
      <c r="G338" s="87"/>
      <c r="J338" s="87"/>
      <c r="L338" s="87"/>
    </row>
    <row r="339" ht="13.5" customHeight="1">
      <c r="A339" s="87"/>
      <c r="B339" s="87"/>
      <c r="F339" s="87"/>
      <c r="G339" s="87"/>
      <c r="J339" s="87"/>
      <c r="L339" s="87"/>
    </row>
    <row r="340" ht="13.5" customHeight="1">
      <c r="A340" s="87"/>
      <c r="B340" s="87"/>
      <c r="F340" s="87"/>
      <c r="G340" s="87"/>
      <c r="J340" s="87"/>
      <c r="L340" s="87"/>
    </row>
    <row r="341" ht="13.5" customHeight="1">
      <c r="A341" s="87"/>
      <c r="B341" s="87"/>
      <c r="F341" s="87"/>
      <c r="G341" s="87"/>
      <c r="J341" s="87"/>
      <c r="L341" s="87"/>
    </row>
    <row r="342" ht="13.5" customHeight="1">
      <c r="A342" s="87"/>
      <c r="B342" s="87"/>
      <c r="F342" s="87"/>
      <c r="G342" s="87"/>
      <c r="J342" s="87"/>
      <c r="L342" s="87"/>
    </row>
    <row r="343" ht="13.5" customHeight="1">
      <c r="A343" s="87"/>
      <c r="B343" s="87"/>
      <c r="F343" s="87"/>
      <c r="G343" s="87"/>
      <c r="J343" s="87"/>
      <c r="L343" s="87"/>
    </row>
    <row r="344" ht="13.5" customHeight="1">
      <c r="A344" s="87"/>
      <c r="B344" s="87"/>
      <c r="F344" s="87"/>
      <c r="G344" s="87"/>
      <c r="J344" s="87"/>
      <c r="L344" s="87"/>
    </row>
    <row r="345" ht="13.5" customHeight="1">
      <c r="A345" s="87"/>
      <c r="B345" s="87"/>
      <c r="F345" s="87"/>
      <c r="G345" s="87"/>
      <c r="J345" s="87"/>
      <c r="L345" s="87"/>
    </row>
    <row r="346" ht="13.5" customHeight="1">
      <c r="A346" s="87"/>
      <c r="B346" s="87"/>
      <c r="F346" s="87"/>
      <c r="G346" s="87"/>
      <c r="J346" s="87"/>
      <c r="L346" s="87"/>
    </row>
    <row r="347" ht="13.5" customHeight="1">
      <c r="A347" s="87"/>
      <c r="B347" s="87"/>
      <c r="F347" s="87"/>
      <c r="G347" s="87"/>
      <c r="J347" s="87"/>
      <c r="L347" s="87"/>
    </row>
    <row r="348" ht="13.5" customHeight="1">
      <c r="A348" s="87"/>
      <c r="B348" s="87"/>
      <c r="F348" s="87"/>
      <c r="G348" s="87"/>
      <c r="J348" s="87"/>
      <c r="L348" s="87"/>
    </row>
    <row r="349" ht="13.5" customHeight="1">
      <c r="A349" s="87"/>
      <c r="B349" s="87"/>
      <c r="F349" s="87"/>
      <c r="G349" s="87"/>
      <c r="J349" s="87"/>
      <c r="L349" s="87"/>
    </row>
    <row r="350" ht="13.5" customHeight="1">
      <c r="A350" s="87"/>
      <c r="B350" s="87"/>
      <c r="F350" s="87"/>
      <c r="G350" s="87"/>
      <c r="J350" s="87"/>
      <c r="L350" s="87"/>
    </row>
    <row r="351" ht="13.5" customHeight="1">
      <c r="A351" s="87"/>
      <c r="B351" s="87"/>
      <c r="F351" s="87"/>
      <c r="G351" s="87"/>
      <c r="J351" s="87"/>
      <c r="L351" s="87"/>
    </row>
    <row r="352" ht="13.5" customHeight="1">
      <c r="A352" s="87"/>
      <c r="B352" s="87"/>
      <c r="F352" s="87"/>
      <c r="G352" s="87"/>
      <c r="J352" s="87"/>
      <c r="L352" s="87"/>
    </row>
    <row r="353" ht="13.5" customHeight="1">
      <c r="A353" s="87"/>
      <c r="B353" s="87"/>
      <c r="F353" s="87"/>
      <c r="G353" s="87"/>
      <c r="J353" s="87"/>
      <c r="L353" s="87"/>
    </row>
    <row r="354" ht="13.5" customHeight="1">
      <c r="A354" s="87"/>
      <c r="B354" s="87"/>
      <c r="F354" s="87"/>
      <c r="G354" s="87"/>
      <c r="J354" s="87"/>
      <c r="L354" s="87"/>
    </row>
    <row r="355" ht="13.5" customHeight="1">
      <c r="A355" s="87"/>
      <c r="B355" s="87"/>
      <c r="F355" s="87"/>
      <c r="G355" s="87"/>
      <c r="J355" s="87"/>
      <c r="L355" s="87"/>
    </row>
    <row r="356" ht="13.5" customHeight="1">
      <c r="A356" s="87"/>
      <c r="B356" s="87"/>
      <c r="F356" s="87"/>
      <c r="G356" s="87"/>
      <c r="J356" s="87"/>
      <c r="L356" s="87"/>
    </row>
    <row r="357" ht="13.5" customHeight="1">
      <c r="A357" s="87"/>
      <c r="B357" s="87"/>
      <c r="F357" s="87"/>
      <c r="G357" s="87"/>
      <c r="J357" s="87"/>
      <c r="L357" s="87"/>
    </row>
    <row r="358" ht="13.5" customHeight="1">
      <c r="A358" s="87"/>
      <c r="B358" s="87"/>
      <c r="F358" s="87"/>
      <c r="G358" s="87"/>
      <c r="J358" s="87"/>
      <c r="L358" s="87"/>
    </row>
    <row r="359" ht="13.5" customHeight="1">
      <c r="A359" s="87"/>
      <c r="B359" s="87"/>
      <c r="F359" s="87"/>
      <c r="G359" s="87"/>
      <c r="J359" s="87"/>
      <c r="L359" s="87"/>
    </row>
    <row r="360" ht="13.5" customHeight="1">
      <c r="A360" s="87"/>
      <c r="B360" s="87"/>
      <c r="F360" s="87"/>
      <c r="G360" s="87"/>
      <c r="J360" s="87"/>
      <c r="L360" s="87"/>
    </row>
    <row r="361" ht="13.5" customHeight="1">
      <c r="A361" s="87"/>
      <c r="B361" s="87"/>
      <c r="F361" s="87"/>
      <c r="G361" s="87"/>
      <c r="J361" s="87"/>
      <c r="L361" s="87"/>
    </row>
    <row r="362" ht="13.5" customHeight="1">
      <c r="A362" s="87"/>
      <c r="B362" s="87"/>
      <c r="F362" s="87"/>
      <c r="G362" s="87"/>
      <c r="J362" s="87"/>
      <c r="L362" s="87"/>
    </row>
    <row r="363" ht="13.5" customHeight="1">
      <c r="A363" s="87"/>
      <c r="B363" s="87"/>
      <c r="F363" s="87"/>
      <c r="G363" s="87"/>
      <c r="J363" s="87"/>
      <c r="L363" s="87"/>
    </row>
    <row r="364" ht="13.5" customHeight="1">
      <c r="A364" s="87"/>
      <c r="B364" s="87"/>
      <c r="F364" s="87"/>
      <c r="G364" s="87"/>
      <c r="J364" s="87"/>
      <c r="L364" s="87"/>
    </row>
    <row r="365" ht="13.5" customHeight="1">
      <c r="A365" s="87"/>
      <c r="B365" s="87"/>
      <c r="F365" s="87"/>
      <c r="G365" s="87"/>
      <c r="J365" s="87"/>
      <c r="L365" s="87"/>
    </row>
    <row r="366" ht="13.5" customHeight="1">
      <c r="A366" s="87"/>
      <c r="B366" s="87"/>
      <c r="F366" s="87"/>
      <c r="G366" s="87"/>
      <c r="J366" s="87"/>
      <c r="L366" s="87"/>
    </row>
    <row r="367" ht="13.5" customHeight="1">
      <c r="A367" s="87"/>
      <c r="B367" s="87"/>
      <c r="F367" s="87"/>
      <c r="G367" s="87"/>
      <c r="J367" s="87"/>
      <c r="L367" s="87"/>
    </row>
    <row r="368" ht="13.5" customHeight="1">
      <c r="A368" s="87"/>
      <c r="B368" s="87"/>
      <c r="F368" s="87"/>
      <c r="G368" s="87"/>
      <c r="J368" s="87"/>
      <c r="L368" s="87"/>
    </row>
    <row r="369" ht="13.5" customHeight="1">
      <c r="A369" s="87"/>
      <c r="B369" s="87"/>
      <c r="F369" s="87"/>
      <c r="G369" s="87"/>
      <c r="J369" s="87"/>
      <c r="L369" s="87"/>
    </row>
    <row r="370" ht="13.5" customHeight="1">
      <c r="A370" s="87"/>
      <c r="B370" s="87"/>
      <c r="F370" s="87"/>
      <c r="G370" s="87"/>
      <c r="J370" s="87"/>
      <c r="L370" s="87"/>
    </row>
    <row r="371" ht="13.5" customHeight="1">
      <c r="A371" s="87"/>
      <c r="B371" s="87"/>
      <c r="F371" s="87"/>
      <c r="G371" s="87"/>
      <c r="J371" s="87"/>
      <c r="L371" s="87"/>
    </row>
    <row r="372" ht="13.5" customHeight="1">
      <c r="A372" s="87"/>
      <c r="B372" s="87"/>
      <c r="F372" s="87"/>
      <c r="G372" s="87"/>
      <c r="J372" s="87"/>
      <c r="L372" s="87"/>
    </row>
    <row r="373" ht="13.5" customHeight="1">
      <c r="A373" s="87"/>
      <c r="B373" s="87"/>
      <c r="F373" s="87"/>
      <c r="G373" s="87"/>
      <c r="J373" s="87"/>
      <c r="L373" s="87"/>
    </row>
    <row r="374" ht="13.5" customHeight="1">
      <c r="A374" s="87"/>
      <c r="B374" s="87"/>
      <c r="F374" s="87"/>
      <c r="G374" s="87"/>
      <c r="J374" s="87"/>
      <c r="L374" s="87"/>
    </row>
    <row r="375" ht="13.5" customHeight="1">
      <c r="A375" s="87"/>
      <c r="B375" s="87"/>
      <c r="F375" s="87"/>
      <c r="G375" s="87"/>
      <c r="J375" s="87"/>
      <c r="L375" s="87"/>
    </row>
    <row r="376" ht="13.5" customHeight="1">
      <c r="A376" s="87"/>
      <c r="B376" s="87"/>
      <c r="F376" s="87"/>
      <c r="G376" s="87"/>
      <c r="J376" s="87"/>
      <c r="L376" s="87"/>
    </row>
    <row r="377" ht="13.5" customHeight="1">
      <c r="A377" s="87"/>
      <c r="B377" s="87"/>
      <c r="F377" s="87"/>
      <c r="G377" s="87"/>
      <c r="J377" s="87"/>
      <c r="L377" s="87"/>
    </row>
    <row r="378" ht="13.5" customHeight="1">
      <c r="A378" s="87"/>
      <c r="B378" s="87"/>
      <c r="F378" s="87"/>
      <c r="G378" s="87"/>
      <c r="J378" s="87"/>
      <c r="L378" s="87"/>
    </row>
    <row r="379" ht="13.5" customHeight="1">
      <c r="A379" s="87"/>
      <c r="B379" s="87"/>
      <c r="F379" s="87"/>
      <c r="G379" s="87"/>
      <c r="J379" s="87"/>
      <c r="L379" s="87"/>
    </row>
    <row r="380" ht="13.5" customHeight="1">
      <c r="A380" s="87"/>
      <c r="B380" s="87"/>
      <c r="F380" s="87"/>
      <c r="G380" s="87"/>
      <c r="J380" s="87"/>
      <c r="L380" s="87"/>
    </row>
    <row r="381" ht="13.5" customHeight="1">
      <c r="A381" s="87"/>
      <c r="B381" s="87"/>
      <c r="F381" s="87"/>
      <c r="G381" s="87"/>
      <c r="J381" s="87"/>
      <c r="L381" s="87"/>
    </row>
    <row r="382" ht="13.5" customHeight="1">
      <c r="A382" s="87"/>
      <c r="B382" s="87"/>
      <c r="F382" s="87"/>
      <c r="G382" s="87"/>
      <c r="J382" s="87"/>
      <c r="L382" s="87"/>
    </row>
    <row r="383" ht="13.5" customHeight="1">
      <c r="A383" s="87"/>
      <c r="B383" s="87"/>
      <c r="F383" s="87"/>
      <c r="G383" s="87"/>
      <c r="J383" s="87"/>
      <c r="L383" s="87"/>
    </row>
    <row r="384" ht="13.5" customHeight="1">
      <c r="A384" s="87"/>
      <c r="B384" s="87"/>
      <c r="F384" s="87"/>
      <c r="G384" s="87"/>
      <c r="J384" s="87"/>
      <c r="L384" s="87"/>
    </row>
    <row r="385" ht="13.5" customHeight="1">
      <c r="A385" s="87"/>
      <c r="B385" s="87"/>
      <c r="F385" s="87"/>
      <c r="G385" s="87"/>
      <c r="J385" s="87"/>
      <c r="L385" s="87"/>
    </row>
    <row r="386" ht="13.5" customHeight="1">
      <c r="A386" s="87"/>
      <c r="B386" s="87"/>
      <c r="F386" s="87"/>
      <c r="G386" s="87"/>
      <c r="J386" s="87"/>
      <c r="L386" s="87"/>
    </row>
    <row r="387" ht="13.5" customHeight="1">
      <c r="A387" s="87"/>
      <c r="B387" s="87"/>
      <c r="F387" s="87"/>
      <c r="G387" s="87"/>
      <c r="J387" s="87"/>
      <c r="L387" s="87"/>
    </row>
    <row r="388" ht="13.5" customHeight="1">
      <c r="A388" s="87"/>
      <c r="B388" s="87"/>
      <c r="F388" s="87"/>
      <c r="G388" s="87"/>
      <c r="J388" s="87"/>
      <c r="L388" s="87"/>
    </row>
    <row r="389" ht="13.5" customHeight="1">
      <c r="A389" s="87"/>
      <c r="B389" s="87"/>
      <c r="F389" s="87"/>
      <c r="G389" s="87"/>
      <c r="J389" s="87"/>
      <c r="L389" s="87"/>
    </row>
    <row r="390" ht="13.5" customHeight="1">
      <c r="A390" s="87"/>
      <c r="B390" s="87"/>
      <c r="F390" s="87"/>
      <c r="G390" s="87"/>
      <c r="J390" s="87"/>
      <c r="L390" s="87"/>
    </row>
    <row r="391" ht="13.5" customHeight="1">
      <c r="A391" s="87"/>
      <c r="B391" s="87"/>
      <c r="F391" s="87"/>
      <c r="G391" s="87"/>
      <c r="J391" s="87"/>
      <c r="L391" s="87"/>
    </row>
    <row r="392" ht="13.5" customHeight="1">
      <c r="A392" s="87"/>
      <c r="B392" s="87"/>
      <c r="F392" s="87"/>
      <c r="G392" s="87"/>
      <c r="J392" s="87"/>
      <c r="L392" s="87"/>
    </row>
    <row r="393" ht="13.5" customHeight="1">
      <c r="A393" s="87"/>
      <c r="B393" s="87"/>
      <c r="F393" s="87"/>
      <c r="G393" s="87"/>
      <c r="J393" s="87"/>
      <c r="L393" s="87"/>
    </row>
    <row r="394" ht="13.5" customHeight="1">
      <c r="A394" s="87"/>
      <c r="B394" s="87"/>
      <c r="F394" s="87"/>
      <c r="G394" s="87"/>
      <c r="J394" s="87"/>
      <c r="L394" s="87"/>
    </row>
    <row r="395" ht="13.5" customHeight="1">
      <c r="A395" s="87"/>
      <c r="B395" s="87"/>
      <c r="F395" s="87"/>
      <c r="G395" s="87"/>
      <c r="J395" s="87"/>
      <c r="L395" s="87"/>
    </row>
    <row r="396" ht="13.5" customHeight="1">
      <c r="A396" s="87"/>
      <c r="B396" s="87"/>
      <c r="F396" s="87"/>
      <c r="G396" s="87"/>
      <c r="J396" s="87"/>
      <c r="L396" s="87"/>
    </row>
    <row r="397" ht="13.5" customHeight="1">
      <c r="A397" s="87"/>
      <c r="B397" s="87"/>
      <c r="F397" s="87"/>
      <c r="G397" s="87"/>
      <c r="J397" s="87"/>
      <c r="L397" s="87"/>
    </row>
    <row r="398" ht="13.5" customHeight="1">
      <c r="A398" s="87"/>
      <c r="B398" s="87"/>
      <c r="F398" s="87"/>
      <c r="G398" s="87"/>
      <c r="J398" s="87"/>
      <c r="L398" s="87"/>
    </row>
    <row r="399" ht="13.5" customHeight="1">
      <c r="A399" s="87"/>
      <c r="B399" s="87"/>
      <c r="F399" s="87"/>
      <c r="G399" s="87"/>
      <c r="J399" s="87"/>
      <c r="L399" s="87"/>
    </row>
    <row r="400" ht="13.5" customHeight="1">
      <c r="A400" s="87"/>
      <c r="B400" s="87"/>
      <c r="F400" s="87"/>
      <c r="G400" s="87"/>
      <c r="J400" s="87"/>
      <c r="L400" s="87"/>
    </row>
    <row r="401" ht="13.5" customHeight="1">
      <c r="A401" s="87"/>
      <c r="B401" s="87"/>
      <c r="F401" s="87"/>
      <c r="G401" s="87"/>
      <c r="J401" s="87"/>
      <c r="L401" s="87"/>
    </row>
    <row r="402" ht="13.5" customHeight="1">
      <c r="A402" s="87"/>
      <c r="B402" s="87"/>
      <c r="F402" s="87"/>
      <c r="G402" s="87"/>
      <c r="J402" s="87"/>
      <c r="L402" s="87"/>
    </row>
    <row r="403" ht="13.5" customHeight="1">
      <c r="A403" s="87"/>
      <c r="B403" s="87"/>
      <c r="F403" s="87"/>
      <c r="G403" s="87"/>
      <c r="J403" s="87"/>
      <c r="L403" s="87"/>
    </row>
    <row r="404" ht="13.5" customHeight="1">
      <c r="A404" s="87"/>
      <c r="B404" s="87"/>
      <c r="F404" s="87"/>
      <c r="G404" s="87"/>
      <c r="J404" s="87"/>
      <c r="L404" s="87"/>
    </row>
    <row r="405" ht="13.5" customHeight="1">
      <c r="A405" s="87"/>
      <c r="B405" s="87"/>
      <c r="F405" s="87"/>
      <c r="G405" s="87"/>
      <c r="J405" s="87"/>
      <c r="L405" s="87"/>
    </row>
    <row r="406" ht="13.5" customHeight="1">
      <c r="A406" s="87"/>
      <c r="B406" s="87"/>
      <c r="F406" s="87"/>
      <c r="G406" s="87"/>
      <c r="J406" s="87"/>
      <c r="L406" s="87"/>
    </row>
    <row r="407" ht="13.5" customHeight="1">
      <c r="A407" s="87"/>
      <c r="B407" s="87"/>
      <c r="F407" s="87"/>
      <c r="G407" s="87"/>
      <c r="J407" s="87"/>
      <c r="L407" s="87"/>
    </row>
    <row r="408" ht="13.5" customHeight="1">
      <c r="A408" s="87"/>
      <c r="B408" s="87"/>
      <c r="F408" s="87"/>
      <c r="G408" s="87"/>
      <c r="J408" s="87"/>
      <c r="L408" s="87"/>
    </row>
    <row r="409" ht="13.5" customHeight="1">
      <c r="A409" s="87"/>
      <c r="B409" s="87"/>
      <c r="F409" s="87"/>
      <c r="G409" s="87"/>
      <c r="J409" s="87"/>
      <c r="L409" s="87"/>
    </row>
    <row r="410" ht="13.5" customHeight="1">
      <c r="A410" s="87"/>
      <c r="B410" s="87"/>
      <c r="F410" s="87"/>
      <c r="G410" s="87"/>
      <c r="J410" s="87"/>
      <c r="L410" s="87"/>
    </row>
    <row r="411" ht="13.5" customHeight="1">
      <c r="A411" s="87"/>
      <c r="B411" s="87"/>
      <c r="F411" s="87"/>
      <c r="G411" s="87"/>
      <c r="J411" s="87"/>
      <c r="L411" s="87"/>
    </row>
    <row r="412" ht="13.5" customHeight="1">
      <c r="A412" s="87"/>
      <c r="B412" s="87"/>
      <c r="F412" s="87"/>
      <c r="G412" s="87"/>
      <c r="J412" s="87"/>
      <c r="L412" s="87"/>
    </row>
    <row r="413" ht="13.5" customHeight="1">
      <c r="A413" s="87"/>
      <c r="B413" s="87"/>
      <c r="F413" s="87"/>
      <c r="G413" s="87"/>
      <c r="J413" s="87"/>
      <c r="L413" s="87"/>
    </row>
    <row r="414" ht="13.5" customHeight="1">
      <c r="A414" s="87"/>
      <c r="B414" s="87"/>
      <c r="F414" s="87"/>
      <c r="G414" s="87"/>
      <c r="J414" s="87"/>
      <c r="L414" s="87"/>
    </row>
    <row r="415" ht="13.5" customHeight="1">
      <c r="A415" s="87"/>
      <c r="B415" s="87"/>
      <c r="F415" s="87"/>
      <c r="G415" s="87"/>
      <c r="J415" s="87"/>
      <c r="L415" s="87"/>
    </row>
    <row r="416" ht="13.5" customHeight="1">
      <c r="A416" s="87"/>
      <c r="B416" s="87"/>
      <c r="F416" s="87"/>
      <c r="G416" s="87"/>
      <c r="J416" s="87"/>
      <c r="L416" s="87"/>
    </row>
    <row r="417" ht="13.5" customHeight="1">
      <c r="A417" s="87"/>
      <c r="B417" s="87"/>
      <c r="F417" s="87"/>
      <c r="G417" s="87"/>
      <c r="J417" s="87"/>
      <c r="L417" s="87"/>
    </row>
    <row r="418" ht="13.5" customHeight="1">
      <c r="A418" s="87"/>
      <c r="B418" s="87"/>
      <c r="F418" s="87"/>
      <c r="G418" s="87"/>
      <c r="J418" s="87"/>
      <c r="L418" s="87"/>
    </row>
    <row r="419" ht="13.5" customHeight="1">
      <c r="A419" s="87"/>
      <c r="B419" s="87"/>
      <c r="F419" s="87"/>
      <c r="G419" s="87"/>
      <c r="J419" s="87"/>
      <c r="L419" s="87"/>
    </row>
    <row r="420" ht="13.5" customHeight="1">
      <c r="A420" s="87"/>
      <c r="B420" s="87"/>
      <c r="F420" s="87"/>
      <c r="G420" s="87"/>
      <c r="J420" s="87"/>
      <c r="L420" s="87"/>
    </row>
    <row r="421" ht="13.5" customHeight="1">
      <c r="A421" s="87"/>
      <c r="B421" s="87"/>
      <c r="F421" s="87"/>
      <c r="G421" s="87"/>
      <c r="J421" s="87"/>
      <c r="L421" s="87"/>
    </row>
    <row r="422" ht="13.5" customHeight="1">
      <c r="A422" s="87"/>
      <c r="B422" s="87"/>
      <c r="F422" s="87"/>
      <c r="G422" s="87"/>
      <c r="J422" s="87"/>
      <c r="L422" s="87"/>
    </row>
    <row r="423" ht="13.5" customHeight="1">
      <c r="A423" s="87"/>
      <c r="B423" s="87"/>
      <c r="F423" s="87"/>
      <c r="G423" s="87"/>
      <c r="J423" s="87"/>
      <c r="L423" s="87"/>
    </row>
    <row r="424" ht="13.5" customHeight="1">
      <c r="A424" s="87"/>
      <c r="B424" s="87"/>
      <c r="F424" s="87"/>
      <c r="G424" s="87"/>
      <c r="J424" s="87"/>
      <c r="L424" s="87"/>
    </row>
    <row r="425" ht="13.5" customHeight="1">
      <c r="A425" s="87"/>
      <c r="B425" s="87"/>
      <c r="F425" s="87"/>
      <c r="G425" s="87"/>
      <c r="J425" s="87"/>
      <c r="L425" s="87"/>
    </row>
    <row r="426" ht="13.5" customHeight="1">
      <c r="A426" s="87"/>
      <c r="B426" s="87"/>
      <c r="F426" s="87"/>
      <c r="G426" s="87"/>
      <c r="J426" s="87"/>
      <c r="L426" s="87"/>
    </row>
    <row r="427" ht="13.5" customHeight="1">
      <c r="A427" s="87"/>
      <c r="B427" s="87"/>
      <c r="F427" s="87"/>
      <c r="G427" s="87"/>
      <c r="J427" s="87"/>
      <c r="L427" s="87"/>
    </row>
    <row r="428" ht="13.5" customHeight="1">
      <c r="A428" s="87"/>
      <c r="B428" s="87"/>
      <c r="F428" s="87"/>
      <c r="G428" s="87"/>
      <c r="J428" s="87"/>
      <c r="L428" s="87"/>
    </row>
    <row r="429" ht="13.5" customHeight="1">
      <c r="A429" s="87"/>
      <c r="B429" s="87"/>
      <c r="F429" s="87"/>
      <c r="G429" s="87"/>
      <c r="J429" s="87"/>
      <c r="L429" s="87"/>
    </row>
    <row r="430" ht="13.5" customHeight="1">
      <c r="A430" s="87"/>
      <c r="B430" s="87"/>
      <c r="F430" s="87"/>
      <c r="G430" s="87"/>
      <c r="J430" s="87"/>
      <c r="L430" s="87"/>
    </row>
    <row r="431" ht="13.5" customHeight="1">
      <c r="A431" s="87"/>
      <c r="B431" s="87"/>
      <c r="F431" s="87"/>
      <c r="G431" s="87"/>
      <c r="J431" s="87"/>
      <c r="L431" s="87"/>
    </row>
    <row r="432" ht="13.5" customHeight="1">
      <c r="A432" s="87"/>
      <c r="B432" s="87"/>
      <c r="F432" s="87"/>
      <c r="G432" s="87"/>
      <c r="J432" s="87"/>
      <c r="L432" s="87"/>
    </row>
    <row r="433" ht="13.5" customHeight="1">
      <c r="A433" s="87"/>
      <c r="B433" s="87"/>
      <c r="F433" s="87"/>
      <c r="G433" s="87"/>
      <c r="J433" s="87"/>
      <c r="L433" s="87"/>
    </row>
    <row r="434" ht="13.5" customHeight="1">
      <c r="A434" s="87"/>
      <c r="B434" s="87"/>
      <c r="F434" s="87"/>
      <c r="G434" s="87"/>
      <c r="J434" s="87"/>
      <c r="L434" s="87"/>
    </row>
    <row r="435" ht="13.5" customHeight="1">
      <c r="A435" s="87"/>
      <c r="B435" s="87"/>
      <c r="F435" s="87"/>
      <c r="G435" s="87"/>
      <c r="J435" s="87"/>
      <c r="L435" s="87"/>
    </row>
    <row r="436" ht="13.5" customHeight="1">
      <c r="A436" s="87"/>
      <c r="B436" s="87"/>
      <c r="F436" s="87"/>
      <c r="G436" s="87"/>
      <c r="J436" s="87"/>
      <c r="L436" s="87"/>
    </row>
    <row r="437" ht="13.5" customHeight="1">
      <c r="A437" s="87"/>
      <c r="B437" s="87"/>
      <c r="F437" s="87"/>
      <c r="G437" s="87"/>
      <c r="J437" s="87"/>
      <c r="L437" s="87"/>
    </row>
    <row r="438" ht="13.5" customHeight="1">
      <c r="A438" s="87"/>
      <c r="B438" s="87"/>
      <c r="F438" s="87"/>
      <c r="G438" s="87"/>
      <c r="J438" s="87"/>
      <c r="L438" s="87"/>
    </row>
    <row r="439" ht="13.5" customHeight="1">
      <c r="A439" s="87"/>
      <c r="B439" s="87"/>
      <c r="F439" s="87"/>
      <c r="G439" s="87"/>
      <c r="J439" s="87"/>
      <c r="L439" s="87"/>
    </row>
    <row r="440" ht="13.5" customHeight="1">
      <c r="A440" s="87"/>
      <c r="B440" s="87"/>
      <c r="F440" s="87"/>
      <c r="G440" s="87"/>
      <c r="J440" s="87"/>
      <c r="L440" s="87"/>
    </row>
    <row r="441" ht="13.5" customHeight="1">
      <c r="A441" s="87"/>
      <c r="B441" s="87"/>
      <c r="F441" s="87"/>
      <c r="G441" s="87"/>
      <c r="J441" s="87"/>
      <c r="L441" s="87"/>
    </row>
    <row r="442" ht="13.5" customHeight="1">
      <c r="A442" s="87"/>
      <c r="B442" s="87"/>
      <c r="F442" s="87"/>
      <c r="G442" s="87"/>
      <c r="J442" s="87"/>
      <c r="L442" s="87"/>
    </row>
    <row r="443" ht="13.5" customHeight="1">
      <c r="A443" s="87"/>
      <c r="B443" s="87"/>
      <c r="F443" s="87"/>
      <c r="G443" s="87"/>
      <c r="J443" s="87"/>
      <c r="L443" s="87"/>
    </row>
    <row r="444" ht="13.5" customHeight="1">
      <c r="A444" s="87"/>
      <c r="B444" s="87"/>
      <c r="F444" s="87"/>
      <c r="G444" s="87"/>
      <c r="J444" s="87"/>
      <c r="L444" s="87"/>
    </row>
    <row r="445" ht="13.5" customHeight="1">
      <c r="A445" s="87"/>
      <c r="B445" s="87"/>
      <c r="F445" s="87"/>
      <c r="G445" s="87"/>
      <c r="J445" s="87"/>
      <c r="L445" s="87"/>
    </row>
    <row r="446" ht="13.5" customHeight="1">
      <c r="A446" s="87"/>
      <c r="B446" s="87"/>
      <c r="F446" s="87"/>
      <c r="G446" s="87"/>
      <c r="J446" s="87"/>
      <c r="L446" s="87"/>
    </row>
    <row r="447" ht="13.5" customHeight="1">
      <c r="A447" s="87"/>
      <c r="B447" s="87"/>
      <c r="F447" s="87"/>
      <c r="G447" s="87"/>
      <c r="J447" s="87"/>
      <c r="L447" s="87"/>
    </row>
    <row r="448" ht="13.5" customHeight="1">
      <c r="A448" s="87"/>
      <c r="B448" s="87"/>
      <c r="F448" s="87"/>
      <c r="G448" s="87"/>
      <c r="J448" s="87"/>
      <c r="L448" s="87"/>
    </row>
    <row r="449" ht="13.5" customHeight="1">
      <c r="A449" s="87"/>
      <c r="B449" s="87"/>
      <c r="F449" s="87"/>
      <c r="G449" s="87"/>
      <c r="J449" s="87"/>
      <c r="L449" s="87"/>
    </row>
    <row r="450" ht="13.5" customHeight="1">
      <c r="A450" s="87"/>
      <c r="B450" s="87"/>
      <c r="F450" s="87"/>
      <c r="G450" s="87"/>
      <c r="J450" s="87"/>
      <c r="L450" s="87"/>
    </row>
    <row r="451" ht="13.5" customHeight="1">
      <c r="A451" s="87"/>
      <c r="B451" s="87"/>
      <c r="F451" s="87"/>
      <c r="G451" s="87"/>
      <c r="J451" s="87"/>
      <c r="L451" s="87"/>
    </row>
    <row r="452" ht="13.5" customHeight="1">
      <c r="A452" s="87"/>
      <c r="B452" s="87"/>
      <c r="F452" s="87"/>
      <c r="G452" s="87"/>
      <c r="J452" s="87"/>
      <c r="L452" s="87"/>
    </row>
    <row r="453" ht="13.5" customHeight="1">
      <c r="A453" s="87"/>
      <c r="B453" s="87"/>
      <c r="F453" s="87"/>
      <c r="G453" s="87"/>
      <c r="J453" s="87"/>
      <c r="L453" s="87"/>
    </row>
    <row r="454" ht="13.5" customHeight="1">
      <c r="A454" s="87"/>
      <c r="B454" s="87"/>
      <c r="F454" s="87"/>
      <c r="G454" s="87"/>
      <c r="J454" s="87"/>
      <c r="L454" s="87"/>
    </row>
    <row r="455" ht="13.5" customHeight="1">
      <c r="A455" s="87"/>
      <c r="B455" s="87"/>
      <c r="F455" s="87"/>
      <c r="G455" s="87"/>
      <c r="J455" s="87"/>
      <c r="L455" s="87"/>
    </row>
    <row r="456" ht="13.5" customHeight="1">
      <c r="A456" s="87"/>
      <c r="B456" s="87"/>
      <c r="F456" s="87"/>
      <c r="G456" s="87"/>
      <c r="J456" s="87"/>
      <c r="L456" s="87"/>
    </row>
    <row r="457" ht="13.5" customHeight="1">
      <c r="A457" s="87"/>
      <c r="B457" s="87"/>
      <c r="F457" s="87"/>
      <c r="G457" s="87"/>
      <c r="J457" s="87"/>
      <c r="L457" s="87"/>
    </row>
    <row r="458" ht="13.5" customHeight="1">
      <c r="A458" s="87"/>
      <c r="B458" s="87"/>
      <c r="F458" s="87"/>
      <c r="G458" s="87"/>
      <c r="J458" s="87"/>
      <c r="L458" s="87"/>
    </row>
    <row r="459" ht="13.5" customHeight="1">
      <c r="A459" s="87"/>
      <c r="B459" s="87"/>
      <c r="F459" s="87"/>
      <c r="G459" s="87"/>
      <c r="J459" s="87"/>
      <c r="L459" s="87"/>
    </row>
    <row r="460" ht="13.5" customHeight="1">
      <c r="A460" s="87"/>
      <c r="B460" s="87"/>
      <c r="F460" s="87"/>
      <c r="G460" s="87"/>
      <c r="J460" s="87"/>
      <c r="L460" s="87"/>
    </row>
    <row r="461" ht="13.5" customHeight="1">
      <c r="A461" s="87"/>
      <c r="B461" s="87"/>
      <c r="F461" s="87"/>
      <c r="G461" s="87"/>
      <c r="J461" s="87"/>
      <c r="L461" s="87"/>
    </row>
    <row r="462" ht="13.5" customHeight="1">
      <c r="A462" s="87"/>
      <c r="B462" s="87"/>
      <c r="F462" s="87"/>
      <c r="G462" s="87"/>
      <c r="J462" s="87"/>
      <c r="L462" s="87"/>
    </row>
    <row r="463" ht="13.5" customHeight="1">
      <c r="A463" s="87"/>
      <c r="B463" s="87"/>
      <c r="F463" s="87"/>
      <c r="G463" s="87"/>
      <c r="J463" s="87"/>
      <c r="L463" s="87"/>
    </row>
    <row r="464" ht="13.5" customHeight="1">
      <c r="A464" s="87"/>
      <c r="B464" s="87"/>
      <c r="F464" s="87"/>
      <c r="G464" s="87"/>
      <c r="J464" s="87"/>
      <c r="L464" s="87"/>
    </row>
    <row r="465" ht="13.5" customHeight="1">
      <c r="A465" s="87"/>
      <c r="B465" s="87"/>
      <c r="F465" s="87"/>
      <c r="G465" s="87"/>
      <c r="J465" s="87"/>
      <c r="L465" s="87"/>
    </row>
    <row r="466" ht="13.5" customHeight="1">
      <c r="A466" s="87"/>
      <c r="B466" s="87"/>
      <c r="F466" s="87"/>
      <c r="G466" s="87"/>
      <c r="J466" s="87"/>
      <c r="L466" s="87"/>
    </row>
    <row r="467" ht="13.5" customHeight="1">
      <c r="A467" s="87"/>
      <c r="B467" s="87"/>
      <c r="F467" s="87"/>
      <c r="G467" s="87"/>
      <c r="J467" s="87"/>
      <c r="L467" s="87"/>
    </row>
    <row r="468" ht="13.5" customHeight="1">
      <c r="A468" s="87"/>
      <c r="B468" s="87"/>
      <c r="F468" s="87"/>
      <c r="G468" s="87"/>
      <c r="J468" s="87"/>
      <c r="L468" s="87"/>
    </row>
    <row r="469" ht="13.5" customHeight="1">
      <c r="A469" s="87"/>
      <c r="B469" s="87"/>
      <c r="F469" s="87"/>
      <c r="G469" s="87"/>
      <c r="J469" s="87"/>
      <c r="L469" s="87"/>
    </row>
    <row r="470" ht="13.5" customHeight="1">
      <c r="A470" s="87"/>
      <c r="B470" s="87"/>
      <c r="F470" s="87"/>
      <c r="G470" s="87"/>
      <c r="J470" s="87"/>
      <c r="L470" s="87"/>
    </row>
    <row r="471" ht="13.5" customHeight="1">
      <c r="A471" s="87"/>
      <c r="B471" s="87"/>
      <c r="F471" s="87"/>
      <c r="G471" s="87"/>
      <c r="J471" s="87"/>
      <c r="L471" s="87"/>
    </row>
    <row r="472" ht="13.5" customHeight="1">
      <c r="A472" s="87"/>
      <c r="B472" s="87"/>
      <c r="F472" s="87"/>
      <c r="G472" s="87"/>
      <c r="J472" s="87"/>
      <c r="L472" s="87"/>
    </row>
    <row r="473" ht="13.5" customHeight="1">
      <c r="A473" s="87"/>
      <c r="B473" s="87"/>
      <c r="F473" s="87"/>
      <c r="G473" s="87"/>
      <c r="J473" s="87"/>
      <c r="L473" s="87"/>
    </row>
    <row r="474" ht="13.5" customHeight="1">
      <c r="A474" s="87"/>
      <c r="B474" s="87"/>
      <c r="F474" s="87"/>
      <c r="G474" s="87"/>
      <c r="J474" s="87"/>
      <c r="L474" s="87"/>
    </row>
    <row r="475" ht="13.5" customHeight="1">
      <c r="A475" s="87"/>
      <c r="B475" s="87"/>
      <c r="F475" s="87"/>
      <c r="G475" s="87"/>
      <c r="J475" s="87"/>
      <c r="L475" s="87"/>
    </row>
    <row r="476" ht="13.5" customHeight="1">
      <c r="A476" s="87"/>
      <c r="B476" s="87"/>
      <c r="F476" s="87"/>
      <c r="G476" s="87"/>
      <c r="J476" s="87"/>
      <c r="L476" s="87"/>
    </row>
    <row r="477" ht="13.5" customHeight="1">
      <c r="A477" s="87"/>
      <c r="B477" s="87"/>
      <c r="F477" s="87"/>
      <c r="G477" s="87"/>
      <c r="J477" s="87"/>
      <c r="L477" s="87"/>
    </row>
    <row r="478" ht="13.5" customHeight="1">
      <c r="A478" s="87"/>
      <c r="B478" s="87"/>
      <c r="F478" s="87"/>
      <c r="G478" s="87"/>
      <c r="J478" s="87"/>
      <c r="L478" s="87"/>
    </row>
    <row r="479" ht="13.5" customHeight="1">
      <c r="A479" s="87"/>
      <c r="B479" s="87"/>
      <c r="F479" s="87"/>
      <c r="G479" s="87"/>
      <c r="J479" s="87"/>
      <c r="L479" s="87"/>
    </row>
    <row r="480" ht="13.5" customHeight="1">
      <c r="A480" s="87"/>
      <c r="B480" s="87"/>
      <c r="F480" s="87"/>
      <c r="G480" s="87"/>
      <c r="J480" s="87"/>
      <c r="L480" s="87"/>
    </row>
    <row r="481" ht="13.5" customHeight="1">
      <c r="A481" s="87"/>
      <c r="B481" s="87"/>
      <c r="F481" s="87"/>
      <c r="G481" s="87"/>
      <c r="J481" s="87"/>
      <c r="L481" s="87"/>
    </row>
    <row r="482" ht="13.5" customHeight="1">
      <c r="A482" s="87"/>
      <c r="B482" s="87"/>
      <c r="F482" s="87"/>
      <c r="G482" s="87"/>
      <c r="J482" s="87"/>
      <c r="L482" s="87"/>
    </row>
    <row r="483" ht="13.5" customHeight="1">
      <c r="A483" s="87"/>
      <c r="B483" s="87"/>
      <c r="F483" s="87"/>
      <c r="G483" s="87"/>
      <c r="J483" s="87"/>
      <c r="L483" s="87"/>
    </row>
    <row r="484" ht="13.5" customHeight="1">
      <c r="A484" s="87"/>
      <c r="B484" s="87"/>
      <c r="F484" s="87"/>
      <c r="G484" s="87"/>
      <c r="J484" s="87"/>
      <c r="L484" s="87"/>
    </row>
    <row r="485" ht="13.5" customHeight="1">
      <c r="A485" s="87"/>
      <c r="B485" s="87"/>
      <c r="F485" s="87"/>
      <c r="G485" s="87"/>
      <c r="J485" s="87"/>
      <c r="L485" s="87"/>
    </row>
    <row r="486" ht="13.5" customHeight="1">
      <c r="A486" s="87"/>
      <c r="B486" s="87"/>
      <c r="F486" s="87"/>
      <c r="G486" s="87"/>
      <c r="J486" s="87"/>
      <c r="L486" s="87"/>
    </row>
    <row r="487" ht="13.5" customHeight="1">
      <c r="A487" s="87"/>
      <c r="B487" s="87"/>
      <c r="F487" s="87"/>
      <c r="G487" s="87"/>
      <c r="J487" s="87"/>
      <c r="L487" s="87"/>
    </row>
    <row r="488" ht="13.5" customHeight="1">
      <c r="A488" s="87"/>
      <c r="B488" s="87"/>
      <c r="F488" s="87"/>
      <c r="G488" s="87"/>
      <c r="J488" s="87"/>
      <c r="L488" s="87"/>
    </row>
    <row r="489" ht="13.5" customHeight="1">
      <c r="A489" s="87"/>
      <c r="B489" s="87"/>
      <c r="F489" s="87"/>
      <c r="G489" s="87"/>
      <c r="J489" s="87"/>
      <c r="L489" s="87"/>
    </row>
    <row r="490" ht="13.5" customHeight="1">
      <c r="A490" s="87"/>
      <c r="B490" s="87"/>
      <c r="F490" s="87"/>
      <c r="G490" s="87"/>
      <c r="J490" s="87"/>
      <c r="L490" s="87"/>
    </row>
    <row r="491" ht="13.5" customHeight="1">
      <c r="A491" s="87"/>
      <c r="B491" s="87"/>
      <c r="F491" s="87"/>
      <c r="G491" s="87"/>
      <c r="J491" s="87"/>
      <c r="L491" s="87"/>
    </row>
    <row r="492" ht="13.5" customHeight="1">
      <c r="A492" s="87"/>
      <c r="B492" s="87"/>
      <c r="F492" s="87"/>
      <c r="G492" s="87"/>
      <c r="J492" s="87"/>
      <c r="L492" s="87"/>
    </row>
    <row r="493" ht="13.5" customHeight="1">
      <c r="A493" s="87"/>
      <c r="B493" s="87"/>
      <c r="F493" s="87"/>
      <c r="G493" s="87"/>
      <c r="J493" s="87"/>
      <c r="L493" s="87"/>
    </row>
    <row r="494" ht="13.5" customHeight="1">
      <c r="A494" s="87"/>
      <c r="B494" s="87"/>
      <c r="F494" s="87"/>
      <c r="G494" s="87"/>
      <c r="J494" s="87"/>
      <c r="L494" s="87"/>
    </row>
    <row r="495" ht="13.5" customHeight="1">
      <c r="A495" s="87"/>
      <c r="B495" s="87"/>
      <c r="F495" s="87"/>
      <c r="G495" s="87"/>
      <c r="J495" s="87"/>
      <c r="L495" s="87"/>
    </row>
    <row r="496" ht="13.5" customHeight="1">
      <c r="A496" s="87"/>
      <c r="B496" s="87"/>
      <c r="F496" s="87"/>
      <c r="G496" s="87"/>
      <c r="J496" s="87"/>
      <c r="L496" s="87"/>
    </row>
    <row r="497" ht="13.5" customHeight="1">
      <c r="A497" s="87"/>
      <c r="B497" s="87"/>
      <c r="F497" s="87"/>
      <c r="G497" s="87"/>
      <c r="J497" s="87"/>
      <c r="L497" s="87"/>
    </row>
    <row r="498" ht="13.5" customHeight="1">
      <c r="A498" s="87"/>
      <c r="B498" s="87"/>
      <c r="F498" s="87"/>
      <c r="G498" s="87"/>
      <c r="J498" s="87"/>
      <c r="L498" s="87"/>
    </row>
    <row r="499" ht="13.5" customHeight="1">
      <c r="A499" s="87"/>
      <c r="B499" s="87"/>
      <c r="F499" s="87"/>
      <c r="G499" s="87"/>
      <c r="J499" s="87"/>
      <c r="L499" s="87"/>
    </row>
    <row r="500" ht="13.5" customHeight="1">
      <c r="A500" s="87"/>
      <c r="B500" s="87"/>
      <c r="F500" s="87"/>
      <c r="G500" s="87"/>
      <c r="J500" s="87"/>
      <c r="L500" s="87"/>
    </row>
    <row r="501" ht="13.5" customHeight="1">
      <c r="A501" s="87"/>
      <c r="B501" s="87"/>
      <c r="F501" s="87"/>
      <c r="G501" s="87"/>
      <c r="J501" s="87"/>
      <c r="L501" s="87"/>
    </row>
    <row r="502" ht="13.5" customHeight="1">
      <c r="A502" s="87"/>
      <c r="B502" s="87"/>
      <c r="F502" s="87"/>
      <c r="G502" s="87"/>
      <c r="J502" s="87"/>
      <c r="L502" s="87"/>
    </row>
    <row r="503" ht="13.5" customHeight="1">
      <c r="A503" s="87"/>
      <c r="B503" s="87"/>
      <c r="F503" s="87"/>
      <c r="G503" s="87"/>
      <c r="J503" s="87"/>
      <c r="L503" s="87"/>
    </row>
    <row r="504" ht="13.5" customHeight="1">
      <c r="A504" s="87"/>
      <c r="B504" s="87"/>
      <c r="F504" s="87"/>
      <c r="G504" s="87"/>
      <c r="J504" s="87"/>
      <c r="L504" s="87"/>
    </row>
    <row r="505" ht="13.5" customHeight="1">
      <c r="A505" s="87"/>
      <c r="B505" s="87"/>
      <c r="F505" s="87"/>
      <c r="G505" s="87"/>
      <c r="J505" s="87"/>
      <c r="L505" s="87"/>
    </row>
    <row r="506" ht="13.5" customHeight="1">
      <c r="A506" s="87"/>
      <c r="B506" s="87"/>
      <c r="F506" s="87"/>
      <c r="G506" s="87"/>
      <c r="J506" s="87"/>
      <c r="L506" s="87"/>
    </row>
    <row r="507" ht="13.5" customHeight="1">
      <c r="A507" s="87"/>
      <c r="B507" s="87"/>
      <c r="F507" s="87"/>
      <c r="G507" s="87"/>
      <c r="J507" s="87"/>
      <c r="L507" s="87"/>
    </row>
    <row r="508" ht="13.5" customHeight="1">
      <c r="A508" s="87"/>
      <c r="B508" s="87"/>
      <c r="F508" s="87"/>
      <c r="G508" s="87"/>
      <c r="J508" s="87"/>
      <c r="L508" s="87"/>
    </row>
    <row r="509" ht="13.5" customHeight="1">
      <c r="A509" s="87"/>
      <c r="B509" s="87"/>
      <c r="F509" s="87"/>
      <c r="G509" s="87"/>
      <c r="J509" s="87"/>
      <c r="L509" s="87"/>
    </row>
    <row r="510" ht="13.5" customHeight="1">
      <c r="A510" s="87"/>
      <c r="B510" s="87"/>
      <c r="F510" s="87"/>
      <c r="G510" s="87"/>
      <c r="J510" s="87"/>
      <c r="L510" s="87"/>
    </row>
    <row r="511" ht="13.5" customHeight="1">
      <c r="A511" s="87"/>
      <c r="B511" s="87"/>
      <c r="F511" s="87"/>
      <c r="G511" s="87"/>
      <c r="J511" s="87"/>
      <c r="L511" s="87"/>
    </row>
    <row r="512" ht="13.5" customHeight="1">
      <c r="A512" s="87"/>
      <c r="B512" s="87"/>
      <c r="F512" s="87"/>
      <c r="G512" s="87"/>
      <c r="J512" s="87"/>
      <c r="L512" s="87"/>
    </row>
    <row r="513" ht="13.5" customHeight="1">
      <c r="A513" s="87"/>
      <c r="B513" s="87"/>
      <c r="F513" s="87"/>
      <c r="G513" s="87"/>
      <c r="J513" s="87"/>
      <c r="L513" s="87"/>
    </row>
    <row r="514" ht="13.5" customHeight="1">
      <c r="A514" s="87"/>
      <c r="B514" s="87"/>
      <c r="F514" s="87"/>
      <c r="G514" s="87"/>
      <c r="J514" s="87"/>
      <c r="L514" s="87"/>
    </row>
    <row r="515" ht="13.5" customHeight="1">
      <c r="A515" s="87"/>
      <c r="B515" s="87"/>
      <c r="F515" s="87"/>
      <c r="G515" s="87"/>
      <c r="J515" s="87"/>
      <c r="L515" s="87"/>
    </row>
    <row r="516" ht="13.5" customHeight="1">
      <c r="A516" s="87"/>
      <c r="B516" s="87"/>
      <c r="F516" s="87"/>
      <c r="G516" s="87"/>
      <c r="J516" s="87"/>
      <c r="L516" s="87"/>
    </row>
    <row r="517" ht="13.5" customHeight="1">
      <c r="A517" s="87"/>
      <c r="B517" s="87"/>
      <c r="F517" s="87"/>
      <c r="G517" s="87"/>
      <c r="J517" s="87"/>
      <c r="L517" s="87"/>
    </row>
    <row r="518" ht="13.5" customHeight="1">
      <c r="A518" s="87"/>
      <c r="B518" s="87"/>
      <c r="F518" s="87"/>
      <c r="G518" s="87"/>
      <c r="J518" s="87"/>
      <c r="L518" s="87"/>
    </row>
    <row r="519" ht="13.5" customHeight="1">
      <c r="A519" s="87"/>
      <c r="B519" s="87"/>
      <c r="F519" s="87"/>
      <c r="G519" s="87"/>
      <c r="J519" s="87"/>
      <c r="L519" s="87"/>
    </row>
    <row r="520" ht="13.5" customHeight="1">
      <c r="A520" s="87"/>
      <c r="B520" s="87"/>
      <c r="F520" s="87"/>
      <c r="G520" s="87"/>
      <c r="J520" s="87"/>
      <c r="L520" s="87"/>
    </row>
    <row r="521" ht="13.5" customHeight="1">
      <c r="A521" s="87"/>
      <c r="B521" s="87"/>
      <c r="F521" s="87"/>
      <c r="G521" s="87"/>
      <c r="J521" s="87"/>
      <c r="L521" s="87"/>
    </row>
    <row r="522" ht="13.5" customHeight="1">
      <c r="A522" s="87"/>
      <c r="B522" s="87"/>
      <c r="F522" s="87"/>
      <c r="G522" s="87"/>
      <c r="J522" s="87"/>
      <c r="L522" s="87"/>
    </row>
    <row r="523" ht="13.5" customHeight="1">
      <c r="A523" s="87"/>
      <c r="B523" s="87"/>
      <c r="F523" s="87"/>
      <c r="G523" s="87"/>
      <c r="J523" s="87"/>
      <c r="L523" s="87"/>
    </row>
    <row r="524" ht="13.5" customHeight="1">
      <c r="A524" s="87"/>
      <c r="B524" s="87"/>
      <c r="F524" s="87"/>
      <c r="G524" s="87"/>
      <c r="J524" s="87"/>
      <c r="L524" s="87"/>
    </row>
    <row r="525" ht="13.5" customHeight="1">
      <c r="A525" s="87"/>
      <c r="B525" s="87"/>
      <c r="F525" s="87"/>
      <c r="G525" s="87"/>
      <c r="J525" s="87"/>
      <c r="L525" s="87"/>
    </row>
    <row r="526" ht="13.5" customHeight="1">
      <c r="A526" s="87"/>
      <c r="B526" s="87"/>
      <c r="F526" s="87"/>
      <c r="G526" s="87"/>
      <c r="J526" s="87"/>
      <c r="L526" s="87"/>
    </row>
    <row r="527" ht="13.5" customHeight="1">
      <c r="A527" s="87"/>
      <c r="B527" s="87"/>
      <c r="F527" s="87"/>
      <c r="G527" s="87"/>
      <c r="J527" s="87"/>
      <c r="L527" s="87"/>
    </row>
    <row r="528" ht="13.5" customHeight="1">
      <c r="A528" s="87"/>
      <c r="B528" s="87"/>
      <c r="F528" s="87"/>
      <c r="G528" s="87"/>
      <c r="J528" s="87"/>
      <c r="L528" s="87"/>
    </row>
    <row r="529" ht="13.5" customHeight="1">
      <c r="A529" s="87"/>
      <c r="B529" s="87"/>
      <c r="F529" s="87"/>
      <c r="G529" s="87"/>
      <c r="J529" s="87"/>
      <c r="L529" s="87"/>
    </row>
    <row r="530" ht="13.5" customHeight="1">
      <c r="A530" s="87"/>
      <c r="B530" s="87"/>
      <c r="F530" s="87"/>
      <c r="G530" s="87"/>
      <c r="J530" s="87"/>
      <c r="L530" s="87"/>
    </row>
    <row r="531" ht="13.5" customHeight="1">
      <c r="A531" s="87"/>
      <c r="B531" s="87"/>
      <c r="F531" s="87"/>
      <c r="G531" s="87"/>
      <c r="J531" s="87"/>
      <c r="L531" s="87"/>
    </row>
    <row r="532" ht="13.5" customHeight="1">
      <c r="A532" s="87"/>
      <c r="B532" s="87"/>
      <c r="F532" s="87"/>
      <c r="G532" s="87"/>
      <c r="J532" s="87"/>
      <c r="L532" s="87"/>
    </row>
    <row r="533" ht="13.5" customHeight="1">
      <c r="A533" s="87"/>
      <c r="B533" s="87"/>
      <c r="F533" s="87"/>
      <c r="G533" s="87"/>
      <c r="J533" s="87"/>
      <c r="L533" s="87"/>
    </row>
    <row r="534" ht="13.5" customHeight="1">
      <c r="A534" s="87"/>
      <c r="B534" s="87"/>
      <c r="F534" s="87"/>
      <c r="G534" s="87"/>
      <c r="J534" s="87"/>
      <c r="L534" s="87"/>
    </row>
    <row r="535" ht="13.5" customHeight="1">
      <c r="A535" s="87"/>
      <c r="B535" s="87"/>
      <c r="F535" s="87"/>
      <c r="G535" s="87"/>
      <c r="J535" s="87"/>
      <c r="L535" s="87"/>
    </row>
    <row r="536" ht="13.5" customHeight="1">
      <c r="A536" s="87"/>
      <c r="B536" s="87"/>
      <c r="F536" s="87"/>
      <c r="G536" s="87"/>
      <c r="J536" s="87"/>
      <c r="L536" s="87"/>
    </row>
    <row r="537" ht="13.5" customHeight="1">
      <c r="A537" s="87"/>
      <c r="B537" s="87"/>
      <c r="F537" s="87"/>
      <c r="G537" s="87"/>
      <c r="J537" s="87"/>
      <c r="L537" s="87"/>
    </row>
    <row r="538" ht="13.5" customHeight="1">
      <c r="A538" s="87"/>
      <c r="B538" s="87"/>
      <c r="F538" s="87"/>
      <c r="G538" s="87"/>
      <c r="J538" s="87"/>
      <c r="L538" s="87"/>
    </row>
    <row r="539" ht="13.5" customHeight="1">
      <c r="A539" s="87"/>
      <c r="B539" s="87"/>
      <c r="F539" s="87"/>
      <c r="G539" s="87"/>
      <c r="J539" s="87"/>
      <c r="L539" s="87"/>
    </row>
    <row r="540" ht="13.5" customHeight="1">
      <c r="A540" s="87"/>
      <c r="B540" s="87"/>
      <c r="F540" s="87"/>
      <c r="G540" s="87"/>
      <c r="J540" s="87"/>
      <c r="L540" s="87"/>
    </row>
    <row r="541" ht="13.5" customHeight="1">
      <c r="A541" s="87"/>
      <c r="B541" s="87"/>
      <c r="F541" s="87"/>
      <c r="G541" s="87"/>
      <c r="J541" s="87"/>
      <c r="L541" s="87"/>
    </row>
    <row r="542" ht="13.5" customHeight="1">
      <c r="A542" s="87"/>
      <c r="B542" s="87"/>
      <c r="F542" s="87"/>
      <c r="G542" s="87"/>
      <c r="J542" s="87"/>
      <c r="L542" s="87"/>
    </row>
    <row r="543" ht="13.5" customHeight="1">
      <c r="A543" s="87"/>
      <c r="B543" s="87"/>
      <c r="F543" s="87"/>
      <c r="G543" s="87"/>
      <c r="J543" s="87"/>
      <c r="L543" s="87"/>
    </row>
    <row r="544" ht="13.5" customHeight="1">
      <c r="A544" s="87"/>
      <c r="B544" s="87"/>
      <c r="F544" s="87"/>
      <c r="G544" s="87"/>
      <c r="J544" s="87"/>
      <c r="L544" s="87"/>
    </row>
    <row r="545" ht="13.5" customHeight="1">
      <c r="A545" s="87"/>
      <c r="B545" s="87"/>
      <c r="F545" s="87"/>
      <c r="G545" s="87"/>
      <c r="J545" s="87"/>
      <c r="L545" s="87"/>
    </row>
    <row r="546" ht="13.5" customHeight="1">
      <c r="A546" s="87"/>
      <c r="B546" s="87"/>
      <c r="F546" s="87"/>
      <c r="G546" s="87"/>
      <c r="J546" s="87"/>
      <c r="L546" s="87"/>
    </row>
    <row r="547" ht="13.5" customHeight="1">
      <c r="A547" s="87"/>
      <c r="B547" s="87"/>
      <c r="F547" s="87"/>
      <c r="G547" s="87"/>
      <c r="J547" s="87"/>
      <c r="L547" s="87"/>
    </row>
    <row r="548" ht="13.5" customHeight="1">
      <c r="A548" s="87"/>
      <c r="B548" s="87"/>
      <c r="F548" s="87"/>
      <c r="G548" s="87"/>
      <c r="J548" s="87"/>
      <c r="L548" s="87"/>
    </row>
    <row r="549" ht="13.5" customHeight="1">
      <c r="A549" s="87"/>
      <c r="B549" s="87"/>
      <c r="F549" s="87"/>
      <c r="G549" s="87"/>
      <c r="J549" s="87"/>
      <c r="L549" s="87"/>
    </row>
    <row r="550" ht="13.5" customHeight="1">
      <c r="A550" s="87"/>
      <c r="B550" s="87"/>
      <c r="F550" s="87"/>
      <c r="G550" s="87"/>
      <c r="J550" s="87"/>
      <c r="L550" s="87"/>
    </row>
    <row r="551" ht="13.5" customHeight="1">
      <c r="A551" s="87"/>
      <c r="B551" s="87"/>
      <c r="F551" s="87"/>
      <c r="G551" s="87"/>
      <c r="J551" s="87"/>
      <c r="L551" s="87"/>
    </row>
    <row r="552" ht="13.5" customHeight="1">
      <c r="A552" s="87"/>
      <c r="B552" s="87"/>
      <c r="F552" s="87"/>
      <c r="G552" s="87"/>
      <c r="J552" s="87"/>
      <c r="L552" s="87"/>
    </row>
    <row r="553" ht="13.5" customHeight="1">
      <c r="A553" s="87"/>
      <c r="B553" s="87"/>
      <c r="F553" s="87"/>
      <c r="G553" s="87"/>
      <c r="J553" s="87"/>
      <c r="L553" s="87"/>
    </row>
    <row r="554" ht="13.5" customHeight="1">
      <c r="A554" s="87"/>
      <c r="B554" s="87"/>
      <c r="F554" s="87"/>
      <c r="G554" s="87"/>
      <c r="J554" s="87"/>
      <c r="L554" s="87"/>
    </row>
    <row r="555" ht="13.5" customHeight="1">
      <c r="A555" s="87"/>
      <c r="B555" s="87"/>
      <c r="F555" s="87"/>
      <c r="G555" s="87"/>
      <c r="J555" s="87"/>
      <c r="L555" s="87"/>
    </row>
    <row r="556" ht="13.5" customHeight="1">
      <c r="A556" s="87"/>
      <c r="B556" s="87"/>
      <c r="F556" s="87"/>
      <c r="G556" s="87"/>
      <c r="J556" s="87"/>
      <c r="L556" s="87"/>
    </row>
    <row r="557" ht="13.5" customHeight="1">
      <c r="A557" s="87"/>
      <c r="B557" s="87"/>
      <c r="F557" s="87"/>
      <c r="G557" s="87"/>
      <c r="J557" s="87"/>
      <c r="L557" s="87"/>
    </row>
    <row r="558" ht="13.5" customHeight="1">
      <c r="A558" s="87"/>
      <c r="B558" s="87"/>
      <c r="F558" s="87"/>
      <c r="G558" s="87"/>
      <c r="J558" s="87"/>
      <c r="L558" s="87"/>
    </row>
    <row r="559" ht="13.5" customHeight="1">
      <c r="A559" s="87"/>
      <c r="B559" s="87"/>
      <c r="F559" s="87"/>
      <c r="G559" s="87"/>
      <c r="J559" s="87"/>
      <c r="L559" s="87"/>
    </row>
    <row r="560" ht="13.5" customHeight="1">
      <c r="A560" s="87"/>
      <c r="B560" s="87"/>
      <c r="F560" s="87"/>
      <c r="G560" s="87"/>
      <c r="J560" s="87"/>
      <c r="L560" s="87"/>
    </row>
    <row r="561" ht="13.5" customHeight="1">
      <c r="A561" s="87"/>
      <c r="B561" s="87"/>
      <c r="F561" s="87"/>
      <c r="G561" s="87"/>
      <c r="J561" s="87"/>
      <c r="L561" s="87"/>
    </row>
    <row r="562" ht="13.5" customHeight="1">
      <c r="A562" s="87"/>
      <c r="B562" s="87"/>
      <c r="F562" s="87"/>
      <c r="G562" s="87"/>
      <c r="J562" s="87"/>
      <c r="L562" s="87"/>
    </row>
    <row r="563" ht="13.5" customHeight="1">
      <c r="A563" s="87"/>
      <c r="B563" s="87"/>
      <c r="F563" s="87"/>
      <c r="G563" s="87"/>
      <c r="J563" s="87"/>
      <c r="L563" s="87"/>
    </row>
    <row r="564" ht="13.5" customHeight="1">
      <c r="A564" s="87"/>
      <c r="B564" s="87"/>
      <c r="F564" s="87"/>
      <c r="G564" s="87"/>
      <c r="J564" s="87"/>
      <c r="L564" s="87"/>
    </row>
    <row r="565" ht="13.5" customHeight="1">
      <c r="A565" s="87"/>
      <c r="B565" s="87"/>
      <c r="F565" s="87"/>
      <c r="G565" s="87"/>
      <c r="J565" s="87"/>
      <c r="L565" s="87"/>
    </row>
    <row r="566" ht="13.5" customHeight="1">
      <c r="A566" s="87"/>
      <c r="B566" s="87"/>
      <c r="F566" s="87"/>
      <c r="G566" s="87"/>
      <c r="J566" s="87"/>
      <c r="L566" s="87"/>
    </row>
    <row r="567" ht="13.5" customHeight="1">
      <c r="A567" s="87"/>
      <c r="B567" s="87"/>
      <c r="F567" s="87"/>
      <c r="G567" s="87"/>
      <c r="J567" s="87"/>
      <c r="L567" s="87"/>
    </row>
    <row r="568" ht="13.5" customHeight="1">
      <c r="A568" s="87"/>
      <c r="B568" s="87"/>
      <c r="F568" s="87"/>
      <c r="G568" s="87"/>
      <c r="J568" s="87"/>
      <c r="L568" s="87"/>
    </row>
    <row r="569" ht="13.5" customHeight="1">
      <c r="A569" s="87"/>
      <c r="B569" s="87"/>
      <c r="F569" s="87"/>
      <c r="G569" s="87"/>
      <c r="J569" s="87"/>
      <c r="L569" s="87"/>
    </row>
    <row r="570" ht="13.5" customHeight="1">
      <c r="A570" s="87"/>
      <c r="B570" s="87"/>
      <c r="F570" s="87"/>
      <c r="G570" s="87"/>
      <c r="J570" s="87"/>
      <c r="L570" s="87"/>
    </row>
    <row r="571" ht="13.5" customHeight="1">
      <c r="A571" s="87"/>
      <c r="B571" s="87"/>
      <c r="F571" s="87"/>
      <c r="G571" s="87"/>
      <c r="J571" s="87"/>
      <c r="L571" s="87"/>
    </row>
    <row r="572" ht="13.5" customHeight="1">
      <c r="A572" s="87"/>
      <c r="B572" s="87"/>
      <c r="F572" s="87"/>
      <c r="G572" s="87"/>
      <c r="J572" s="87"/>
      <c r="L572" s="87"/>
    </row>
    <row r="573" ht="13.5" customHeight="1">
      <c r="A573" s="87"/>
      <c r="B573" s="87"/>
      <c r="F573" s="87"/>
      <c r="G573" s="87"/>
      <c r="J573" s="87"/>
      <c r="L573" s="87"/>
    </row>
    <row r="574" ht="13.5" customHeight="1">
      <c r="A574" s="87"/>
      <c r="B574" s="87"/>
      <c r="F574" s="87"/>
      <c r="G574" s="87"/>
      <c r="J574" s="87"/>
      <c r="L574" s="87"/>
    </row>
    <row r="575" ht="13.5" customHeight="1">
      <c r="A575" s="87"/>
      <c r="B575" s="87"/>
      <c r="F575" s="87"/>
      <c r="G575" s="87"/>
      <c r="J575" s="87"/>
      <c r="L575" s="87"/>
    </row>
    <row r="576" ht="13.5" customHeight="1">
      <c r="A576" s="87"/>
      <c r="B576" s="87"/>
      <c r="F576" s="87"/>
      <c r="G576" s="87"/>
      <c r="J576" s="87"/>
      <c r="L576" s="87"/>
    </row>
    <row r="577" ht="13.5" customHeight="1">
      <c r="A577" s="87"/>
      <c r="B577" s="87"/>
      <c r="F577" s="87"/>
      <c r="G577" s="87"/>
      <c r="J577" s="87"/>
      <c r="L577" s="87"/>
    </row>
    <row r="578" ht="13.5" customHeight="1">
      <c r="A578" s="87"/>
      <c r="B578" s="87"/>
      <c r="F578" s="87"/>
      <c r="G578" s="87"/>
      <c r="J578" s="87"/>
      <c r="L578" s="87"/>
    </row>
    <row r="579" ht="13.5" customHeight="1">
      <c r="A579" s="87"/>
      <c r="B579" s="87"/>
      <c r="F579" s="87"/>
      <c r="G579" s="87"/>
      <c r="J579" s="87"/>
      <c r="L579" s="87"/>
    </row>
    <row r="580" ht="13.5" customHeight="1">
      <c r="A580" s="87"/>
      <c r="B580" s="87"/>
      <c r="F580" s="87"/>
      <c r="G580" s="87"/>
      <c r="J580" s="87"/>
      <c r="L580" s="87"/>
    </row>
    <row r="581" ht="13.5" customHeight="1">
      <c r="A581" s="87"/>
      <c r="B581" s="87"/>
      <c r="F581" s="87"/>
      <c r="G581" s="87"/>
      <c r="J581" s="87"/>
      <c r="L581" s="87"/>
    </row>
    <row r="582" ht="13.5" customHeight="1">
      <c r="A582" s="87"/>
      <c r="B582" s="87"/>
      <c r="F582" s="87"/>
      <c r="G582" s="87"/>
      <c r="J582" s="87"/>
      <c r="L582" s="87"/>
    </row>
    <row r="583" ht="13.5" customHeight="1">
      <c r="A583" s="87"/>
      <c r="B583" s="87"/>
      <c r="F583" s="87"/>
      <c r="G583" s="87"/>
      <c r="J583" s="87"/>
      <c r="L583" s="87"/>
    </row>
    <row r="584" ht="13.5" customHeight="1">
      <c r="A584" s="87"/>
      <c r="B584" s="87"/>
      <c r="F584" s="87"/>
      <c r="G584" s="87"/>
      <c r="J584" s="87"/>
      <c r="L584" s="87"/>
    </row>
    <row r="585" ht="13.5" customHeight="1">
      <c r="A585" s="87"/>
      <c r="B585" s="87"/>
      <c r="F585" s="87"/>
      <c r="G585" s="87"/>
      <c r="J585" s="87"/>
      <c r="L585" s="87"/>
    </row>
    <row r="586" ht="13.5" customHeight="1">
      <c r="A586" s="87"/>
      <c r="B586" s="87"/>
      <c r="F586" s="87"/>
      <c r="G586" s="87"/>
      <c r="J586" s="87"/>
      <c r="L586" s="87"/>
    </row>
    <row r="587" ht="13.5" customHeight="1">
      <c r="A587" s="87"/>
      <c r="B587" s="87"/>
      <c r="F587" s="87"/>
      <c r="G587" s="87"/>
      <c r="J587" s="87"/>
      <c r="L587" s="87"/>
    </row>
    <row r="588" ht="13.5" customHeight="1">
      <c r="A588" s="87"/>
      <c r="B588" s="87"/>
      <c r="F588" s="87"/>
      <c r="G588" s="87"/>
      <c r="J588" s="87"/>
      <c r="L588" s="87"/>
    </row>
    <row r="589" ht="13.5" customHeight="1">
      <c r="A589" s="87"/>
      <c r="B589" s="87"/>
      <c r="F589" s="87"/>
      <c r="G589" s="87"/>
      <c r="J589" s="87"/>
      <c r="L589" s="87"/>
    </row>
    <row r="590" ht="13.5" customHeight="1">
      <c r="A590" s="87"/>
      <c r="B590" s="87"/>
      <c r="F590" s="87"/>
      <c r="G590" s="87"/>
      <c r="J590" s="87"/>
      <c r="L590" s="87"/>
    </row>
    <row r="591" ht="13.5" customHeight="1">
      <c r="A591" s="87"/>
      <c r="B591" s="87"/>
      <c r="F591" s="87"/>
      <c r="G591" s="87"/>
      <c r="J591" s="87"/>
      <c r="L591" s="87"/>
    </row>
    <row r="592" ht="13.5" customHeight="1">
      <c r="A592" s="87"/>
      <c r="B592" s="87"/>
      <c r="F592" s="87"/>
      <c r="G592" s="87"/>
      <c r="J592" s="87"/>
      <c r="L592" s="87"/>
    </row>
    <row r="593" ht="13.5" customHeight="1">
      <c r="A593" s="87"/>
      <c r="B593" s="87"/>
      <c r="F593" s="87"/>
      <c r="G593" s="87"/>
      <c r="J593" s="87"/>
      <c r="L593" s="87"/>
    </row>
    <row r="594" ht="13.5" customHeight="1">
      <c r="A594" s="87"/>
      <c r="B594" s="87"/>
      <c r="F594" s="87"/>
      <c r="G594" s="87"/>
      <c r="J594" s="87"/>
      <c r="L594" s="87"/>
    </row>
    <row r="595" ht="13.5" customHeight="1">
      <c r="A595" s="87"/>
      <c r="B595" s="87"/>
      <c r="F595" s="87"/>
      <c r="G595" s="87"/>
      <c r="J595" s="87"/>
      <c r="L595" s="87"/>
    </row>
    <row r="596" ht="13.5" customHeight="1">
      <c r="A596" s="87"/>
      <c r="B596" s="87"/>
      <c r="F596" s="87"/>
      <c r="G596" s="87"/>
      <c r="J596" s="87"/>
      <c r="L596" s="87"/>
    </row>
    <row r="597" ht="13.5" customHeight="1">
      <c r="A597" s="87"/>
      <c r="B597" s="87"/>
      <c r="F597" s="87"/>
      <c r="G597" s="87"/>
      <c r="J597" s="87"/>
      <c r="L597" s="87"/>
    </row>
    <row r="598" ht="13.5" customHeight="1">
      <c r="A598" s="87"/>
      <c r="B598" s="87"/>
      <c r="F598" s="87"/>
      <c r="G598" s="87"/>
      <c r="J598" s="87"/>
      <c r="L598" s="87"/>
    </row>
    <row r="599" ht="13.5" customHeight="1">
      <c r="A599" s="87"/>
      <c r="B599" s="87"/>
      <c r="F599" s="87"/>
      <c r="G599" s="87"/>
      <c r="J599" s="87"/>
      <c r="L599" s="87"/>
    </row>
    <row r="600" ht="13.5" customHeight="1">
      <c r="A600" s="87"/>
      <c r="B600" s="87"/>
      <c r="F600" s="87"/>
      <c r="G600" s="87"/>
      <c r="J600" s="87"/>
      <c r="L600" s="87"/>
    </row>
    <row r="601" ht="13.5" customHeight="1">
      <c r="A601" s="87"/>
      <c r="B601" s="87"/>
      <c r="F601" s="87"/>
      <c r="G601" s="87"/>
      <c r="J601" s="87"/>
      <c r="L601" s="87"/>
    </row>
    <row r="602" ht="13.5" customHeight="1">
      <c r="A602" s="87"/>
      <c r="B602" s="87"/>
      <c r="F602" s="87"/>
      <c r="G602" s="87"/>
      <c r="J602" s="87"/>
      <c r="L602" s="87"/>
    </row>
    <row r="603" ht="13.5" customHeight="1">
      <c r="A603" s="87"/>
      <c r="B603" s="87"/>
      <c r="F603" s="87"/>
      <c r="G603" s="87"/>
      <c r="J603" s="87"/>
      <c r="L603" s="87"/>
    </row>
    <row r="604" ht="13.5" customHeight="1">
      <c r="A604" s="87"/>
      <c r="B604" s="87"/>
      <c r="F604" s="87"/>
      <c r="G604" s="87"/>
      <c r="J604" s="87"/>
      <c r="L604" s="87"/>
    </row>
    <row r="605" ht="13.5" customHeight="1">
      <c r="A605" s="87"/>
      <c r="B605" s="87"/>
      <c r="F605" s="87"/>
      <c r="G605" s="87"/>
      <c r="J605" s="87"/>
      <c r="L605" s="87"/>
    </row>
    <row r="606" ht="13.5" customHeight="1">
      <c r="A606" s="87"/>
      <c r="B606" s="87"/>
      <c r="F606" s="87"/>
      <c r="G606" s="87"/>
      <c r="J606" s="87"/>
      <c r="L606" s="87"/>
    </row>
    <row r="607" ht="13.5" customHeight="1">
      <c r="A607" s="87"/>
      <c r="B607" s="87"/>
      <c r="F607" s="87"/>
      <c r="G607" s="87"/>
      <c r="J607" s="87"/>
      <c r="L607" s="87"/>
    </row>
    <row r="608" ht="13.5" customHeight="1">
      <c r="A608" s="87"/>
      <c r="B608" s="87"/>
      <c r="F608" s="87"/>
      <c r="G608" s="87"/>
      <c r="J608" s="87"/>
      <c r="L608" s="87"/>
    </row>
    <row r="609" ht="13.5" customHeight="1">
      <c r="A609" s="87"/>
      <c r="B609" s="87"/>
      <c r="F609" s="87"/>
      <c r="G609" s="87"/>
      <c r="J609" s="87"/>
      <c r="L609" s="87"/>
    </row>
    <row r="610" ht="13.5" customHeight="1">
      <c r="A610" s="87"/>
      <c r="B610" s="87"/>
      <c r="F610" s="87"/>
      <c r="G610" s="87"/>
      <c r="J610" s="87"/>
      <c r="L610" s="87"/>
    </row>
    <row r="611" ht="13.5" customHeight="1">
      <c r="A611" s="87"/>
      <c r="B611" s="87"/>
      <c r="F611" s="87"/>
      <c r="G611" s="87"/>
      <c r="J611" s="87"/>
      <c r="L611" s="87"/>
    </row>
    <row r="612" ht="13.5" customHeight="1">
      <c r="A612" s="87"/>
      <c r="B612" s="87"/>
      <c r="F612" s="87"/>
      <c r="G612" s="87"/>
      <c r="J612" s="87"/>
      <c r="L612" s="87"/>
    </row>
    <row r="613" ht="13.5" customHeight="1">
      <c r="A613" s="87"/>
      <c r="B613" s="87"/>
      <c r="F613" s="87"/>
      <c r="G613" s="87"/>
      <c r="J613" s="87"/>
      <c r="L613" s="87"/>
    </row>
    <row r="614" ht="13.5" customHeight="1">
      <c r="A614" s="87"/>
      <c r="B614" s="87"/>
      <c r="F614" s="87"/>
      <c r="G614" s="87"/>
      <c r="J614" s="87"/>
      <c r="L614" s="87"/>
    </row>
    <row r="615" ht="13.5" customHeight="1">
      <c r="A615" s="87"/>
      <c r="B615" s="87"/>
      <c r="F615" s="87"/>
      <c r="G615" s="87"/>
      <c r="J615" s="87"/>
      <c r="L615" s="87"/>
    </row>
    <row r="616" ht="13.5" customHeight="1">
      <c r="A616" s="87"/>
      <c r="B616" s="87"/>
      <c r="F616" s="87"/>
      <c r="G616" s="87"/>
      <c r="J616" s="87"/>
      <c r="L616" s="87"/>
    </row>
    <row r="617" ht="13.5" customHeight="1">
      <c r="A617" s="87"/>
      <c r="B617" s="87"/>
      <c r="F617" s="87"/>
      <c r="G617" s="87"/>
      <c r="J617" s="87"/>
      <c r="L617" s="87"/>
    </row>
    <row r="618" ht="13.5" customHeight="1">
      <c r="A618" s="87"/>
      <c r="B618" s="87"/>
      <c r="F618" s="87"/>
      <c r="G618" s="87"/>
      <c r="J618" s="87"/>
      <c r="L618" s="87"/>
    </row>
    <row r="619" ht="13.5" customHeight="1">
      <c r="A619" s="87"/>
      <c r="B619" s="87"/>
      <c r="F619" s="87"/>
      <c r="G619" s="87"/>
      <c r="J619" s="87"/>
      <c r="L619" s="87"/>
    </row>
    <row r="620" ht="13.5" customHeight="1">
      <c r="A620" s="87"/>
      <c r="B620" s="87"/>
      <c r="F620" s="87"/>
      <c r="G620" s="87"/>
      <c r="J620" s="87"/>
      <c r="L620" s="87"/>
    </row>
    <row r="621" ht="13.5" customHeight="1">
      <c r="A621" s="87"/>
      <c r="B621" s="87"/>
      <c r="F621" s="87"/>
      <c r="G621" s="87"/>
      <c r="J621" s="87"/>
      <c r="L621" s="87"/>
    </row>
    <row r="622" ht="13.5" customHeight="1">
      <c r="A622" s="87"/>
      <c r="B622" s="87"/>
      <c r="F622" s="87"/>
      <c r="G622" s="87"/>
      <c r="J622" s="87"/>
      <c r="L622" s="87"/>
    </row>
    <row r="623" ht="13.5" customHeight="1">
      <c r="A623" s="87"/>
      <c r="B623" s="87"/>
      <c r="F623" s="87"/>
      <c r="G623" s="87"/>
      <c r="J623" s="87"/>
      <c r="L623" s="87"/>
    </row>
    <row r="624" ht="13.5" customHeight="1">
      <c r="A624" s="87"/>
      <c r="B624" s="87"/>
      <c r="F624" s="87"/>
      <c r="G624" s="87"/>
      <c r="J624" s="87"/>
      <c r="L624" s="87"/>
    </row>
    <row r="625" ht="13.5" customHeight="1">
      <c r="A625" s="87"/>
      <c r="B625" s="87"/>
      <c r="F625" s="87"/>
      <c r="G625" s="87"/>
      <c r="J625" s="87"/>
      <c r="L625" s="87"/>
    </row>
    <row r="626" ht="13.5" customHeight="1">
      <c r="A626" s="87"/>
      <c r="B626" s="87"/>
      <c r="F626" s="87"/>
      <c r="G626" s="87"/>
      <c r="J626" s="87"/>
      <c r="L626" s="87"/>
    </row>
    <row r="627" ht="13.5" customHeight="1">
      <c r="A627" s="87"/>
      <c r="B627" s="87"/>
      <c r="F627" s="87"/>
      <c r="G627" s="87"/>
      <c r="J627" s="87"/>
      <c r="L627" s="87"/>
    </row>
    <row r="628" ht="13.5" customHeight="1">
      <c r="A628" s="87"/>
      <c r="B628" s="87"/>
      <c r="F628" s="87"/>
      <c r="G628" s="87"/>
      <c r="J628" s="87"/>
      <c r="L628" s="87"/>
    </row>
    <row r="629" ht="13.5" customHeight="1">
      <c r="A629" s="87"/>
      <c r="B629" s="87"/>
      <c r="F629" s="87"/>
      <c r="G629" s="87"/>
      <c r="J629" s="87"/>
      <c r="L629" s="87"/>
    </row>
    <row r="630" ht="13.5" customHeight="1">
      <c r="A630" s="87"/>
      <c r="B630" s="87"/>
      <c r="F630" s="87"/>
      <c r="G630" s="87"/>
      <c r="J630" s="87"/>
      <c r="L630" s="87"/>
    </row>
    <row r="631" ht="13.5" customHeight="1">
      <c r="A631" s="87"/>
      <c r="B631" s="87"/>
      <c r="F631" s="87"/>
      <c r="G631" s="87"/>
      <c r="J631" s="87"/>
      <c r="L631" s="87"/>
    </row>
    <row r="632" ht="13.5" customHeight="1">
      <c r="A632" s="87"/>
      <c r="B632" s="87"/>
      <c r="F632" s="87"/>
      <c r="G632" s="87"/>
      <c r="J632" s="87"/>
      <c r="L632" s="87"/>
    </row>
    <row r="633" ht="13.5" customHeight="1">
      <c r="A633" s="87"/>
      <c r="B633" s="87"/>
      <c r="F633" s="87"/>
      <c r="G633" s="87"/>
      <c r="J633" s="87"/>
      <c r="L633" s="87"/>
    </row>
    <row r="634" ht="13.5" customHeight="1">
      <c r="A634" s="87"/>
      <c r="B634" s="87"/>
      <c r="F634" s="87"/>
      <c r="G634" s="87"/>
      <c r="J634" s="87"/>
      <c r="L634" s="87"/>
    </row>
    <row r="635" ht="13.5" customHeight="1">
      <c r="A635" s="87"/>
      <c r="B635" s="87"/>
      <c r="F635" s="87"/>
      <c r="G635" s="87"/>
      <c r="J635" s="87"/>
      <c r="L635" s="87"/>
    </row>
    <row r="636" ht="13.5" customHeight="1">
      <c r="A636" s="87"/>
      <c r="B636" s="87"/>
      <c r="F636" s="87"/>
      <c r="G636" s="87"/>
      <c r="J636" s="87"/>
      <c r="L636" s="87"/>
    </row>
    <row r="637" ht="13.5" customHeight="1">
      <c r="A637" s="87"/>
      <c r="B637" s="87"/>
      <c r="F637" s="87"/>
      <c r="G637" s="87"/>
      <c r="J637" s="87"/>
      <c r="L637" s="87"/>
    </row>
    <row r="638" ht="13.5" customHeight="1">
      <c r="A638" s="87"/>
      <c r="B638" s="87"/>
      <c r="F638" s="87"/>
      <c r="G638" s="87"/>
      <c r="J638" s="87"/>
      <c r="L638" s="87"/>
    </row>
    <row r="639" ht="13.5" customHeight="1">
      <c r="A639" s="87"/>
      <c r="B639" s="87"/>
      <c r="F639" s="87"/>
      <c r="G639" s="87"/>
      <c r="J639" s="87"/>
      <c r="L639" s="87"/>
    </row>
    <row r="640" ht="13.5" customHeight="1">
      <c r="A640" s="87"/>
      <c r="B640" s="87"/>
      <c r="F640" s="87"/>
      <c r="G640" s="87"/>
      <c r="J640" s="87"/>
      <c r="L640" s="87"/>
    </row>
    <row r="641" ht="13.5" customHeight="1">
      <c r="A641" s="87"/>
      <c r="B641" s="87"/>
      <c r="F641" s="87"/>
      <c r="G641" s="87"/>
      <c r="J641" s="87"/>
      <c r="L641" s="87"/>
    </row>
    <row r="642" ht="13.5" customHeight="1">
      <c r="A642" s="87"/>
      <c r="B642" s="87"/>
      <c r="F642" s="87"/>
      <c r="G642" s="87"/>
      <c r="J642" s="87"/>
      <c r="L642" s="87"/>
    </row>
    <row r="643" ht="13.5" customHeight="1">
      <c r="A643" s="87"/>
      <c r="B643" s="87"/>
      <c r="F643" s="87"/>
      <c r="G643" s="87"/>
      <c r="J643" s="87"/>
      <c r="L643" s="87"/>
    </row>
    <row r="644" ht="13.5" customHeight="1">
      <c r="A644" s="87"/>
      <c r="B644" s="87"/>
      <c r="F644" s="87"/>
      <c r="G644" s="87"/>
      <c r="J644" s="87"/>
      <c r="L644" s="87"/>
    </row>
    <row r="645" ht="13.5" customHeight="1">
      <c r="A645" s="87"/>
      <c r="B645" s="87"/>
      <c r="F645" s="87"/>
      <c r="G645" s="87"/>
      <c r="J645" s="87"/>
      <c r="L645" s="87"/>
    </row>
    <row r="646" ht="13.5" customHeight="1">
      <c r="A646" s="87"/>
      <c r="B646" s="87"/>
      <c r="F646" s="87"/>
      <c r="G646" s="87"/>
      <c r="J646" s="87"/>
      <c r="L646" s="87"/>
    </row>
    <row r="647" ht="13.5" customHeight="1">
      <c r="A647" s="87"/>
      <c r="B647" s="87"/>
      <c r="F647" s="87"/>
      <c r="G647" s="87"/>
      <c r="J647" s="87"/>
      <c r="L647" s="87"/>
    </row>
    <row r="648" ht="13.5" customHeight="1">
      <c r="A648" s="87"/>
      <c r="B648" s="87"/>
      <c r="F648" s="87"/>
      <c r="G648" s="87"/>
      <c r="J648" s="87"/>
      <c r="L648" s="87"/>
    </row>
    <row r="649" ht="13.5" customHeight="1">
      <c r="A649" s="87"/>
      <c r="B649" s="87"/>
      <c r="F649" s="87"/>
      <c r="G649" s="87"/>
      <c r="J649" s="87"/>
      <c r="L649" s="87"/>
    </row>
    <row r="650" ht="13.5" customHeight="1">
      <c r="A650" s="87"/>
      <c r="B650" s="87"/>
      <c r="F650" s="87"/>
      <c r="G650" s="87"/>
      <c r="J650" s="87"/>
      <c r="L650" s="87"/>
    </row>
    <row r="651" ht="13.5" customHeight="1">
      <c r="A651" s="87"/>
      <c r="B651" s="87"/>
      <c r="F651" s="87"/>
      <c r="G651" s="87"/>
      <c r="J651" s="87"/>
      <c r="L651" s="87"/>
    </row>
    <row r="652" ht="13.5" customHeight="1">
      <c r="A652" s="87"/>
      <c r="B652" s="87"/>
      <c r="F652" s="87"/>
      <c r="G652" s="87"/>
      <c r="J652" s="87"/>
      <c r="L652" s="87"/>
    </row>
    <row r="653" ht="13.5" customHeight="1">
      <c r="A653" s="87"/>
      <c r="B653" s="87"/>
      <c r="F653" s="87"/>
      <c r="G653" s="87"/>
      <c r="J653" s="87"/>
      <c r="L653" s="87"/>
    </row>
    <row r="654" ht="13.5" customHeight="1">
      <c r="A654" s="87"/>
      <c r="B654" s="87"/>
      <c r="F654" s="87"/>
      <c r="G654" s="87"/>
      <c r="J654" s="87"/>
      <c r="L654" s="87"/>
    </row>
    <row r="655" ht="13.5" customHeight="1">
      <c r="A655" s="87"/>
      <c r="B655" s="87"/>
      <c r="F655" s="87"/>
      <c r="G655" s="87"/>
      <c r="J655" s="87"/>
      <c r="L655" s="87"/>
    </row>
    <row r="656" ht="13.5" customHeight="1">
      <c r="A656" s="87"/>
      <c r="B656" s="87"/>
      <c r="F656" s="87"/>
      <c r="G656" s="87"/>
      <c r="J656" s="87"/>
      <c r="L656" s="87"/>
    </row>
    <row r="657" ht="13.5" customHeight="1">
      <c r="A657" s="87"/>
      <c r="B657" s="87"/>
      <c r="F657" s="87"/>
      <c r="G657" s="87"/>
      <c r="J657" s="87"/>
      <c r="L657" s="87"/>
    </row>
    <row r="658" ht="13.5" customHeight="1">
      <c r="A658" s="87"/>
      <c r="B658" s="87"/>
      <c r="F658" s="87"/>
      <c r="G658" s="87"/>
      <c r="J658" s="87"/>
      <c r="L658" s="87"/>
    </row>
    <row r="659" ht="13.5" customHeight="1">
      <c r="A659" s="87"/>
      <c r="B659" s="87"/>
      <c r="F659" s="87"/>
      <c r="G659" s="87"/>
      <c r="J659" s="87"/>
      <c r="L659" s="87"/>
    </row>
    <row r="660" ht="13.5" customHeight="1">
      <c r="A660" s="87"/>
      <c r="B660" s="87"/>
      <c r="F660" s="87"/>
      <c r="G660" s="87"/>
      <c r="J660" s="87"/>
      <c r="L660" s="87"/>
    </row>
    <row r="661" ht="13.5" customHeight="1">
      <c r="A661" s="87"/>
      <c r="B661" s="87"/>
      <c r="F661" s="87"/>
      <c r="G661" s="87"/>
      <c r="J661" s="87"/>
      <c r="L661" s="87"/>
    </row>
    <row r="662" ht="13.5" customHeight="1">
      <c r="A662" s="87"/>
      <c r="B662" s="87"/>
      <c r="F662" s="87"/>
      <c r="G662" s="87"/>
      <c r="J662" s="87"/>
      <c r="L662" s="87"/>
    </row>
    <row r="663" ht="13.5" customHeight="1">
      <c r="A663" s="87"/>
      <c r="B663" s="87"/>
      <c r="F663" s="87"/>
      <c r="G663" s="87"/>
      <c r="J663" s="87"/>
      <c r="L663" s="87"/>
    </row>
    <row r="664" ht="13.5" customHeight="1">
      <c r="A664" s="87"/>
      <c r="B664" s="87"/>
      <c r="F664" s="87"/>
      <c r="G664" s="87"/>
      <c r="J664" s="87"/>
      <c r="L664" s="87"/>
    </row>
    <row r="665" ht="13.5" customHeight="1">
      <c r="A665" s="87"/>
      <c r="B665" s="87"/>
      <c r="F665" s="87"/>
      <c r="G665" s="87"/>
      <c r="J665" s="87"/>
      <c r="L665" s="87"/>
    </row>
    <row r="666" ht="13.5" customHeight="1">
      <c r="A666" s="87"/>
      <c r="B666" s="87"/>
      <c r="F666" s="87"/>
      <c r="G666" s="87"/>
      <c r="J666" s="87"/>
      <c r="L666" s="87"/>
    </row>
    <row r="667" ht="13.5" customHeight="1">
      <c r="A667" s="87"/>
      <c r="B667" s="87"/>
      <c r="F667" s="87"/>
      <c r="G667" s="87"/>
      <c r="J667" s="87"/>
      <c r="L667" s="87"/>
    </row>
    <row r="668" ht="13.5" customHeight="1">
      <c r="A668" s="87"/>
      <c r="B668" s="87"/>
      <c r="F668" s="87"/>
      <c r="G668" s="87"/>
      <c r="J668" s="87"/>
      <c r="L668" s="87"/>
    </row>
    <row r="669" ht="13.5" customHeight="1">
      <c r="A669" s="87"/>
      <c r="B669" s="87"/>
      <c r="F669" s="87"/>
      <c r="G669" s="87"/>
      <c r="J669" s="87"/>
      <c r="L669" s="87"/>
    </row>
    <row r="670" ht="13.5" customHeight="1">
      <c r="A670" s="87"/>
      <c r="B670" s="87"/>
      <c r="F670" s="87"/>
      <c r="G670" s="87"/>
      <c r="J670" s="87"/>
      <c r="L670" s="87"/>
    </row>
    <row r="671" ht="13.5" customHeight="1">
      <c r="A671" s="87"/>
      <c r="B671" s="87"/>
      <c r="F671" s="87"/>
      <c r="G671" s="87"/>
      <c r="J671" s="87"/>
      <c r="L671" s="87"/>
    </row>
    <row r="672" ht="13.5" customHeight="1">
      <c r="A672" s="87"/>
      <c r="B672" s="87"/>
      <c r="F672" s="87"/>
      <c r="G672" s="87"/>
      <c r="J672" s="87"/>
      <c r="L672" s="87"/>
    </row>
    <row r="673" ht="13.5" customHeight="1">
      <c r="A673" s="87"/>
      <c r="B673" s="87"/>
      <c r="F673" s="87"/>
      <c r="G673" s="87"/>
      <c r="J673" s="87"/>
      <c r="L673" s="87"/>
    </row>
    <row r="674" ht="13.5" customHeight="1">
      <c r="A674" s="87"/>
      <c r="B674" s="87"/>
      <c r="F674" s="87"/>
      <c r="G674" s="87"/>
      <c r="J674" s="87"/>
      <c r="L674" s="87"/>
    </row>
    <row r="675" ht="13.5" customHeight="1">
      <c r="A675" s="87"/>
      <c r="B675" s="87"/>
      <c r="F675" s="87"/>
      <c r="G675" s="87"/>
      <c r="J675" s="87"/>
      <c r="L675" s="87"/>
    </row>
    <row r="676" ht="13.5" customHeight="1">
      <c r="A676" s="87"/>
      <c r="B676" s="87"/>
      <c r="F676" s="87"/>
      <c r="G676" s="87"/>
      <c r="J676" s="87"/>
      <c r="L676" s="87"/>
    </row>
    <row r="677" ht="13.5" customHeight="1">
      <c r="A677" s="87"/>
      <c r="B677" s="87"/>
      <c r="F677" s="87"/>
      <c r="G677" s="87"/>
      <c r="J677" s="87"/>
      <c r="L677" s="87"/>
    </row>
    <row r="678" ht="13.5" customHeight="1">
      <c r="A678" s="87"/>
      <c r="B678" s="87"/>
      <c r="F678" s="87"/>
      <c r="G678" s="87"/>
      <c r="J678" s="87"/>
      <c r="L678" s="87"/>
    </row>
    <row r="679" ht="13.5" customHeight="1">
      <c r="A679" s="87"/>
      <c r="B679" s="87"/>
      <c r="F679" s="87"/>
      <c r="G679" s="87"/>
      <c r="J679" s="87"/>
      <c r="L679" s="87"/>
    </row>
    <row r="680" ht="13.5" customHeight="1">
      <c r="A680" s="87"/>
      <c r="B680" s="87"/>
      <c r="F680" s="87"/>
      <c r="G680" s="87"/>
      <c r="J680" s="87"/>
      <c r="L680" s="87"/>
    </row>
    <row r="681" ht="13.5" customHeight="1">
      <c r="A681" s="87"/>
      <c r="B681" s="87"/>
      <c r="F681" s="87"/>
      <c r="G681" s="87"/>
      <c r="J681" s="87"/>
      <c r="L681" s="87"/>
    </row>
    <row r="682" ht="13.5" customHeight="1">
      <c r="A682" s="87"/>
      <c r="B682" s="87"/>
      <c r="F682" s="87"/>
      <c r="G682" s="87"/>
      <c r="J682" s="87"/>
      <c r="L682" s="87"/>
    </row>
    <row r="683" ht="13.5" customHeight="1">
      <c r="A683" s="87"/>
      <c r="B683" s="87"/>
      <c r="F683" s="87"/>
      <c r="G683" s="87"/>
      <c r="J683" s="87"/>
      <c r="L683" s="87"/>
    </row>
    <row r="684" ht="13.5" customHeight="1">
      <c r="A684" s="87"/>
      <c r="B684" s="87"/>
      <c r="F684" s="87"/>
      <c r="G684" s="87"/>
      <c r="J684" s="87"/>
      <c r="L684" s="87"/>
    </row>
    <row r="685" ht="13.5" customHeight="1">
      <c r="A685" s="87"/>
      <c r="B685" s="87"/>
      <c r="F685" s="87"/>
      <c r="G685" s="87"/>
      <c r="J685" s="87"/>
      <c r="L685" s="87"/>
    </row>
    <row r="686" ht="13.5" customHeight="1">
      <c r="A686" s="87"/>
      <c r="B686" s="87"/>
      <c r="F686" s="87"/>
      <c r="G686" s="87"/>
      <c r="J686" s="87"/>
      <c r="L686" s="87"/>
    </row>
    <row r="687" ht="13.5" customHeight="1">
      <c r="A687" s="87"/>
      <c r="B687" s="87"/>
      <c r="F687" s="87"/>
      <c r="G687" s="87"/>
      <c r="J687" s="87"/>
      <c r="L687" s="87"/>
    </row>
    <row r="688" ht="13.5" customHeight="1">
      <c r="A688" s="87"/>
      <c r="B688" s="87"/>
      <c r="F688" s="87"/>
      <c r="G688" s="87"/>
      <c r="J688" s="87"/>
      <c r="L688" s="87"/>
    </row>
    <row r="689" ht="13.5" customHeight="1">
      <c r="A689" s="87"/>
      <c r="B689" s="87"/>
      <c r="F689" s="87"/>
      <c r="G689" s="87"/>
      <c r="J689" s="87"/>
      <c r="L689" s="87"/>
    </row>
    <row r="690" ht="13.5" customHeight="1">
      <c r="A690" s="87"/>
      <c r="B690" s="87"/>
      <c r="F690" s="87"/>
      <c r="G690" s="87"/>
      <c r="J690" s="87"/>
      <c r="L690" s="87"/>
    </row>
    <row r="691" ht="13.5" customHeight="1">
      <c r="A691" s="87"/>
      <c r="B691" s="87"/>
      <c r="F691" s="87"/>
      <c r="G691" s="87"/>
      <c r="J691" s="87"/>
      <c r="L691" s="87"/>
    </row>
    <row r="692" ht="13.5" customHeight="1">
      <c r="A692" s="87"/>
      <c r="B692" s="87"/>
      <c r="F692" s="87"/>
      <c r="G692" s="87"/>
      <c r="J692" s="87"/>
      <c r="L692" s="87"/>
    </row>
    <row r="693" ht="13.5" customHeight="1">
      <c r="A693" s="87"/>
      <c r="B693" s="87"/>
      <c r="F693" s="87"/>
      <c r="G693" s="87"/>
      <c r="J693" s="87"/>
      <c r="L693" s="87"/>
    </row>
    <row r="694" ht="13.5" customHeight="1">
      <c r="A694" s="87"/>
      <c r="B694" s="87"/>
      <c r="F694" s="87"/>
      <c r="G694" s="87"/>
      <c r="J694" s="87"/>
      <c r="L694" s="87"/>
    </row>
    <row r="695" ht="13.5" customHeight="1">
      <c r="A695" s="87"/>
      <c r="B695" s="87"/>
      <c r="F695" s="87"/>
      <c r="G695" s="87"/>
      <c r="J695" s="87"/>
      <c r="L695" s="87"/>
    </row>
    <row r="696" ht="13.5" customHeight="1">
      <c r="A696" s="87"/>
      <c r="B696" s="87"/>
      <c r="F696" s="87"/>
      <c r="G696" s="87"/>
      <c r="J696" s="87"/>
      <c r="L696" s="87"/>
    </row>
    <row r="697" ht="13.5" customHeight="1">
      <c r="A697" s="87"/>
      <c r="B697" s="87"/>
      <c r="F697" s="87"/>
      <c r="G697" s="87"/>
      <c r="J697" s="87"/>
      <c r="L697" s="87"/>
    </row>
    <row r="698" ht="13.5" customHeight="1">
      <c r="A698" s="87"/>
      <c r="B698" s="87"/>
      <c r="F698" s="87"/>
      <c r="G698" s="87"/>
      <c r="J698" s="87"/>
      <c r="L698" s="87"/>
    </row>
    <row r="699" ht="13.5" customHeight="1">
      <c r="A699" s="87"/>
      <c r="B699" s="87"/>
      <c r="F699" s="87"/>
      <c r="G699" s="87"/>
      <c r="J699" s="87"/>
      <c r="L699" s="87"/>
    </row>
    <row r="700" ht="13.5" customHeight="1">
      <c r="A700" s="87"/>
      <c r="B700" s="87"/>
      <c r="F700" s="87"/>
      <c r="G700" s="87"/>
      <c r="J700" s="87"/>
      <c r="L700" s="87"/>
    </row>
    <row r="701" ht="13.5" customHeight="1">
      <c r="A701" s="87"/>
      <c r="B701" s="87"/>
      <c r="F701" s="87"/>
      <c r="G701" s="87"/>
      <c r="J701" s="87"/>
      <c r="L701" s="87"/>
    </row>
    <row r="702" ht="13.5" customHeight="1">
      <c r="A702" s="87"/>
      <c r="B702" s="87"/>
      <c r="F702" s="87"/>
      <c r="G702" s="87"/>
      <c r="J702" s="87"/>
      <c r="L702" s="87"/>
    </row>
    <row r="703" ht="13.5" customHeight="1">
      <c r="A703" s="87"/>
      <c r="B703" s="87"/>
      <c r="F703" s="87"/>
      <c r="G703" s="87"/>
      <c r="J703" s="87"/>
      <c r="L703" s="87"/>
    </row>
    <row r="704" ht="13.5" customHeight="1">
      <c r="A704" s="87"/>
      <c r="B704" s="87"/>
      <c r="F704" s="87"/>
      <c r="G704" s="87"/>
      <c r="J704" s="87"/>
      <c r="L704" s="87"/>
    </row>
    <row r="705" ht="13.5" customHeight="1">
      <c r="A705" s="87"/>
      <c r="B705" s="87"/>
      <c r="F705" s="87"/>
      <c r="G705" s="87"/>
      <c r="J705" s="87"/>
      <c r="L705" s="87"/>
    </row>
    <row r="706" ht="13.5" customHeight="1">
      <c r="A706" s="87"/>
      <c r="B706" s="87"/>
      <c r="F706" s="87"/>
      <c r="G706" s="87"/>
      <c r="J706" s="87"/>
      <c r="L706" s="87"/>
    </row>
    <row r="707" ht="13.5" customHeight="1">
      <c r="A707" s="87"/>
      <c r="B707" s="87"/>
      <c r="F707" s="87"/>
      <c r="G707" s="87"/>
      <c r="J707" s="87"/>
      <c r="L707" s="87"/>
    </row>
    <row r="708" ht="13.5" customHeight="1">
      <c r="A708" s="87"/>
      <c r="B708" s="87"/>
      <c r="F708" s="87"/>
      <c r="G708" s="87"/>
      <c r="J708" s="87"/>
      <c r="L708" s="87"/>
    </row>
    <row r="709" ht="13.5" customHeight="1">
      <c r="A709" s="87"/>
      <c r="B709" s="87"/>
      <c r="F709" s="87"/>
      <c r="G709" s="87"/>
      <c r="J709" s="87"/>
      <c r="L709" s="87"/>
    </row>
    <row r="710" ht="13.5" customHeight="1">
      <c r="A710" s="87"/>
      <c r="B710" s="87"/>
      <c r="F710" s="87"/>
      <c r="G710" s="87"/>
      <c r="J710" s="87"/>
      <c r="L710" s="87"/>
    </row>
    <row r="711" ht="13.5" customHeight="1">
      <c r="A711" s="87"/>
      <c r="B711" s="87"/>
      <c r="F711" s="87"/>
      <c r="G711" s="87"/>
      <c r="J711" s="87"/>
      <c r="L711" s="87"/>
    </row>
    <row r="712" ht="13.5" customHeight="1">
      <c r="A712" s="87"/>
      <c r="B712" s="87"/>
      <c r="F712" s="87"/>
      <c r="G712" s="87"/>
      <c r="J712" s="87"/>
      <c r="L712" s="87"/>
    </row>
    <row r="713" ht="13.5" customHeight="1">
      <c r="A713" s="87"/>
      <c r="B713" s="87"/>
      <c r="F713" s="87"/>
      <c r="G713" s="87"/>
      <c r="J713" s="87"/>
      <c r="L713" s="87"/>
    </row>
    <row r="714" ht="13.5" customHeight="1">
      <c r="A714" s="87"/>
      <c r="B714" s="87"/>
      <c r="F714" s="87"/>
      <c r="G714" s="87"/>
      <c r="J714" s="87"/>
      <c r="L714" s="87"/>
    </row>
    <row r="715" ht="13.5" customHeight="1">
      <c r="A715" s="87"/>
      <c r="B715" s="87"/>
      <c r="F715" s="87"/>
      <c r="G715" s="87"/>
      <c r="J715" s="87"/>
      <c r="L715" s="87"/>
    </row>
    <row r="716" ht="13.5" customHeight="1">
      <c r="A716" s="87"/>
      <c r="B716" s="87"/>
      <c r="F716" s="87"/>
      <c r="G716" s="87"/>
      <c r="J716" s="87"/>
      <c r="L716" s="87"/>
    </row>
    <row r="717" ht="13.5" customHeight="1">
      <c r="A717" s="87"/>
      <c r="B717" s="87"/>
      <c r="F717" s="87"/>
      <c r="G717" s="87"/>
      <c r="J717" s="87"/>
      <c r="L717" s="87"/>
    </row>
    <row r="718" ht="13.5" customHeight="1">
      <c r="A718" s="87"/>
      <c r="B718" s="87"/>
      <c r="F718" s="87"/>
      <c r="G718" s="87"/>
      <c r="J718" s="87"/>
      <c r="L718" s="87"/>
    </row>
    <row r="719" ht="13.5" customHeight="1">
      <c r="A719" s="87"/>
      <c r="B719" s="87"/>
      <c r="F719" s="87"/>
      <c r="G719" s="87"/>
      <c r="J719" s="87"/>
      <c r="L719" s="87"/>
    </row>
    <row r="720" ht="13.5" customHeight="1">
      <c r="A720" s="87"/>
      <c r="B720" s="87"/>
      <c r="F720" s="87"/>
      <c r="G720" s="87"/>
      <c r="J720" s="87"/>
      <c r="L720" s="87"/>
    </row>
    <row r="721" ht="13.5" customHeight="1">
      <c r="A721" s="87"/>
      <c r="B721" s="87"/>
      <c r="F721" s="87"/>
      <c r="G721" s="87"/>
      <c r="J721" s="87"/>
      <c r="L721" s="87"/>
    </row>
    <row r="722" ht="13.5" customHeight="1">
      <c r="A722" s="87"/>
      <c r="B722" s="87"/>
      <c r="F722" s="87"/>
      <c r="G722" s="87"/>
      <c r="J722" s="87"/>
      <c r="L722" s="87"/>
    </row>
    <row r="723" ht="13.5" customHeight="1">
      <c r="A723" s="87"/>
      <c r="B723" s="87"/>
      <c r="F723" s="87"/>
      <c r="G723" s="87"/>
      <c r="J723" s="87"/>
      <c r="L723" s="87"/>
    </row>
    <row r="724" ht="13.5" customHeight="1">
      <c r="A724" s="87"/>
      <c r="B724" s="87"/>
      <c r="F724" s="87"/>
      <c r="G724" s="87"/>
      <c r="J724" s="87"/>
      <c r="L724" s="87"/>
    </row>
    <row r="725" ht="13.5" customHeight="1">
      <c r="A725" s="87"/>
      <c r="B725" s="87"/>
      <c r="F725" s="87"/>
      <c r="G725" s="87"/>
      <c r="J725" s="87"/>
      <c r="L725" s="87"/>
    </row>
    <row r="726" ht="13.5" customHeight="1">
      <c r="A726" s="87"/>
      <c r="B726" s="87"/>
      <c r="F726" s="87"/>
      <c r="G726" s="87"/>
      <c r="J726" s="87"/>
      <c r="L726" s="87"/>
    </row>
    <row r="727" ht="13.5" customHeight="1">
      <c r="A727" s="87"/>
      <c r="B727" s="87"/>
      <c r="F727" s="87"/>
      <c r="G727" s="87"/>
      <c r="J727" s="87"/>
      <c r="L727" s="87"/>
    </row>
    <row r="728" ht="13.5" customHeight="1">
      <c r="A728" s="87"/>
      <c r="B728" s="87"/>
      <c r="F728" s="87"/>
      <c r="G728" s="87"/>
      <c r="J728" s="87"/>
      <c r="L728" s="87"/>
    </row>
    <row r="729" ht="13.5" customHeight="1">
      <c r="A729" s="87"/>
      <c r="B729" s="87"/>
      <c r="F729" s="87"/>
      <c r="G729" s="87"/>
      <c r="J729" s="87"/>
      <c r="L729" s="87"/>
    </row>
    <row r="730" ht="13.5" customHeight="1">
      <c r="A730" s="87"/>
      <c r="B730" s="87"/>
      <c r="F730" s="87"/>
      <c r="G730" s="87"/>
      <c r="J730" s="87"/>
      <c r="L730" s="87"/>
    </row>
    <row r="731" ht="13.5" customHeight="1">
      <c r="A731" s="87"/>
      <c r="B731" s="87"/>
      <c r="F731" s="87"/>
      <c r="G731" s="87"/>
      <c r="J731" s="87"/>
      <c r="L731" s="87"/>
    </row>
    <row r="732" ht="13.5" customHeight="1">
      <c r="A732" s="87"/>
      <c r="B732" s="87"/>
      <c r="F732" s="87"/>
      <c r="G732" s="87"/>
      <c r="J732" s="87"/>
      <c r="L732" s="87"/>
    </row>
    <row r="733" ht="13.5" customHeight="1">
      <c r="A733" s="87"/>
      <c r="B733" s="87"/>
      <c r="F733" s="87"/>
      <c r="G733" s="87"/>
      <c r="J733" s="87"/>
      <c r="L733" s="87"/>
    </row>
    <row r="734" ht="13.5" customHeight="1">
      <c r="A734" s="87"/>
      <c r="B734" s="87"/>
      <c r="F734" s="87"/>
      <c r="G734" s="87"/>
      <c r="J734" s="87"/>
      <c r="L734" s="87"/>
    </row>
    <row r="735" ht="13.5" customHeight="1">
      <c r="A735" s="87"/>
      <c r="B735" s="87"/>
      <c r="F735" s="87"/>
      <c r="G735" s="87"/>
      <c r="J735" s="87"/>
      <c r="L735" s="87"/>
    </row>
    <row r="736" ht="13.5" customHeight="1">
      <c r="A736" s="87"/>
      <c r="B736" s="87"/>
      <c r="F736" s="87"/>
      <c r="G736" s="87"/>
      <c r="J736" s="87"/>
      <c r="L736" s="87"/>
    </row>
    <row r="737" ht="13.5" customHeight="1">
      <c r="A737" s="87"/>
      <c r="B737" s="87"/>
      <c r="F737" s="87"/>
      <c r="G737" s="87"/>
      <c r="J737" s="87"/>
      <c r="L737" s="87"/>
    </row>
    <row r="738" ht="13.5" customHeight="1">
      <c r="A738" s="87"/>
      <c r="B738" s="87"/>
      <c r="F738" s="87"/>
      <c r="G738" s="87"/>
      <c r="J738" s="87"/>
      <c r="L738" s="87"/>
    </row>
    <row r="739" ht="13.5" customHeight="1">
      <c r="A739" s="87"/>
      <c r="B739" s="87"/>
      <c r="F739" s="87"/>
      <c r="G739" s="87"/>
      <c r="J739" s="87"/>
      <c r="L739" s="87"/>
    </row>
    <row r="740" ht="13.5" customHeight="1">
      <c r="A740" s="87"/>
      <c r="B740" s="87"/>
      <c r="F740" s="87"/>
      <c r="G740" s="87"/>
      <c r="J740" s="87"/>
      <c r="L740" s="87"/>
    </row>
    <row r="741" ht="13.5" customHeight="1">
      <c r="A741" s="87"/>
      <c r="B741" s="87"/>
      <c r="F741" s="87"/>
      <c r="G741" s="87"/>
      <c r="J741" s="87"/>
      <c r="L741" s="87"/>
    </row>
    <row r="742" ht="13.5" customHeight="1">
      <c r="A742" s="87"/>
      <c r="B742" s="87"/>
      <c r="F742" s="87"/>
      <c r="G742" s="87"/>
      <c r="J742" s="87"/>
      <c r="L742" s="87"/>
    </row>
    <row r="743" ht="13.5" customHeight="1">
      <c r="A743" s="87"/>
      <c r="B743" s="87"/>
      <c r="F743" s="87"/>
      <c r="G743" s="87"/>
      <c r="J743" s="87"/>
      <c r="L743" s="87"/>
    </row>
    <row r="744" ht="13.5" customHeight="1">
      <c r="A744" s="87"/>
      <c r="B744" s="87"/>
      <c r="F744" s="87"/>
      <c r="G744" s="87"/>
      <c r="J744" s="87"/>
      <c r="L744" s="87"/>
    </row>
    <row r="745" ht="13.5" customHeight="1">
      <c r="A745" s="87"/>
      <c r="B745" s="87"/>
      <c r="F745" s="87"/>
      <c r="G745" s="87"/>
      <c r="J745" s="87"/>
      <c r="L745" s="87"/>
    </row>
    <row r="746" ht="13.5" customHeight="1">
      <c r="A746" s="87"/>
      <c r="B746" s="87"/>
      <c r="F746" s="87"/>
      <c r="G746" s="87"/>
      <c r="J746" s="87"/>
      <c r="L746" s="87"/>
    </row>
    <row r="747" ht="13.5" customHeight="1">
      <c r="A747" s="87"/>
      <c r="B747" s="87"/>
      <c r="F747" s="87"/>
      <c r="G747" s="87"/>
      <c r="J747" s="87"/>
      <c r="L747" s="87"/>
    </row>
    <row r="748" ht="13.5" customHeight="1">
      <c r="A748" s="87"/>
      <c r="B748" s="87"/>
      <c r="F748" s="87"/>
      <c r="G748" s="87"/>
      <c r="J748" s="87"/>
      <c r="L748" s="87"/>
    </row>
    <row r="749" ht="13.5" customHeight="1">
      <c r="A749" s="87"/>
      <c r="B749" s="87"/>
      <c r="F749" s="87"/>
      <c r="G749" s="87"/>
      <c r="J749" s="87"/>
      <c r="L749" s="87"/>
    </row>
    <row r="750" ht="13.5" customHeight="1">
      <c r="A750" s="87"/>
      <c r="B750" s="87"/>
      <c r="F750" s="87"/>
      <c r="G750" s="87"/>
      <c r="J750" s="87"/>
      <c r="L750" s="87"/>
    </row>
    <row r="751" ht="13.5" customHeight="1">
      <c r="A751" s="87"/>
      <c r="B751" s="87"/>
      <c r="F751" s="87"/>
      <c r="G751" s="87"/>
      <c r="J751" s="87"/>
      <c r="L751" s="87"/>
    </row>
    <row r="752" ht="13.5" customHeight="1">
      <c r="A752" s="87"/>
      <c r="B752" s="87"/>
      <c r="F752" s="87"/>
      <c r="G752" s="87"/>
      <c r="J752" s="87"/>
      <c r="L752" s="87"/>
    </row>
    <row r="753" ht="13.5" customHeight="1">
      <c r="A753" s="87"/>
      <c r="B753" s="87"/>
      <c r="F753" s="87"/>
      <c r="G753" s="87"/>
      <c r="J753" s="87"/>
      <c r="L753" s="87"/>
    </row>
    <row r="754" ht="13.5" customHeight="1">
      <c r="A754" s="87"/>
      <c r="B754" s="87"/>
      <c r="F754" s="87"/>
      <c r="G754" s="87"/>
      <c r="J754" s="87"/>
      <c r="L754" s="87"/>
    </row>
    <row r="755" ht="13.5" customHeight="1">
      <c r="A755" s="87"/>
      <c r="B755" s="87"/>
      <c r="F755" s="87"/>
      <c r="G755" s="87"/>
      <c r="J755" s="87"/>
      <c r="L755" s="87"/>
    </row>
    <row r="756" ht="13.5" customHeight="1">
      <c r="A756" s="87"/>
      <c r="B756" s="87"/>
      <c r="F756" s="87"/>
      <c r="G756" s="87"/>
      <c r="J756" s="87"/>
      <c r="L756" s="87"/>
    </row>
    <row r="757" ht="13.5" customHeight="1">
      <c r="A757" s="87"/>
      <c r="B757" s="87"/>
      <c r="F757" s="87"/>
      <c r="G757" s="87"/>
      <c r="J757" s="87"/>
      <c r="L757" s="87"/>
    </row>
    <row r="758" ht="13.5" customHeight="1">
      <c r="A758" s="87"/>
      <c r="B758" s="87"/>
      <c r="F758" s="87"/>
      <c r="G758" s="87"/>
      <c r="J758" s="87"/>
      <c r="L758" s="87"/>
    </row>
    <row r="759" ht="13.5" customHeight="1">
      <c r="A759" s="87"/>
      <c r="B759" s="87"/>
      <c r="F759" s="87"/>
      <c r="G759" s="87"/>
      <c r="J759" s="87"/>
      <c r="L759" s="87"/>
    </row>
    <row r="760" ht="13.5" customHeight="1">
      <c r="A760" s="87"/>
      <c r="B760" s="87"/>
      <c r="F760" s="87"/>
      <c r="G760" s="87"/>
      <c r="J760" s="87"/>
      <c r="L760" s="87"/>
    </row>
    <row r="761" ht="13.5" customHeight="1">
      <c r="A761" s="87"/>
      <c r="B761" s="87"/>
      <c r="F761" s="87"/>
      <c r="G761" s="87"/>
      <c r="J761" s="87"/>
      <c r="L761" s="87"/>
    </row>
    <row r="762" ht="13.5" customHeight="1">
      <c r="A762" s="87"/>
      <c r="B762" s="87"/>
      <c r="F762" s="87"/>
      <c r="G762" s="87"/>
      <c r="J762" s="87"/>
      <c r="L762" s="87"/>
    </row>
    <row r="763" ht="13.5" customHeight="1">
      <c r="A763" s="87"/>
      <c r="B763" s="87"/>
      <c r="F763" s="87"/>
      <c r="G763" s="87"/>
      <c r="J763" s="87"/>
      <c r="L763" s="87"/>
    </row>
    <row r="764" ht="13.5" customHeight="1">
      <c r="A764" s="87"/>
      <c r="B764" s="87"/>
      <c r="F764" s="87"/>
      <c r="G764" s="87"/>
      <c r="J764" s="87"/>
      <c r="L764" s="87"/>
    </row>
    <row r="765" ht="13.5" customHeight="1">
      <c r="A765" s="87"/>
      <c r="B765" s="87"/>
      <c r="F765" s="87"/>
      <c r="G765" s="87"/>
      <c r="J765" s="87"/>
      <c r="L765" s="87"/>
    </row>
    <row r="766" ht="13.5" customHeight="1">
      <c r="A766" s="87"/>
      <c r="B766" s="87"/>
      <c r="F766" s="87"/>
      <c r="G766" s="87"/>
      <c r="J766" s="87"/>
      <c r="L766" s="87"/>
    </row>
    <row r="767" ht="13.5" customHeight="1">
      <c r="A767" s="87"/>
      <c r="B767" s="87"/>
      <c r="F767" s="87"/>
      <c r="G767" s="87"/>
      <c r="J767" s="87"/>
      <c r="L767" s="87"/>
    </row>
    <row r="768" ht="13.5" customHeight="1">
      <c r="A768" s="87"/>
      <c r="B768" s="87"/>
      <c r="F768" s="87"/>
      <c r="G768" s="87"/>
      <c r="J768" s="87"/>
      <c r="L768" s="87"/>
    </row>
    <row r="769" ht="13.5" customHeight="1">
      <c r="A769" s="87"/>
      <c r="B769" s="87"/>
      <c r="F769" s="87"/>
      <c r="G769" s="87"/>
      <c r="J769" s="87"/>
      <c r="L769" s="87"/>
    </row>
    <row r="770" ht="13.5" customHeight="1">
      <c r="A770" s="87"/>
      <c r="B770" s="87"/>
      <c r="F770" s="87"/>
      <c r="G770" s="87"/>
      <c r="J770" s="87"/>
      <c r="L770" s="87"/>
    </row>
    <row r="771" ht="13.5" customHeight="1">
      <c r="A771" s="87"/>
      <c r="B771" s="87"/>
      <c r="F771" s="87"/>
      <c r="G771" s="87"/>
      <c r="J771" s="87"/>
      <c r="L771" s="87"/>
    </row>
    <row r="772" ht="13.5" customHeight="1">
      <c r="A772" s="87"/>
      <c r="B772" s="87"/>
      <c r="F772" s="87"/>
      <c r="G772" s="87"/>
      <c r="J772" s="87"/>
      <c r="L772" s="87"/>
    </row>
    <row r="773" ht="13.5" customHeight="1">
      <c r="A773" s="87"/>
      <c r="B773" s="87"/>
      <c r="F773" s="87"/>
      <c r="G773" s="87"/>
      <c r="J773" s="87"/>
      <c r="L773" s="87"/>
    </row>
    <row r="774" ht="13.5" customHeight="1">
      <c r="A774" s="87"/>
      <c r="B774" s="87"/>
      <c r="F774" s="87"/>
      <c r="G774" s="87"/>
      <c r="J774" s="87"/>
      <c r="L774" s="87"/>
    </row>
    <row r="775" ht="13.5" customHeight="1">
      <c r="A775" s="87"/>
      <c r="B775" s="87"/>
      <c r="F775" s="87"/>
      <c r="G775" s="87"/>
      <c r="J775" s="87"/>
      <c r="L775" s="87"/>
    </row>
    <row r="776" ht="13.5" customHeight="1">
      <c r="A776" s="87"/>
      <c r="B776" s="87"/>
      <c r="F776" s="87"/>
      <c r="G776" s="87"/>
      <c r="J776" s="87"/>
      <c r="L776" s="87"/>
    </row>
    <row r="777" ht="13.5" customHeight="1">
      <c r="A777" s="87"/>
      <c r="B777" s="87"/>
      <c r="F777" s="87"/>
      <c r="G777" s="87"/>
      <c r="J777" s="87"/>
      <c r="L777" s="87"/>
    </row>
    <row r="778" ht="13.5" customHeight="1">
      <c r="A778" s="87"/>
      <c r="B778" s="87"/>
      <c r="F778" s="87"/>
      <c r="G778" s="87"/>
      <c r="J778" s="87"/>
      <c r="L778" s="87"/>
    </row>
    <row r="779" ht="13.5" customHeight="1">
      <c r="A779" s="87"/>
      <c r="B779" s="87"/>
      <c r="F779" s="87"/>
      <c r="G779" s="87"/>
      <c r="J779" s="87"/>
      <c r="L779" s="87"/>
    </row>
    <row r="780" ht="13.5" customHeight="1">
      <c r="A780" s="87"/>
      <c r="B780" s="87"/>
      <c r="F780" s="87"/>
      <c r="G780" s="87"/>
      <c r="J780" s="87"/>
      <c r="L780" s="87"/>
    </row>
    <row r="781" ht="13.5" customHeight="1">
      <c r="A781" s="87"/>
      <c r="B781" s="87"/>
      <c r="F781" s="87"/>
      <c r="G781" s="87"/>
      <c r="J781" s="87"/>
      <c r="L781" s="87"/>
    </row>
    <row r="782" ht="13.5" customHeight="1">
      <c r="A782" s="87"/>
      <c r="B782" s="87"/>
      <c r="F782" s="87"/>
      <c r="G782" s="87"/>
      <c r="J782" s="87"/>
      <c r="L782" s="87"/>
    </row>
    <row r="783" ht="13.5" customHeight="1">
      <c r="A783" s="87"/>
      <c r="B783" s="87"/>
      <c r="F783" s="87"/>
      <c r="G783" s="87"/>
      <c r="J783" s="87"/>
      <c r="L783" s="87"/>
    </row>
    <row r="784" ht="13.5" customHeight="1">
      <c r="A784" s="87"/>
      <c r="B784" s="87"/>
      <c r="F784" s="87"/>
      <c r="G784" s="87"/>
      <c r="J784" s="87"/>
      <c r="L784" s="87"/>
    </row>
    <row r="785" ht="13.5" customHeight="1">
      <c r="A785" s="87"/>
      <c r="B785" s="87"/>
      <c r="F785" s="87"/>
      <c r="G785" s="87"/>
      <c r="J785" s="87"/>
      <c r="L785" s="87"/>
    </row>
    <row r="786" ht="13.5" customHeight="1">
      <c r="A786" s="87"/>
      <c r="B786" s="87"/>
      <c r="F786" s="87"/>
      <c r="G786" s="87"/>
      <c r="J786" s="87"/>
      <c r="L786" s="87"/>
    </row>
    <row r="787" ht="13.5" customHeight="1">
      <c r="A787" s="87"/>
      <c r="B787" s="87"/>
      <c r="F787" s="87"/>
      <c r="G787" s="87"/>
      <c r="J787" s="87"/>
      <c r="L787" s="87"/>
    </row>
    <row r="788" ht="13.5" customHeight="1">
      <c r="A788" s="87"/>
      <c r="B788" s="87"/>
      <c r="F788" s="87"/>
      <c r="G788" s="87"/>
      <c r="J788" s="87"/>
      <c r="L788" s="87"/>
    </row>
    <row r="789" ht="13.5" customHeight="1">
      <c r="A789" s="87"/>
      <c r="B789" s="87"/>
      <c r="F789" s="87"/>
      <c r="G789" s="87"/>
      <c r="J789" s="87"/>
      <c r="L789" s="87"/>
    </row>
    <row r="790" ht="13.5" customHeight="1">
      <c r="A790" s="87"/>
      <c r="B790" s="87"/>
      <c r="F790" s="87"/>
      <c r="G790" s="87"/>
      <c r="J790" s="87"/>
      <c r="L790" s="87"/>
    </row>
    <row r="791" ht="13.5" customHeight="1">
      <c r="A791" s="87"/>
      <c r="B791" s="87"/>
      <c r="F791" s="87"/>
      <c r="G791" s="87"/>
      <c r="J791" s="87"/>
      <c r="L791" s="87"/>
    </row>
    <row r="792" ht="13.5" customHeight="1">
      <c r="A792" s="87"/>
      <c r="B792" s="87"/>
      <c r="F792" s="87"/>
      <c r="G792" s="87"/>
      <c r="J792" s="87"/>
      <c r="L792" s="87"/>
    </row>
    <row r="793" ht="13.5" customHeight="1">
      <c r="A793" s="87"/>
      <c r="B793" s="87"/>
      <c r="F793" s="87"/>
      <c r="G793" s="87"/>
      <c r="J793" s="87"/>
      <c r="L793" s="87"/>
    </row>
    <row r="794" ht="13.5" customHeight="1">
      <c r="A794" s="87"/>
      <c r="B794" s="87"/>
      <c r="F794" s="87"/>
      <c r="G794" s="87"/>
      <c r="J794" s="87"/>
      <c r="L794" s="87"/>
    </row>
    <row r="795" ht="13.5" customHeight="1">
      <c r="A795" s="87"/>
      <c r="B795" s="87"/>
      <c r="F795" s="87"/>
      <c r="G795" s="87"/>
      <c r="J795" s="87"/>
      <c r="L795" s="87"/>
    </row>
    <row r="796" ht="13.5" customHeight="1">
      <c r="A796" s="87"/>
      <c r="B796" s="87"/>
      <c r="F796" s="87"/>
      <c r="G796" s="87"/>
      <c r="J796" s="87"/>
      <c r="L796" s="87"/>
    </row>
    <row r="797" ht="13.5" customHeight="1">
      <c r="A797" s="87"/>
      <c r="B797" s="87"/>
      <c r="F797" s="87"/>
      <c r="G797" s="87"/>
      <c r="J797" s="87"/>
      <c r="L797" s="87"/>
    </row>
    <row r="798" ht="13.5" customHeight="1">
      <c r="A798" s="87"/>
      <c r="B798" s="87"/>
      <c r="F798" s="87"/>
      <c r="G798" s="87"/>
      <c r="J798" s="87"/>
      <c r="L798" s="87"/>
    </row>
    <row r="799" ht="13.5" customHeight="1">
      <c r="A799" s="87"/>
      <c r="B799" s="87"/>
      <c r="F799" s="87"/>
      <c r="G799" s="87"/>
      <c r="J799" s="87"/>
      <c r="L799" s="87"/>
    </row>
    <row r="800" ht="13.5" customHeight="1">
      <c r="A800" s="87"/>
      <c r="B800" s="87"/>
      <c r="F800" s="87"/>
      <c r="G800" s="87"/>
      <c r="J800" s="87"/>
      <c r="L800" s="87"/>
    </row>
    <row r="801" ht="13.5" customHeight="1">
      <c r="A801" s="87"/>
      <c r="B801" s="87"/>
      <c r="F801" s="87"/>
      <c r="G801" s="87"/>
      <c r="J801" s="87"/>
      <c r="L801" s="87"/>
    </row>
    <row r="802" ht="13.5" customHeight="1">
      <c r="A802" s="87"/>
      <c r="B802" s="87"/>
      <c r="F802" s="87"/>
      <c r="G802" s="87"/>
      <c r="J802" s="87"/>
      <c r="L802" s="87"/>
    </row>
    <row r="803" ht="13.5" customHeight="1">
      <c r="A803" s="87"/>
      <c r="B803" s="87"/>
      <c r="F803" s="87"/>
      <c r="G803" s="87"/>
      <c r="J803" s="87"/>
      <c r="L803" s="87"/>
    </row>
    <row r="804" ht="13.5" customHeight="1">
      <c r="A804" s="87"/>
      <c r="B804" s="87"/>
      <c r="F804" s="87"/>
      <c r="G804" s="87"/>
      <c r="J804" s="87"/>
      <c r="L804" s="87"/>
    </row>
    <row r="805" ht="13.5" customHeight="1">
      <c r="A805" s="87"/>
      <c r="B805" s="87"/>
      <c r="F805" s="87"/>
      <c r="G805" s="87"/>
      <c r="J805" s="87"/>
      <c r="L805" s="87"/>
    </row>
    <row r="806" ht="13.5" customHeight="1">
      <c r="A806" s="87"/>
      <c r="B806" s="87"/>
      <c r="F806" s="87"/>
      <c r="G806" s="87"/>
      <c r="J806" s="87"/>
      <c r="L806" s="87"/>
    </row>
    <row r="807" ht="13.5" customHeight="1">
      <c r="A807" s="87"/>
      <c r="B807" s="87"/>
      <c r="F807" s="87"/>
      <c r="G807" s="87"/>
      <c r="J807" s="87"/>
      <c r="L807" s="87"/>
    </row>
    <row r="808" ht="13.5" customHeight="1">
      <c r="A808" s="87"/>
      <c r="B808" s="87"/>
      <c r="F808" s="87"/>
      <c r="G808" s="87"/>
      <c r="J808" s="87"/>
      <c r="L808" s="87"/>
    </row>
    <row r="809" ht="13.5" customHeight="1">
      <c r="A809" s="87"/>
      <c r="B809" s="87"/>
      <c r="F809" s="87"/>
      <c r="G809" s="87"/>
      <c r="J809" s="87"/>
      <c r="L809" s="87"/>
    </row>
    <row r="810" ht="13.5" customHeight="1">
      <c r="A810" s="87"/>
      <c r="B810" s="87"/>
      <c r="F810" s="87"/>
      <c r="G810" s="87"/>
      <c r="J810" s="87"/>
      <c r="L810" s="87"/>
    </row>
    <row r="811" ht="13.5" customHeight="1">
      <c r="A811" s="87"/>
      <c r="B811" s="87"/>
      <c r="F811" s="87"/>
      <c r="G811" s="87"/>
      <c r="J811" s="87"/>
      <c r="L811" s="87"/>
    </row>
    <row r="812" ht="13.5" customHeight="1">
      <c r="A812" s="87"/>
      <c r="B812" s="87"/>
      <c r="F812" s="87"/>
      <c r="G812" s="87"/>
      <c r="J812" s="87"/>
      <c r="L812" s="87"/>
    </row>
    <row r="813" ht="13.5" customHeight="1">
      <c r="A813" s="87"/>
      <c r="B813" s="87"/>
      <c r="F813" s="87"/>
      <c r="G813" s="87"/>
      <c r="J813" s="87"/>
      <c r="L813" s="87"/>
    </row>
    <row r="814" ht="13.5" customHeight="1">
      <c r="A814" s="87"/>
      <c r="B814" s="87"/>
      <c r="F814" s="87"/>
      <c r="G814" s="87"/>
      <c r="J814" s="87"/>
      <c r="L814" s="87"/>
    </row>
    <row r="815" ht="13.5" customHeight="1">
      <c r="A815" s="87"/>
      <c r="B815" s="87"/>
      <c r="F815" s="87"/>
      <c r="G815" s="87"/>
      <c r="J815" s="87"/>
      <c r="L815" s="87"/>
    </row>
    <row r="816" ht="13.5" customHeight="1">
      <c r="A816" s="87"/>
      <c r="B816" s="87"/>
      <c r="F816" s="87"/>
      <c r="G816" s="87"/>
      <c r="J816" s="87"/>
      <c r="L816" s="87"/>
    </row>
    <row r="817" ht="13.5" customHeight="1">
      <c r="A817" s="87"/>
      <c r="B817" s="87"/>
      <c r="F817" s="87"/>
      <c r="G817" s="87"/>
      <c r="J817" s="87"/>
      <c r="L817" s="87"/>
    </row>
    <row r="818" ht="13.5" customHeight="1">
      <c r="A818" s="87"/>
      <c r="B818" s="87"/>
      <c r="F818" s="87"/>
      <c r="G818" s="87"/>
      <c r="J818" s="87"/>
      <c r="L818" s="87"/>
    </row>
    <row r="819" ht="13.5" customHeight="1">
      <c r="A819" s="87"/>
      <c r="B819" s="87"/>
      <c r="F819" s="87"/>
      <c r="G819" s="87"/>
      <c r="J819" s="87"/>
      <c r="L819" s="87"/>
    </row>
    <row r="820" ht="13.5" customHeight="1">
      <c r="A820" s="87"/>
      <c r="B820" s="87"/>
      <c r="F820" s="87"/>
      <c r="G820" s="87"/>
      <c r="J820" s="87"/>
      <c r="L820" s="87"/>
    </row>
    <row r="821" ht="13.5" customHeight="1">
      <c r="A821" s="87"/>
      <c r="B821" s="87"/>
      <c r="F821" s="87"/>
      <c r="G821" s="87"/>
      <c r="J821" s="87"/>
      <c r="L821" s="87"/>
    </row>
    <row r="822" ht="13.5" customHeight="1">
      <c r="A822" s="87"/>
      <c r="B822" s="87"/>
      <c r="F822" s="87"/>
      <c r="G822" s="87"/>
      <c r="J822" s="87"/>
      <c r="L822" s="87"/>
    </row>
    <row r="823" ht="13.5" customHeight="1">
      <c r="A823" s="87"/>
      <c r="B823" s="87"/>
      <c r="F823" s="87"/>
      <c r="G823" s="87"/>
      <c r="J823" s="87"/>
      <c r="L823" s="87"/>
    </row>
    <row r="824" ht="13.5" customHeight="1">
      <c r="A824" s="87"/>
      <c r="B824" s="87"/>
      <c r="F824" s="87"/>
      <c r="G824" s="87"/>
      <c r="J824" s="87"/>
      <c r="L824" s="87"/>
    </row>
    <row r="825" ht="13.5" customHeight="1">
      <c r="A825" s="87"/>
      <c r="B825" s="87"/>
      <c r="F825" s="87"/>
      <c r="G825" s="87"/>
      <c r="J825" s="87"/>
      <c r="L825" s="87"/>
    </row>
    <row r="826" ht="13.5" customHeight="1">
      <c r="A826" s="87"/>
      <c r="B826" s="87"/>
      <c r="F826" s="87"/>
      <c r="G826" s="87"/>
      <c r="J826" s="87"/>
      <c r="L826" s="87"/>
    </row>
    <row r="827" ht="13.5" customHeight="1">
      <c r="A827" s="87"/>
      <c r="B827" s="87"/>
      <c r="F827" s="87"/>
      <c r="G827" s="87"/>
      <c r="J827" s="87"/>
      <c r="L827" s="87"/>
    </row>
    <row r="828" ht="13.5" customHeight="1">
      <c r="A828" s="87"/>
      <c r="B828" s="87"/>
      <c r="F828" s="87"/>
      <c r="G828" s="87"/>
      <c r="J828" s="87"/>
      <c r="L828" s="87"/>
    </row>
    <row r="829" ht="13.5" customHeight="1">
      <c r="A829" s="87"/>
      <c r="B829" s="87"/>
      <c r="F829" s="87"/>
      <c r="G829" s="87"/>
      <c r="J829" s="87"/>
      <c r="L829" s="87"/>
    </row>
    <row r="830" ht="13.5" customHeight="1">
      <c r="A830" s="87"/>
      <c r="B830" s="87"/>
      <c r="F830" s="87"/>
      <c r="G830" s="87"/>
      <c r="J830" s="87"/>
      <c r="L830" s="87"/>
    </row>
    <row r="831" ht="13.5" customHeight="1">
      <c r="A831" s="87"/>
      <c r="B831" s="87"/>
      <c r="F831" s="87"/>
      <c r="G831" s="87"/>
      <c r="J831" s="87"/>
      <c r="L831" s="87"/>
    </row>
    <row r="832" ht="13.5" customHeight="1">
      <c r="A832" s="87"/>
      <c r="B832" s="87"/>
      <c r="F832" s="87"/>
      <c r="G832" s="87"/>
      <c r="J832" s="87"/>
      <c r="L832" s="87"/>
    </row>
    <row r="833" ht="13.5" customHeight="1">
      <c r="A833" s="87"/>
      <c r="B833" s="87"/>
      <c r="F833" s="87"/>
      <c r="G833" s="87"/>
      <c r="J833" s="87"/>
      <c r="L833" s="87"/>
    </row>
    <row r="834" ht="13.5" customHeight="1">
      <c r="A834" s="87"/>
      <c r="B834" s="87"/>
      <c r="F834" s="87"/>
      <c r="G834" s="87"/>
      <c r="J834" s="87"/>
      <c r="L834" s="87"/>
    </row>
    <row r="835" ht="13.5" customHeight="1">
      <c r="A835" s="87"/>
      <c r="B835" s="87"/>
      <c r="F835" s="87"/>
      <c r="G835" s="87"/>
      <c r="J835" s="87"/>
      <c r="L835" s="87"/>
    </row>
    <row r="836" ht="13.5" customHeight="1">
      <c r="A836" s="87"/>
      <c r="B836" s="87"/>
      <c r="F836" s="87"/>
      <c r="G836" s="87"/>
      <c r="J836" s="87"/>
      <c r="L836" s="87"/>
    </row>
    <row r="837" ht="13.5" customHeight="1">
      <c r="A837" s="87"/>
      <c r="B837" s="87"/>
      <c r="F837" s="87"/>
      <c r="G837" s="87"/>
      <c r="J837" s="87"/>
      <c r="L837" s="87"/>
    </row>
    <row r="838" ht="13.5" customHeight="1">
      <c r="A838" s="87"/>
      <c r="B838" s="87"/>
      <c r="F838" s="87"/>
      <c r="G838" s="87"/>
      <c r="J838" s="87"/>
      <c r="L838" s="87"/>
    </row>
    <row r="839" ht="13.5" customHeight="1">
      <c r="A839" s="87"/>
      <c r="B839" s="87"/>
      <c r="F839" s="87"/>
      <c r="G839" s="87"/>
      <c r="J839" s="87"/>
      <c r="L839" s="87"/>
    </row>
    <row r="840" ht="13.5" customHeight="1">
      <c r="A840" s="87"/>
      <c r="B840" s="87"/>
      <c r="F840" s="87"/>
      <c r="G840" s="87"/>
      <c r="J840" s="87"/>
      <c r="L840" s="87"/>
    </row>
    <row r="841" ht="13.5" customHeight="1">
      <c r="A841" s="87"/>
      <c r="B841" s="87"/>
      <c r="F841" s="87"/>
      <c r="G841" s="87"/>
      <c r="J841" s="87"/>
      <c r="L841" s="87"/>
    </row>
    <row r="842" ht="13.5" customHeight="1">
      <c r="A842" s="87"/>
      <c r="B842" s="87"/>
      <c r="F842" s="87"/>
      <c r="G842" s="87"/>
      <c r="J842" s="87"/>
      <c r="L842" s="87"/>
    </row>
    <row r="843" ht="13.5" customHeight="1">
      <c r="A843" s="87"/>
      <c r="B843" s="87"/>
      <c r="F843" s="87"/>
      <c r="G843" s="87"/>
      <c r="J843" s="87"/>
      <c r="L843" s="87"/>
    </row>
    <row r="844" ht="13.5" customHeight="1">
      <c r="A844" s="87"/>
      <c r="B844" s="87"/>
      <c r="F844" s="87"/>
      <c r="G844" s="87"/>
      <c r="J844" s="87"/>
      <c r="L844" s="87"/>
    </row>
    <row r="845" ht="13.5" customHeight="1">
      <c r="A845" s="87"/>
      <c r="B845" s="87"/>
      <c r="F845" s="87"/>
      <c r="G845" s="87"/>
      <c r="J845" s="87"/>
      <c r="L845" s="87"/>
    </row>
    <row r="846" ht="13.5" customHeight="1">
      <c r="A846" s="87"/>
      <c r="B846" s="87"/>
      <c r="F846" s="87"/>
      <c r="G846" s="87"/>
      <c r="J846" s="87"/>
      <c r="L846" s="87"/>
    </row>
    <row r="847" ht="13.5" customHeight="1">
      <c r="A847" s="87"/>
      <c r="B847" s="87"/>
      <c r="F847" s="87"/>
      <c r="G847" s="87"/>
      <c r="J847" s="87"/>
      <c r="L847" s="87"/>
    </row>
    <row r="848" ht="13.5" customHeight="1">
      <c r="A848" s="87"/>
      <c r="B848" s="87"/>
      <c r="F848" s="87"/>
      <c r="G848" s="87"/>
      <c r="J848" s="87"/>
      <c r="L848" s="87"/>
    </row>
    <row r="849" ht="13.5" customHeight="1">
      <c r="A849" s="87"/>
      <c r="B849" s="87"/>
      <c r="F849" s="87"/>
      <c r="G849" s="87"/>
      <c r="J849" s="87"/>
      <c r="L849" s="87"/>
    </row>
    <row r="850" ht="13.5" customHeight="1">
      <c r="A850" s="87"/>
      <c r="B850" s="87"/>
      <c r="F850" s="87"/>
      <c r="G850" s="87"/>
      <c r="J850" s="87"/>
      <c r="L850" s="87"/>
    </row>
    <row r="851" ht="13.5" customHeight="1">
      <c r="A851" s="87"/>
      <c r="B851" s="87"/>
      <c r="F851" s="87"/>
      <c r="G851" s="87"/>
      <c r="J851" s="87"/>
      <c r="L851" s="87"/>
    </row>
    <row r="852" ht="13.5" customHeight="1">
      <c r="A852" s="87"/>
      <c r="B852" s="87"/>
      <c r="F852" s="87"/>
      <c r="G852" s="87"/>
      <c r="J852" s="87"/>
      <c r="L852" s="87"/>
    </row>
    <row r="853" ht="13.5" customHeight="1">
      <c r="A853" s="87"/>
      <c r="B853" s="87"/>
      <c r="F853" s="87"/>
      <c r="G853" s="87"/>
      <c r="J853" s="87"/>
      <c r="L853" s="87"/>
    </row>
    <row r="854" ht="13.5" customHeight="1">
      <c r="A854" s="87"/>
      <c r="B854" s="87"/>
      <c r="F854" s="87"/>
      <c r="G854" s="87"/>
      <c r="J854" s="87"/>
      <c r="L854" s="87"/>
    </row>
    <row r="855" ht="13.5" customHeight="1">
      <c r="A855" s="87"/>
      <c r="B855" s="87"/>
      <c r="F855" s="87"/>
      <c r="G855" s="87"/>
      <c r="J855" s="87"/>
      <c r="L855" s="87"/>
    </row>
    <row r="856" ht="13.5" customHeight="1">
      <c r="A856" s="87"/>
      <c r="B856" s="87"/>
      <c r="F856" s="87"/>
      <c r="G856" s="87"/>
      <c r="J856" s="87"/>
      <c r="L856" s="87"/>
    </row>
    <row r="857" ht="13.5" customHeight="1">
      <c r="A857" s="87"/>
      <c r="B857" s="87"/>
      <c r="F857" s="87"/>
      <c r="G857" s="87"/>
      <c r="J857" s="87"/>
      <c r="L857" s="87"/>
    </row>
    <row r="858" ht="13.5" customHeight="1">
      <c r="A858" s="87"/>
      <c r="B858" s="87"/>
      <c r="F858" s="87"/>
      <c r="G858" s="87"/>
      <c r="J858" s="87"/>
      <c r="L858" s="87"/>
    </row>
    <row r="859" ht="13.5" customHeight="1">
      <c r="A859" s="87"/>
      <c r="B859" s="87"/>
      <c r="F859" s="87"/>
      <c r="G859" s="87"/>
      <c r="J859" s="87"/>
      <c r="L859" s="87"/>
    </row>
    <row r="860" ht="13.5" customHeight="1">
      <c r="A860" s="87"/>
      <c r="B860" s="87"/>
      <c r="F860" s="87"/>
      <c r="G860" s="87"/>
      <c r="J860" s="87"/>
      <c r="L860" s="87"/>
    </row>
    <row r="861" ht="13.5" customHeight="1">
      <c r="A861" s="87"/>
      <c r="B861" s="87"/>
      <c r="F861" s="87"/>
      <c r="G861" s="87"/>
      <c r="J861" s="87"/>
      <c r="L861" s="87"/>
    </row>
    <row r="862" ht="13.5" customHeight="1">
      <c r="A862" s="87"/>
      <c r="B862" s="87"/>
      <c r="F862" s="87"/>
      <c r="G862" s="87"/>
      <c r="J862" s="87"/>
      <c r="L862" s="87"/>
    </row>
    <row r="863" ht="13.5" customHeight="1">
      <c r="A863" s="87"/>
      <c r="B863" s="87"/>
      <c r="F863" s="87"/>
      <c r="G863" s="87"/>
      <c r="J863" s="87"/>
      <c r="L863" s="87"/>
    </row>
    <row r="864" ht="13.5" customHeight="1">
      <c r="A864" s="87"/>
      <c r="B864" s="87"/>
      <c r="F864" s="87"/>
      <c r="G864" s="87"/>
      <c r="J864" s="87"/>
      <c r="L864" s="87"/>
    </row>
    <row r="865" ht="13.5" customHeight="1">
      <c r="A865" s="87"/>
      <c r="B865" s="87"/>
      <c r="F865" s="87"/>
      <c r="G865" s="87"/>
      <c r="J865" s="87"/>
      <c r="L865" s="87"/>
    </row>
    <row r="866" ht="13.5" customHeight="1">
      <c r="A866" s="87"/>
      <c r="B866" s="87"/>
      <c r="F866" s="87"/>
      <c r="G866" s="87"/>
      <c r="J866" s="87"/>
      <c r="L866" s="87"/>
    </row>
    <row r="867" ht="13.5" customHeight="1">
      <c r="A867" s="87"/>
      <c r="B867" s="87"/>
      <c r="F867" s="87"/>
      <c r="G867" s="87"/>
      <c r="J867" s="87"/>
      <c r="L867" s="87"/>
    </row>
    <row r="868" ht="13.5" customHeight="1">
      <c r="A868" s="87"/>
      <c r="B868" s="87"/>
      <c r="F868" s="87"/>
      <c r="G868" s="87"/>
      <c r="J868" s="87"/>
      <c r="L868" s="87"/>
    </row>
    <row r="869" ht="13.5" customHeight="1">
      <c r="A869" s="87"/>
      <c r="B869" s="87"/>
      <c r="F869" s="87"/>
      <c r="G869" s="87"/>
      <c r="J869" s="87"/>
      <c r="L869" s="87"/>
    </row>
    <row r="870" ht="13.5" customHeight="1">
      <c r="A870" s="87"/>
      <c r="B870" s="87"/>
      <c r="F870" s="87"/>
      <c r="G870" s="87"/>
      <c r="J870" s="87"/>
      <c r="L870" s="87"/>
    </row>
    <row r="871" ht="13.5" customHeight="1">
      <c r="A871" s="87"/>
      <c r="B871" s="87"/>
      <c r="F871" s="87"/>
      <c r="G871" s="87"/>
      <c r="J871" s="87"/>
      <c r="L871" s="87"/>
    </row>
    <row r="872" ht="13.5" customHeight="1">
      <c r="A872" s="87"/>
      <c r="B872" s="87"/>
      <c r="F872" s="87"/>
      <c r="G872" s="87"/>
      <c r="J872" s="87"/>
      <c r="L872" s="87"/>
    </row>
    <row r="873" ht="13.5" customHeight="1">
      <c r="A873" s="87"/>
      <c r="B873" s="87"/>
      <c r="F873" s="87"/>
      <c r="G873" s="87"/>
      <c r="J873" s="87"/>
      <c r="L873" s="87"/>
    </row>
    <row r="874" ht="13.5" customHeight="1">
      <c r="A874" s="87"/>
      <c r="B874" s="87"/>
      <c r="F874" s="87"/>
      <c r="G874" s="87"/>
      <c r="J874" s="87"/>
      <c r="L874" s="87"/>
    </row>
    <row r="875" ht="13.5" customHeight="1">
      <c r="A875" s="87"/>
      <c r="B875" s="87"/>
      <c r="F875" s="87"/>
      <c r="G875" s="87"/>
      <c r="J875" s="87"/>
      <c r="L875" s="87"/>
    </row>
    <row r="876" ht="13.5" customHeight="1">
      <c r="A876" s="87"/>
      <c r="B876" s="87"/>
      <c r="F876" s="87"/>
      <c r="G876" s="87"/>
      <c r="J876" s="87"/>
      <c r="L876" s="87"/>
    </row>
    <row r="877" ht="13.5" customHeight="1">
      <c r="A877" s="87"/>
      <c r="B877" s="87"/>
      <c r="F877" s="87"/>
      <c r="G877" s="87"/>
      <c r="J877" s="87"/>
      <c r="L877" s="87"/>
    </row>
    <row r="878" ht="13.5" customHeight="1">
      <c r="A878" s="87"/>
      <c r="B878" s="87"/>
      <c r="F878" s="87"/>
      <c r="G878" s="87"/>
      <c r="J878" s="87"/>
      <c r="L878" s="87"/>
    </row>
    <row r="879" ht="13.5" customHeight="1">
      <c r="A879" s="87"/>
      <c r="B879" s="87"/>
      <c r="F879" s="87"/>
      <c r="G879" s="87"/>
      <c r="J879" s="87"/>
      <c r="L879" s="87"/>
    </row>
    <row r="880" ht="13.5" customHeight="1">
      <c r="A880" s="87"/>
      <c r="B880" s="87"/>
      <c r="F880" s="87"/>
      <c r="G880" s="87"/>
      <c r="J880" s="87"/>
      <c r="L880" s="87"/>
    </row>
    <row r="881" ht="13.5" customHeight="1">
      <c r="A881" s="87"/>
      <c r="B881" s="87"/>
      <c r="F881" s="87"/>
      <c r="G881" s="87"/>
      <c r="J881" s="87"/>
      <c r="L881" s="87"/>
    </row>
    <row r="882" ht="13.5" customHeight="1">
      <c r="A882" s="87"/>
      <c r="B882" s="87"/>
      <c r="F882" s="87"/>
      <c r="G882" s="87"/>
      <c r="J882" s="87"/>
      <c r="L882" s="87"/>
    </row>
    <row r="883" ht="13.5" customHeight="1">
      <c r="A883" s="87"/>
      <c r="B883" s="87"/>
      <c r="F883" s="87"/>
      <c r="G883" s="87"/>
      <c r="J883" s="87"/>
      <c r="L883" s="87"/>
    </row>
    <row r="884" ht="13.5" customHeight="1">
      <c r="A884" s="87"/>
      <c r="B884" s="87"/>
      <c r="F884" s="87"/>
      <c r="G884" s="87"/>
      <c r="J884" s="87"/>
      <c r="L884" s="87"/>
    </row>
    <row r="885" ht="13.5" customHeight="1">
      <c r="A885" s="87"/>
      <c r="B885" s="87"/>
      <c r="F885" s="87"/>
      <c r="G885" s="87"/>
      <c r="J885" s="87"/>
      <c r="L885" s="87"/>
    </row>
    <row r="886" ht="13.5" customHeight="1">
      <c r="A886" s="87"/>
      <c r="B886" s="87"/>
      <c r="F886" s="87"/>
      <c r="G886" s="87"/>
      <c r="J886" s="87"/>
      <c r="L886" s="87"/>
    </row>
    <row r="887" ht="13.5" customHeight="1">
      <c r="A887" s="87"/>
      <c r="B887" s="87"/>
      <c r="F887" s="87"/>
      <c r="G887" s="87"/>
      <c r="J887" s="87"/>
      <c r="L887" s="87"/>
    </row>
    <row r="888" ht="13.5" customHeight="1">
      <c r="A888" s="87"/>
      <c r="B888" s="87"/>
      <c r="F888" s="87"/>
      <c r="G888" s="87"/>
      <c r="J888" s="87"/>
      <c r="L888" s="87"/>
    </row>
    <row r="889" ht="13.5" customHeight="1">
      <c r="A889" s="87"/>
      <c r="B889" s="87"/>
      <c r="F889" s="87"/>
      <c r="G889" s="87"/>
      <c r="J889" s="87"/>
      <c r="L889" s="87"/>
    </row>
    <row r="890" ht="13.5" customHeight="1">
      <c r="A890" s="87"/>
      <c r="B890" s="87"/>
      <c r="F890" s="87"/>
      <c r="G890" s="87"/>
      <c r="J890" s="87"/>
      <c r="L890" s="87"/>
    </row>
    <row r="891" ht="13.5" customHeight="1">
      <c r="A891" s="87"/>
      <c r="B891" s="87"/>
      <c r="F891" s="87"/>
      <c r="G891" s="87"/>
      <c r="J891" s="87"/>
      <c r="L891" s="87"/>
    </row>
    <row r="892" ht="13.5" customHeight="1">
      <c r="A892" s="87"/>
      <c r="B892" s="87"/>
      <c r="F892" s="87"/>
      <c r="G892" s="87"/>
      <c r="J892" s="87"/>
      <c r="L892" s="87"/>
    </row>
    <row r="893" ht="13.5" customHeight="1">
      <c r="A893" s="87"/>
      <c r="B893" s="87"/>
      <c r="F893" s="87"/>
      <c r="G893" s="87"/>
      <c r="J893" s="87"/>
      <c r="L893" s="87"/>
    </row>
    <row r="894" ht="13.5" customHeight="1">
      <c r="A894" s="87"/>
      <c r="B894" s="87"/>
      <c r="F894" s="87"/>
      <c r="G894" s="87"/>
      <c r="J894" s="87"/>
      <c r="L894" s="87"/>
    </row>
    <row r="895" ht="13.5" customHeight="1">
      <c r="A895" s="87"/>
      <c r="B895" s="87"/>
      <c r="F895" s="87"/>
      <c r="G895" s="87"/>
      <c r="J895" s="87"/>
      <c r="L895" s="87"/>
    </row>
    <row r="896" ht="13.5" customHeight="1">
      <c r="A896" s="87"/>
      <c r="B896" s="87"/>
      <c r="F896" s="87"/>
      <c r="G896" s="87"/>
      <c r="J896" s="87"/>
      <c r="L896" s="87"/>
    </row>
    <row r="897" ht="13.5" customHeight="1">
      <c r="A897" s="87"/>
      <c r="B897" s="87"/>
      <c r="F897" s="87"/>
      <c r="G897" s="87"/>
      <c r="J897" s="87"/>
      <c r="L897" s="87"/>
    </row>
    <row r="898" ht="13.5" customHeight="1">
      <c r="A898" s="87"/>
      <c r="B898" s="87"/>
      <c r="F898" s="87"/>
      <c r="G898" s="87"/>
      <c r="J898" s="87"/>
      <c r="L898" s="87"/>
    </row>
    <row r="899" ht="13.5" customHeight="1">
      <c r="A899" s="87"/>
      <c r="B899" s="87"/>
      <c r="F899" s="87"/>
      <c r="G899" s="87"/>
      <c r="J899" s="87"/>
      <c r="L899" s="87"/>
    </row>
    <row r="900" ht="13.5" customHeight="1">
      <c r="A900" s="87"/>
      <c r="B900" s="87"/>
      <c r="F900" s="87"/>
      <c r="G900" s="87"/>
      <c r="J900" s="87"/>
      <c r="L900" s="87"/>
    </row>
    <row r="901" ht="13.5" customHeight="1">
      <c r="A901" s="87"/>
      <c r="B901" s="87"/>
      <c r="F901" s="87"/>
      <c r="G901" s="87"/>
      <c r="J901" s="87"/>
      <c r="L901" s="87"/>
    </row>
    <row r="902" ht="13.5" customHeight="1">
      <c r="A902" s="87"/>
      <c r="B902" s="87"/>
      <c r="F902" s="87"/>
      <c r="G902" s="87"/>
      <c r="J902" s="87"/>
      <c r="L902" s="87"/>
    </row>
    <row r="903" ht="13.5" customHeight="1">
      <c r="A903" s="87"/>
      <c r="B903" s="87"/>
      <c r="F903" s="87"/>
      <c r="G903" s="87"/>
      <c r="J903" s="87"/>
      <c r="L903" s="87"/>
    </row>
    <row r="904" ht="13.5" customHeight="1">
      <c r="A904" s="87"/>
      <c r="B904" s="87"/>
      <c r="F904" s="87"/>
      <c r="G904" s="87"/>
      <c r="J904" s="87"/>
      <c r="L904" s="87"/>
    </row>
    <row r="905" ht="13.5" customHeight="1">
      <c r="A905" s="87"/>
      <c r="B905" s="87"/>
      <c r="F905" s="87"/>
      <c r="G905" s="87"/>
      <c r="J905" s="87"/>
      <c r="L905" s="87"/>
    </row>
    <row r="906" ht="13.5" customHeight="1">
      <c r="A906" s="87"/>
      <c r="B906" s="87"/>
      <c r="F906" s="87"/>
      <c r="G906" s="87"/>
      <c r="J906" s="87"/>
      <c r="L906" s="87"/>
    </row>
    <row r="907" ht="13.5" customHeight="1">
      <c r="A907" s="87"/>
      <c r="B907" s="87"/>
      <c r="F907" s="87"/>
      <c r="G907" s="87"/>
      <c r="J907" s="87"/>
      <c r="L907" s="87"/>
    </row>
    <row r="908" ht="13.5" customHeight="1">
      <c r="A908" s="87"/>
      <c r="B908" s="87"/>
      <c r="F908" s="87"/>
      <c r="G908" s="87"/>
      <c r="J908" s="87"/>
      <c r="L908" s="87"/>
    </row>
    <row r="909" ht="13.5" customHeight="1">
      <c r="A909" s="87"/>
      <c r="B909" s="87"/>
      <c r="F909" s="87"/>
      <c r="G909" s="87"/>
      <c r="J909" s="87"/>
      <c r="L909" s="87"/>
    </row>
    <row r="910" ht="13.5" customHeight="1">
      <c r="A910" s="87"/>
      <c r="B910" s="87"/>
      <c r="F910" s="87"/>
      <c r="G910" s="87"/>
      <c r="J910" s="87"/>
      <c r="L910" s="87"/>
    </row>
    <row r="911" ht="13.5" customHeight="1">
      <c r="A911" s="87"/>
      <c r="B911" s="87"/>
      <c r="F911" s="87"/>
      <c r="G911" s="87"/>
      <c r="J911" s="87"/>
      <c r="L911" s="87"/>
    </row>
    <row r="912" ht="13.5" customHeight="1">
      <c r="A912" s="87"/>
      <c r="B912" s="87"/>
      <c r="F912" s="87"/>
      <c r="G912" s="87"/>
      <c r="J912" s="87"/>
      <c r="L912" s="87"/>
    </row>
    <row r="913" ht="13.5" customHeight="1">
      <c r="A913" s="87"/>
      <c r="B913" s="87"/>
      <c r="F913" s="87"/>
      <c r="G913" s="87"/>
      <c r="J913" s="87"/>
      <c r="L913" s="87"/>
    </row>
    <row r="914" ht="13.5" customHeight="1">
      <c r="A914" s="87"/>
      <c r="B914" s="87"/>
      <c r="F914" s="87"/>
      <c r="G914" s="87"/>
      <c r="J914" s="87"/>
      <c r="L914" s="87"/>
    </row>
    <row r="915" ht="13.5" customHeight="1">
      <c r="A915" s="87"/>
      <c r="B915" s="87"/>
      <c r="F915" s="87"/>
      <c r="G915" s="87"/>
      <c r="J915" s="87"/>
      <c r="L915" s="87"/>
    </row>
    <row r="916" ht="13.5" customHeight="1">
      <c r="A916" s="87"/>
      <c r="B916" s="87"/>
      <c r="F916" s="87"/>
      <c r="G916" s="87"/>
      <c r="J916" s="87"/>
      <c r="L916" s="87"/>
    </row>
    <row r="917" ht="13.5" customHeight="1">
      <c r="A917" s="87"/>
      <c r="B917" s="87"/>
      <c r="F917" s="87"/>
      <c r="G917" s="87"/>
      <c r="J917" s="87"/>
      <c r="L917" s="87"/>
    </row>
    <row r="918" ht="13.5" customHeight="1">
      <c r="A918" s="87"/>
      <c r="B918" s="87"/>
      <c r="F918" s="87"/>
      <c r="G918" s="87"/>
      <c r="J918" s="87"/>
      <c r="L918" s="87"/>
    </row>
    <row r="919" ht="13.5" customHeight="1">
      <c r="A919" s="87"/>
      <c r="B919" s="87"/>
      <c r="F919" s="87"/>
      <c r="G919" s="87"/>
      <c r="J919" s="87"/>
      <c r="L919" s="87"/>
    </row>
    <row r="920" ht="13.5" customHeight="1">
      <c r="A920" s="87"/>
      <c r="B920" s="87"/>
      <c r="F920" s="87"/>
      <c r="G920" s="87"/>
      <c r="J920" s="87"/>
      <c r="L920" s="87"/>
    </row>
    <row r="921" ht="13.5" customHeight="1">
      <c r="A921" s="87"/>
      <c r="B921" s="87"/>
      <c r="F921" s="87"/>
      <c r="G921" s="87"/>
      <c r="J921" s="87"/>
      <c r="L921" s="87"/>
    </row>
    <row r="922" ht="13.5" customHeight="1">
      <c r="A922" s="87"/>
      <c r="B922" s="87"/>
      <c r="F922" s="87"/>
      <c r="G922" s="87"/>
      <c r="J922" s="87"/>
      <c r="L922" s="87"/>
    </row>
    <row r="923" ht="13.5" customHeight="1">
      <c r="A923" s="87"/>
      <c r="B923" s="87"/>
      <c r="F923" s="87"/>
      <c r="G923" s="87"/>
      <c r="J923" s="87"/>
      <c r="L923" s="87"/>
    </row>
    <row r="924" ht="13.5" customHeight="1">
      <c r="A924" s="87"/>
      <c r="B924" s="87"/>
      <c r="F924" s="87"/>
      <c r="G924" s="87"/>
      <c r="J924" s="87"/>
      <c r="L924" s="87"/>
    </row>
    <row r="925" ht="13.5" customHeight="1">
      <c r="A925" s="87"/>
      <c r="B925" s="87"/>
      <c r="F925" s="87"/>
      <c r="G925" s="87"/>
      <c r="J925" s="87"/>
      <c r="L925" s="87"/>
    </row>
    <row r="926" ht="13.5" customHeight="1">
      <c r="A926" s="87"/>
      <c r="B926" s="87"/>
      <c r="F926" s="87"/>
      <c r="G926" s="87"/>
      <c r="J926" s="87"/>
      <c r="L926" s="87"/>
    </row>
    <row r="927" ht="13.5" customHeight="1">
      <c r="A927" s="87"/>
      <c r="B927" s="87"/>
      <c r="F927" s="87"/>
      <c r="G927" s="87"/>
      <c r="J927" s="87"/>
      <c r="L927" s="87"/>
    </row>
    <row r="928" ht="13.5" customHeight="1">
      <c r="A928" s="87"/>
      <c r="B928" s="87"/>
      <c r="F928" s="87"/>
      <c r="G928" s="87"/>
      <c r="J928" s="87"/>
      <c r="L928" s="87"/>
    </row>
    <row r="929" ht="13.5" customHeight="1">
      <c r="A929" s="87"/>
      <c r="B929" s="87"/>
      <c r="F929" s="87"/>
      <c r="G929" s="87"/>
      <c r="J929" s="87"/>
      <c r="L929" s="87"/>
    </row>
    <row r="930" ht="13.5" customHeight="1">
      <c r="A930" s="87"/>
      <c r="B930" s="87"/>
      <c r="F930" s="87"/>
      <c r="G930" s="87"/>
      <c r="J930" s="87"/>
      <c r="L930" s="87"/>
    </row>
    <row r="931" ht="13.5" customHeight="1">
      <c r="A931" s="87"/>
      <c r="B931" s="87"/>
      <c r="F931" s="87"/>
      <c r="G931" s="87"/>
      <c r="J931" s="87"/>
      <c r="L931" s="87"/>
    </row>
    <row r="932" ht="13.5" customHeight="1">
      <c r="A932" s="87"/>
      <c r="B932" s="87"/>
      <c r="F932" s="87"/>
      <c r="G932" s="87"/>
      <c r="J932" s="87"/>
      <c r="L932" s="87"/>
    </row>
    <row r="933" ht="13.5" customHeight="1">
      <c r="A933" s="87"/>
      <c r="B933" s="87"/>
      <c r="F933" s="87"/>
      <c r="G933" s="87"/>
      <c r="J933" s="87"/>
      <c r="L933" s="87"/>
    </row>
    <row r="934" ht="13.5" customHeight="1">
      <c r="A934" s="87"/>
      <c r="B934" s="87"/>
      <c r="F934" s="87"/>
      <c r="G934" s="87"/>
      <c r="J934" s="87"/>
      <c r="L934" s="87"/>
    </row>
    <row r="935" ht="13.5" customHeight="1">
      <c r="A935" s="87"/>
      <c r="B935" s="87"/>
      <c r="F935" s="87"/>
      <c r="G935" s="87"/>
      <c r="J935" s="87"/>
      <c r="L935" s="87"/>
    </row>
    <row r="936" ht="13.5" customHeight="1">
      <c r="A936" s="87"/>
      <c r="B936" s="87"/>
      <c r="F936" s="87"/>
      <c r="G936" s="87"/>
      <c r="J936" s="87"/>
      <c r="L936" s="87"/>
    </row>
    <row r="937" ht="13.5" customHeight="1">
      <c r="A937" s="87"/>
      <c r="B937" s="87"/>
      <c r="F937" s="87"/>
      <c r="G937" s="87"/>
      <c r="J937" s="87"/>
      <c r="L937" s="87"/>
    </row>
    <row r="938" ht="13.5" customHeight="1">
      <c r="A938" s="87"/>
      <c r="B938" s="87"/>
      <c r="F938" s="87"/>
      <c r="G938" s="87"/>
      <c r="J938" s="87"/>
      <c r="L938" s="87"/>
    </row>
    <row r="939" ht="13.5" customHeight="1">
      <c r="A939" s="87"/>
      <c r="B939" s="87"/>
      <c r="F939" s="87"/>
      <c r="G939" s="87"/>
      <c r="J939" s="87"/>
      <c r="L939" s="87"/>
    </row>
    <row r="940" ht="13.5" customHeight="1">
      <c r="A940" s="87"/>
      <c r="B940" s="87"/>
      <c r="F940" s="87"/>
      <c r="G940" s="87"/>
      <c r="J940" s="87"/>
      <c r="L940" s="87"/>
    </row>
    <row r="941" ht="13.5" customHeight="1">
      <c r="A941" s="87"/>
      <c r="B941" s="87"/>
      <c r="F941" s="87"/>
      <c r="G941" s="87"/>
      <c r="J941" s="87"/>
      <c r="L941" s="87"/>
    </row>
    <row r="942" ht="13.5" customHeight="1">
      <c r="A942" s="87"/>
      <c r="B942" s="87"/>
      <c r="F942" s="87"/>
      <c r="G942" s="87"/>
      <c r="J942" s="87"/>
      <c r="L942" s="87"/>
    </row>
    <row r="943" ht="13.5" customHeight="1">
      <c r="A943" s="87"/>
      <c r="B943" s="87"/>
      <c r="F943" s="87"/>
      <c r="G943" s="87"/>
      <c r="J943" s="87"/>
      <c r="L943" s="87"/>
    </row>
    <row r="944" ht="13.5" customHeight="1">
      <c r="A944" s="87"/>
      <c r="B944" s="87"/>
      <c r="F944" s="87"/>
      <c r="G944" s="87"/>
      <c r="J944" s="87"/>
      <c r="L944" s="87"/>
    </row>
    <row r="945" ht="13.5" customHeight="1">
      <c r="A945" s="87"/>
      <c r="B945" s="87"/>
      <c r="F945" s="87"/>
      <c r="G945" s="87"/>
      <c r="J945" s="87"/>
      <c r="L945" s="87"/>
    </row>
    <row r="946" ht="13.5" customHeight="1">
      <c r="A946" s="87"/>
      <c r="B946" s="87"/>
      <c r="F946" s="87"/>
      <c r="G946" s="87"/>
      <c r="J946" s="87"/>
      <c r="L946" s="87"/>
    </row>
    <row r="947" ht="13.5" customHeight="1">
      <c r="A947" s="87"/>
      <c r="B947" s="87"/>
      <c r="F947" s="87"/>
      <c r="G947" s="87"/>
      <c r="J947" s="87"/>
      <c r="L947" s="87"/>
    </row>
    <row r="948" ht="13.5" customHeight="1">
      <c r="A948" s="87"/>
      <c r="B948" s="87"/>
      <c r="F948" s="87"/>
      <c r="G948" s="87"/>
      <c r="J948" s="87"/>
      <c r="L948" s="87"/>
    </row>
    <row r="949" ht="13.5" customHeight="1">
      <c r="A949" s="87"/>
      <c r="B949" s="87"/>
      <c r="F949" s="87"/>
      <c r="G949" s="87"/>
      <c r="J949" s="87"/>
      <c r="L949" s="87"/>
    </row>
    <row r="950" ht="13.5" customHeight="1">
      <c r="A950" s="87"/>
      <c r="B950" s="87"/>
      <c r="F950" s="87"/>
      <c r="G950" s="87"/>
      <c r="J950" s="87"/>
      <c r="L950" s="87"/>
    </row>
    <row r="951" ht="13.5" customHeight="1">
      <c r="A951" s="87"/>
      <c r="B951" s="87"/>
      <c r="F951" s="87"/>
      <c r="G951" s="87"/>
      <c r="J951" s="87"/>
      <c r="L951" s="87"/>
    </row>
    <row r="952" ht="13.5" customHeight="1">
      <c r="A952" s="87"/>
      <c r="B952" s="87"/>
      <c r="F952" s="87"/>
      <c r="G952" s="87"/>
      <c r="J952" s="87"/>
      <c r="L952" s="87"/>
    </row>
    <row r="953" ht="13.5" customHeight="1">
      <c r="A953" s="87"/>
      <c r="B953" s="87"/>
      <c r="F953" s="87"/>
      <c r="G953" s="87"/>
      <c r="J953" s="87"/>
      <c r="L953" s="87"/>
    </row>
    <row r="954" ht="13.5" customHeight="1">
      <c r="A954" s="87"/>
      <c r="B954" s="87"/>
      <c r="F954" s="87"/>
      <c r="G954" s="87"/>
      <c r="J954" s="87"/>
      <c r="L954" s="87"/>
    </row>
    <row r="955" ht="13.5" customHeight="1">
      <c r="A955" s="87"/>
      <c r="B955" s="87"/>
      <c r="F955" s="87"/>
      <c r="G955" s="87"/>
      <c r="J955" s="87"/>
      <c r="L955" s="87"/>
    </row>
    <row r="956" ht="13.5" customHeight="1">
      <c r="A956" s="87"/>
      <c r="B956" s="87"/>
      <c r="F956" s="87"/>
      <c r="G956" s="87"/>
      <c r="J956" s="87"/>
      <c r="L956" s="87"/>
    </row>
    <row r="957" ht="13.5" customHeight="1">
      <c r="A957" s="87"/>
      <c r="B957" s="87"/>
      <c r="F957" s="87"/>
      <c r="G957" s="87"/>
      <c r="J957" s="87"/>
      <c r="L957" s="87"/>
    </row>
    <row r="958" ht="13.5" customHeight="1">
      <c r="A958" s="87"/>
      <c r="B958" s="87"/>
      <c r="F958" s="87"/>
      <c r="G958" s="87"/>
      <c r="J958" s="87"/>
      <c r="L958" s="87"/>
    </row>
    <row r="959" ht="13.5" customHeight="1">
      <c r="A959" s="87"/>
      <c r="B959" s="87"/>
      <c r="F959" s="87"/>
      <c r="G959" s="87"/>
      <c r="J959" s="87"/>
      <c r="L959" s="87"/>
    </row>
    <row r="960" ht="13.5" customHeight="1">
      <c r="A960" s="87"/>
      <c r="B960" s="87"/>
      <c r="F960" s="87"/>
      <c r="G960" s="87"/>
      <c r="J960" s="87"/>
      <c r="L960" s="87"/>
    </row>
    <row r="961" ht="13.5" customHeight="1">
      <c r="A961" s="87"/>
      <c r="B961" s="87"/>
      <c r="F961" s="87"/>
      <c r="G961" s="87"/>
      <c r="J961" s="87"/>
      <c r="L961" s="87"/>
    </row>
    <row r="962" ht="13.5" customHeight="1">
      <c r="A962" s="87"/>
      <c r="B962" s="87"/>
      <c r="F962" s="87"/>
      <c r="G962" s="87"/>
      <c r="J962" s="87"/>
      <c r="L962" s="87"/>
    </row>
    <row r="963" ht="13.5" customHeight="1">
      <c r="A963" s="87"/>
      <c r="B963" s="87"/>
      <c r="F963" s="87"/>
      <c r="G963" s="87"/>
      <c r="J963" s="87"/>
      <c r="L963" s="87"/>
    </row>
    <row r="964" ht="13.5" customHeight="1">
      <c r="A964" s="87"/>
      <c r="B964" s="87"/>
      <c r="F964" s="87"/>
      <c r="G964" s="87"/>
      <c r="J964" s="87"/>
      <c r="L964" s="87"/>
    </row>
    <row r="965" ht="13.5" customHeight="1">
      <c r="A965" s="87"/>
      <c r="B965" s="87"/>
      <c r="F965" s="87"/>
      <c r="G965" s="87"/>
      <c r="J965" s="87"/>
      <c r="L965" s="87"/>
    </row>
    <row r="966" ht="13.5" customHeight="1">
      <c r="A966" s="87"/>
      <c r="B966" s="87"/>
      <c r="F966" s="87"/>
      <c r="G966" s="87"/>
      <c r="J966" s="87"/>
      <c r="L966" s="87"/>
    </row>
    <row r="967" ht="13.5" customHeight="1">
      <c r="A967" s="87"/>
      <c r="B967" s="87"/>
      <c r="F967" s="87"/>
      <c r="G967" s="87"/>
      <c r="J967" s="87"/>
      <c r="L967" s="87"/>
    </row>
    <row r="968" ht="13.5" customHeight="1">
      <c r="A968" s="87"/>
      <c r="B968" s="87"/>
      <c r="F968" s="87"/>
      <c r="G968" s="87"/>
      <c r="J968" s="87"/>
      <c r="L968" s="87"/>
    </row>
    <row r="969" ht="13.5" customHeight="1">
      <c r="A969" s="87"/>
      <c r="B969" s="87"/>
      <c r="F969" s="87"/>
      <c r="G969" s="87"/>
      <c r="J969" s="87"/>
      <c r="L969" s="87"/>
    </row>
    <row r="970" ht="13.5" customHeight="1">
      <c r="A970" s="87"/>
      <c r="B970" s="87"/>
      <c r="F970" s="87"/>
      <c r="G970" s="87"/>
      <c r="J970" s="87"/>
      <c r="L970" s="87"/>
    </row>
    <row r="971" ht="13.5" customHeight="1">
      <c r="A971" s="87"/>
      <c r="B971" s="87"/>
      <c r="F971" s="87"/>
      <c r="G971" s="87"/>
      <c r="J971" s="87"/>
      <c r="L971" s="87"/>
    </row>
    <row r="972" ht="13.5" customHeight="1">
      <c r="A972" s="87"/>
      <c r="B972" s="87"/>
      <c r="F972" s="87"/>
      <c r="G972" s="87"/>
      <c r="J972" s="87"/>
      <c r="L972" s="87"/>
    </row>
    <row r="973" ht="13.5" customHeight="1">
      <c r="A973" s="87"/>
      <c r="B973" s="87"/>
      <c r="F973" s="87"/>
      <c r="G973" s="87"/>
      <c r="J973" s="87"/>
      <c r="L973" s="87"/>
    </row>
    <row r="974" ht="13.5" customHeight="1">
      <c r="A974" s="87"/>
      <c r="B974" s="87"/>
      <c r="F974" s="87"/>
      <c r="G974" s="87"/>
      <c r="J974" s="87"/>
      <c r="L974" s="87"/>
    </row>
    <row r="975" ht="13.5" customHeight="1">
      <c r="A975" s="87"/>
      <c r="B975" s="87"/>
      <c r="F975" s="87"/>
      <c r="G975" s="87"/>
      <c r="J975" s="87"/>
      <c r="L975" s="87"/>
    </row>
    <row r="976" ht="13.5" customHeight="1">
      <c r="A976" s="87"/>
      <c r="B976" s="87"/>
      <c r="F976" s="87"/>
      <c r="G976" s="87"/>
      <c r="J976" s="87"/>
      <c r="L976" s="87"/>
    </row>
    <row r="977" ht="13.5" customHeight="1">
      <c r="A977" s="87"/>
      <c r="B977" s="87"/>
      <c r="F977" s="87"/>
      <c r="G977" s="87"/>
      <c r="J977" s="87"/>
      <c r="L977" s="87"/>
    </row>
    <row r="978" ht="13.5" customHeight="1">
      <c r="A978" s="87"/>
      <c r="B978" s="87"/>
      <c r="F978" s="87"/>
      <c r="G978" s="87"/>
      <c r="J978" s="87"/>
      <c r="L978" s="87"/>
    </row>
    <row r="979" ht="13.5" customHeight="1">
      <c r="A979" s="87"/>
      <c r="B979" s="87"/>
      <c r="F979" s="87"/>
      <c r="G979" s="87"/>
      <c r="J979" s="87"/>
      <c r="L979" s="87"/>
    </row>
    <row r="980" ht="13.5" customHeight="1">
      <c r="A980" s="87"/>
      <c r="B980" s="87"/>
      <c r="F980" s="87"/>
      <c r="G980" s="87"/>
      <c r="J980" s="87"/>
      <c r="L980" s="87"/>
    </row>
    <row r="981" ht="13.5" customHeight="1">
      <c r="A981" s="87"/>
      <c r="B981" s="87"/>
      <c r="F981" s="87"/>
      <c r="G981" s="87"/>
      <c r="J981" s="87"/>
      <c r="L981" s="87"/>
    </row>
    <row r="982" ht="13.5" customHeight="1">
      <c r="A982" s="87"/>
      <c r="B982" s="87"/>
      <c r="F982" s="87"/>
      <c r="G982" s="87"/>
      <c r="J982" s="87"/>
      <c r="L982" s="87"/>
    </row>
    <row r="983" ht="13.5" customHeight="1">
      <c r="A983" s="87"/>
      <c r="B983" s="87"/>
      <c r="F983" s="87"/>
      <c r="G983" s="87"/>
      <c r="J983" s="87"/>
      <c r="L983" s="87"/>
    </row>
    <row r="984" ht="13.5" customHeight="1">
      <c r="A984" s="87"/>
      <c r="B984" s="87"/>
      <c r="F984" s="87"/>
      <c r="G984" s="87"/>
      <c r="J984" s="87"/>
      <c r="L984" s="87"/>
    </row>
    <row r="985" ht="13.5" customHeight="1">
      <c r="A985" s="87"/>
      <c r="B985" s="87"/>
      <c r="F985" s="87"/>
      <c r="G985" s="87"/>
      <c r="J985" s="87"/>
      <c r="L985" s="87"/>
    </row>
    <row r="986" ht="13.5" customHeight="1">
      <c r="A986" s="87"/>
      <c r="B986" s="87"/>
      <c r="F986" s="87"/>
      <c r="G986" s="87"/>
      <c r="J986" s="87"/>
      <c r="L986" s="87"/>
    </row>
    <row r="987" ht="13.5" customHeight="1">
      <c r="A987" s="87"/>
      <c r="B987" s="87"/>
      <c r="F987" s="87"/>
      <c r="G987" s="87"/>
      <c r="J987" s="87"/>
      <c r="L987" s="87"/>
    </row>
    <row r="988" ht="13.5" customHeight="1">
      <c r="A988" s="87"/>
      <c r="B988" s="87"/>
      <c r="F988" s="87"/>
      <c r="G988" s="87"/>
      <c r="J988" s="87"/>
      <c r="L988" s="87"/>
    </row>
    <row r="989" ht="13.5" customHeight="1">
      <c r="A989" s="87"/>
      <c r="B989" s="87"/>
      <c r="F989" s="87"/>
      <c r="G989" s="87"/>
      <c r="J989" s="87"/>
      <c r="L989" s="87"/>
    </row>
    <row r="990" ht="13.5" customHeight="1">
      <c r="A990" s="87"/>
      <c r="B990" s="87"/>
      <c r="F990" s="87"/>
      <c r="G990" s="87"/>
      <c r="J990" s="87"/>
      <c r="L990" s="87"/>
    </row>
    <row r="991" ht="13.5" customHeight="1">
      <c r="A991" s="87"/>
      <c r="B991" s="87"/>
      <c r="F991" s="87"/>
      <c r="G991" s="87"/>
      <c r="J991" s="87"/>
      <c r="L991" s="87"/>
    </row>
    <row r="992" ht="13.5" customHeight="1">
      <c r="A992" s="87"/>
      <c r="B992" s="87"/>
      <c r="F992" s="87"/>
      <c r="G992" s="87"/>
      <c r="J992" s="87"/>
      <c r="L992" s="87"/>
    </row>
    <row r="993" ht="13.5" customHeight="1">
      <c r="A993" s="87"/>
      <c r="B993" s="87"/>
      <c r="F993" s="87"/>
      <c r="G993" s="87"/>
      <c r="J993" s="87"/>
      <c r="L993" s="87"/>
    </row>
    <row r="994" ht="13.5" customHeight="1">
      <c r="A994" s="87"/>
      <c r="B994" s="87"/>
      <c r="F994" s="87"/>
      <c r="G994" s="87"/>
      <c r="J994" s="87"/>
      <c r="L994" s="87"/>
    </row>
    <row r="995" ht="13.5" customHeight="1">
      <c r="A995" s="87"/>
      <c r="B995" s="87"/>
      <c r="F995" s="87"/>
      <c r="G995" s="87"/>
      <c r="J995" s="87"/>
      <c r="L995" s="87"/>
    </row>
    <row r="996" ht="13.5" customHeight="1">
      <c r="A996" s="87"/>
      <c r="B996" s="87"/>
      <c r="F996" s="87"/>
      <c r="G996" s="87"/>
      <c r="J996" s="87"/>
      <c r="L996" s="87"/>
    </row>
    <row r="997" ht="13.5" customHeight="1">
      <c r="A997" s="87"/>
      <c r="B997" s="87"/>
      <c r="F997" s="87"/>
      <c r="G997" s="87"/>
      <c r="J997" s="87"/>
      <c r="L997" s="87"/>
    </row>
    <row r="998" ht="13.5" customHeight="1">
      <c r="A998" s="87"/>
      <c r="B998" s="87"/>
      <c r="F998" s="87"/>
      <c r="G998" s="87"/>
      <c r="J998" s="87"/>
      <c r="L998" s="87"/>
    </row>
    <row r="999" ht="13.5" customHeight="1">
      <c r="A999" s="87"/>
      <c r="B999" s="87"/>
      <c r="F999" s="87"/>
      <c r="G999" s="87"/>
      <c r="J999" s="87"/>
      <c r="L999" s="87"/>
    </row>
    <row r="1000" ht="13.5" customHeight="1">
      <c r="A1000" s="87"/>
      <c r="B1000" s="87"/>
      <c r="F1000" s="87"/>
      <c r="G1000" s="87"/>
      <c r="J1000" s="87"/>
      <c r="L1000" s="87"/>
    </row>
  </sheetData>
  <dataValidations>
    <dataValidation type="list" allowBlank="1" sqref="M2:M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2.0"/>
    <col customWidth="1" min="4" max="4" width="13.0"/>
    <col customWidth="1" min="5" max="5" width="12.0"/>
    <col customWidth="1" min="6" max="7" width="14.0"/>
    <col customWidth="1" min="8" max="8" width="16.0"/>
    <col customWidth="1" min="9" max="9" width="14.0"/>
    <col customWidth="1" min="10" max="10" width="30.0"/>
    <col customWidth="1" min="11" max="11" width="20.38"/>
    <col customWidth="1" min="12" max="12" width="12.0"/>
    <col customWidth="1" min="13" max="13" width="18.0"/>
    <col customWidth="1" min="14" max="14" width="30.0"/>
    <col customWidth="1" min="15" max="26" width="8.63"/>
  </cols>
  <sheetData>
    <row r="1" ht="18.0" customHeight="1">
      <c r="A1" s="2" t="s">
        <v>1</v>
      </c>
      <c r="B1" s="2" t="s">
        <v>134</v>
      </c>
      <c r="C1" s="2" t="s">
        <v>567</v>
      </c>
      <c r="D1" s="2" t="s">
        <v>568</v>
      </c>
      <c r="E1" s="2" t="s">
        <v>614</v>
      </c>
      <c r="F1" s="2" t="s">
        <v>615</v>
      </c>
      <c r="G1" s="2" t="s">
        <v>616</v>
      </c>
      <c r="H1" s="2" t="s">
        <v>617</v>
      </c>
      <c r="I1" s="2" t="s">
        <v>572</v>
      </c>
      <c r="J1" s="2" t="s">
        <v>618</v>
      </c>
      <c r="K1" s="2" t="s">
        <v>15</v>
      </c>
      <c r="L1" s="2" t="s">
        <v>3</v>
      </c>
      <c r="M1" s="2" t="s">
        <v>619</v>
      </c>
      <c r="N1" s="2" t="s">
        <v>17</v>
      </c>
    </row>
    <row r="2" ht="13.5" customHeight="1">
      <c r="A2" s="5">
        <v>1.0</v>
      </c>
      <c r="B2" s="8"/>
      <c r="C2" s="3"/>
      <c r="D2" s="3"/>
      <c r="E2" s="3"/>
      <c r="F2" s="3"/>
      <c r="G2" s="3"/>
      <c r="H2" s="3"/>
      <c r="I2" s="3"/>
      <c r="J2" s="3"/>
      <c r="K2" s="5" t="s">
        <v>574</v>
      </c>
      <c r="L2" s="3"/>
      <c r="M2" s="8"/>
      <c r="N2" s="3"/>
    </row>
    <row r="3" ht="13.5" customHeight="1">
      <c r="A3" s="5">
        <v>2.0</v>
      </c>
      <c r="B3" s="8"/>
      <c r="C3" s="3"/>
      <c r="D3" s="3"/>
      <c r="E3" s="3"/>
      <c r="F3" s="3"/>
      <c r="G3" s="3"/>
      <c r="H3" s="3"/>
      <c r="I3" s="3"/>
      <c r="J3" s="3"/>
      <c r="K3" s="5" t="s">
        <v>574</v>
      </c>
      <c r="L3" s="3"/>
      <c r="M3" s="8"/>
      <c r="N3" s="3"/>
    </row>
    <row r="4" ht="13.5" customHeight="1">
      <c r="A4" s="5">
        <v>3.0</v>
      </c>
      <c r="B4" s="8"/>
      <c r="C4" s="3"/>
      <c r="D4" s="3"/>
      <c r="E4" s="3"/>
      <c r="F4" s="3"/>
      <c r="G4" s="3"/>
      <c r="H4" s="3"/>
      <c r="I4" s="3"/>
      <c r="J4" s="3"/>
      <c r="K4" s="5" t="s">
        <v>574</v>
      </c>
      <c r="L4" s="3"/>
      <c r="M4" s="8"/>
      <c r="N4" s="3"/>
    </row>
    <row r="5" ht="13.5" customHeight="1">
      <c r="A5" s="3"/>
      <c r="B5" s="8"/>
      <c r="C5" s="3"/>
      <c r="D5" s="3"/>
      <c r="E5" s="3"/>
      <c r="F5" s="3"/>
      <c r="G5" s="3"/>
      <c r="H5" s="3"/>
      <c r="I5" s="3"/>
      <c r="J5" s="3"/>
      <c r="K5" s="3"/>
      <c r="L5" s="3"/>
      <c r="M5" s="8"/>
      <c r="N5" s="3"/>
    </row>
    <row r="6" ht="13.5" customHeight="1">
      <c r="A6" s="3"/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8"/>
      <c r="N6" s="3"/>
    </row>
    <row r="7" ht="13.5" customHeight="1">
      <c r="A7" s="3"/>
      <c r="B7" s="8"/>
      <c r="C7" s="3"/>
      <c r="D7" s="3"/>
      <c r="E7" s="3"/>
      <c r="F7" s="3"/>
      <c r="G7" s="3"/>
      <c r="H7" s="3"/>
      <c r="I7" s="3"/>
      <c r="J7" s="3"/>
      <c r="K7" s="3"/>
      <c r="L7" s="3"/>
      <c r="M7" s="8"/>
      <c r="N7" s="3"/>
    </row>
    <row r="8" ht="13.5" customHeight="1">
      <c r="A8" s="3"/>
      <c r="B8" s="8"/>
      <c r="C8" s="3"/>
      <c r="D8" s="3"/>
      <c r="E8" s="3"/>
      <c r="F8" s="3"/>
      <c r="G8" s="3"/>
      <c r="H8" s="3"/>
      <c r="I8" s="3"/>
      <c r="J8" s="3"/>
      <c r="K8" s="3"/>
      <c r="L8" s="3"/>
      <c r="M8" s="8"/>
      <c r="N8" s="3"/>
    </row>
    <row r="9" ht="13.5" customHeight="1">
      <c r="A9" s="3"/>
      <c r="B9" s="8"/>
      <c r="C9" s="3"/>
      <c r="D9" s="3"/>
      <c r="E9" s="3"/>
      <c r="F9" s="3"/>
      <c r="G9" s="3"/>
      <c r="H9" s="3"/>
      <c r="I9" s="3"/>
      <c r="J9" s="3"/>
      <c r="K9" s="3"/>
      <c r="L9" s="3"/>
      <c r="M9" s="8"/>
      <c r="N9" s="3"/>
    </row>
    <row r="10" ht="13.5" customHeight="1">
      <c r="A10" s="3"/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8"/>
      <c r="N10" s="3"/>
    </row>
    <row r="11" ht="13.5" customHeight="1">
      <c r="A11" s="3"/>
      <c r="B11" s="8"/>
      <c r="C11" s="3"/>
      <c r="D11" s="3"/>
      <c r="E11" s="3"/>
      <c r="F11" s="3"/>
      <c r="G11" s="3"/>
      <c r="H11" s="3"/>
      <c r="I11" s="3"/>
      <c r="J11" s="3"/>
      <c r="K11" s="3"/>
      <c r="L11" s="3"/>
      <c r="M11" s="8"/>
      <c r="N11" s="3"/>
    </row>
    <row r="12" ht="13.5" customHeight="1">
      <c r="A12" s="3"/>
      <c r="B12" s="8"/>
      <c r="C12" s="3"/>
      <c r="D12" s="3"/>
      <c r="E12" s="3"/>
      <c r="F12" s="3"/>
      <c r="G12" s="3"/>
      <c r="H12" s="3"/>
      <c r="I12" s="3"/>
      <c r="J12" s="3"/>
      <c r="K12" s="3"/>
      <c r="L12" s="3"/>
      <c r="M12" s="8"/>
      <c r="N12" s="3"/>
    </row>
    <row r="13" ht="13.5" customHeight="1">
      <c r="A13" s="3"/>
      <c r="B13" s="8"/>
      <c r="C13" s="3"/>
      <c r="D13" s="3"/>
      <c r="E13" s="3"/>
      <c r="F13" s="3"/>
      <c r="G13" s="3"/>
      <c r="H13" s="3"/>
      <c r="I13" s="3"/>
      <c r="J13" s="3"/>
      <c r="K13" s="3"/>
      <c r="L13" s="3"/>
      <c r="M13" s="8"/>
      <c r="N13" s="3"/>
    </row>
    <row r="14" ht="13.5" customHeight="1">
      <c r="A14" s="3"/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8"/>
      <c r="N14" s="3"/>
    </row>
    <row r="15" ht="13.5" customHeight="1">
      <c r="A15" s="3"/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8"/>
      <c r="N15" s="3"/>
    </row>
    <row r="16" ht="13.5" customHeight="1">
      <c r="A16" s="3"/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8"/>
      <c r="N16" s="3"/>
    </row>
    <row r="17" ht="13.5" customHeight="1">
      <c r="A17" s="3"/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8"/>
      <c r="N17" s="3"/>
    </row>
    <row r="18" ht="13.5" customHeight="1">
      <c r="A18" s="3"/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8"/>
      <c r="N18" s="3"/>
    </row>
    <row r="19" ht="13.5" customHeight="1">
      <c r="A19" s="3"/>
      <c r="B19" s="8"/>
      <c r="C19" s="3"/>
      <c r="D19" s="3"/>
      <c r="E19" s="3"/>
      <c r="F19" s="3"/>
      <c r="G19" s="3"/>
      <c r="H19" s="3"/>
      <c r="I19" s="3"/>
      <c r="J19" s="3"/>
      <c r="K19" s="3"/>
      <c r="L19" s="3"/>
      <c r="M19" s="8"/>
      <c r="N19" s="3"/>
    </row>
    <row r="20" ht="13.5" customHeight="1">
      <c r="A20" s="3"/>
      <c r="B20" s="8"/>
      <c r="C20" s="3"/>
      <c r="D20" s="3"/>
      <c r="E20" s="3"/>
      <c r="F20" s="3"/>
      <c r="G20" s="3"/>
      <c r="H20" s="3"/>
      <c r="I20" s="3"/>
      <c r="J20" s="3"/>
      <c r="K20" s="3"/>
      <c r="L20" s="3"/>
      <c r="M20" s="8"/>
      <c r="N20" s="3"/>
    </row>
    <row r="21" ht="13.5" customHeight="1">
      <c r="A21" s="3"/>
      <c r="B21" s="8"/>
      <c r="C21" s="3"/>
      <c r="D21" s="3"/>
      <c r="E21" s="3"/>
      <c r="F21" s="3"/>
      <c r="G21" s="3"/>
      <c r="H21" s="3"/>
      <c r="I21" s="3"/>
      <c r="J21" s="3"/>
      <c r="K21" s="3"/>
      <c r="L21" s="3"/>
      <c r="M21" s="8"/>
      <c r="N21" s="3"/>
    </row>
    <row r="22" ht="13.5" customHeight="1">
      <c r="A22" s="3"/>
      <c r="B22" s="8"/>
      <c r="C22" s="3"/>
      <c r="D22" s="3"/>
      <c r="E22" s="3"/>
      <c r="F22" s="3"/>
      <c r="G22" s="3"/>
      <c r="H22" s="3"/>
      <c r="I22" s="3"/>
      <c r="J22" s="3"/>
      <c r="K22" s="3"/>
      <c r="L22" s="3"/>
      <c r="M22" s="8"/>
      <c r="N22" s="3"/>
    </row>
    <row r="23" ht="13.5" customHeight="1">
      <c r="A23" s="3"/>
      <c r="B23" s="8"/>
      <c r="C23" s="3"/>
      <c r="D23" s="3"/>
      <c r="E23" s="3"/>
      <c r="F23" s="3"/>
      <c r="G23" s="3"/>
      <c r="H23" s="3"/>
      <c r="I23" s="3"/>
      <c r="J23" s="3"/>
      <c r="K23" s="3"/>
      <c r="L23" s="3"/>
      <c r="M23" s="8"/>
      <c r="N23" s="3"/>
    </row>
    <row r="24" ht="13.5" customHeight="1">
      <c r="A24" s="3"/>
      <c r="B24" s="8"/>
      <c r="C24" s="3"/>
      <c r="D24" s="3"/>
      <c r="E24" s="3"/>
      <c r="F24" s="3"/>
      <c r="G24" s="3"/>
      <c r="H24" s="3"/>
      <c r="I24" s="3"/>
      <c r="J24" s="3"/>
      <c r="K24" s="3"/>
      <c r="L24" s="3"/>
      <c r="M24" s="8"/>
      <c r="N24" s="3"/>
    </row>
    <row r="25" ht="13.5" customHeight="1">
      <c r="A25" s="3"/>
      <c r="B25" s="8"/>
      <c r="C25" s="3"/>
      <c r="D25" s="3"/>
      <c r="E25" s="3"/>
      <c r="F25" s="3"/>
      <c r="G25" s="3"/>
      <c r="H25" s="3"/>
      <c r="I25" s="3"/>
      <c r="J25" s="3"/>
      <c r="K25" s="3"/>
      <c r="L25" s="3"/>
      <c r="M25" s="8"/>
      <c r="N25" s="3"/>
    </row>
    <row r="26" ht="13.5" customHeight="1">
      <c r="A26" s="3"/>
      <c r="B26" s="8"/>
      <c r="C26" s="3"/>
      <c r="D26" s="3"/>
      <c r="E26" s="3"/>
      <c r="F26" s="3"/>
      <c r="G26" s="3"/>
      <c r="H26" s="3"/>
      <c r="I26" s="3"/>
      <c r="J26" s="3"/>
      <c r="K26" s="3"/>
      <c r="L26" s="3"/>
      <c r="M26" s="8"/>
      <c r="N26" s="3"/>
    </row>
    <row r="27" ht="13.5" customHeight="1">
      <c r="A27" s="3"/>
      <c r="B27" s="8"/>
      <c r="C27" s="3"/>
      <c r="D27" s="3"/>
      <c r="E27" s="3"/>
      <c r="F27" s="3"/>
      <c r="G27" s="3"/>
      <c r="H27" s="3"/>
      <c r="I27" s="3"/>
      <c r="J27" s="3"/>
      <c r="K27" s="3"/>
      <c r="L27" s="3"/>
      <c r="M27" s="8"/>
      <c r="N27" s="3"/>
    </row>
    <row r="28" ht="13.5" customHeight="1">
      <c r="A28" s="3"/>
      <c r="B28" s="8"/>
      <c r="C28" s="3"/>
      <c r="D28" s="3"/>
      <c r="E28" s="3"/>
      <c r="F28" s="3"/>
      <c r="G28" s="3"/>
      <c r="H28" s="3"/>
      <c r="I28" s="3"/>
      <c r="J28" s="3"/>
      <c r="K28" s="3"/>
      <c r="L28" s="3"/>
      <c r="M28" s="8"/>
      <c r="N28" s="3"/>
    </row>
    <row r="29" ht="13.5" customHeight="1">
      <c r="A29" s="3"/>
      <c r="B29" s="8"/>
      <c r="C29" s="3"/>
      <c r="D29" s="3"/>
      <c r="E29" s="3"/>
      <c r="F29" s="3"/>
      <c r="G29" s="3"/>
      <c r="H29" s="3"/>
      <c r="I29" s="3"/>
      <c r="J29" s="3"/>
      <c r="K29" s="3"/>
      <c r="L29" s="3"/>
      <c r="M29" s="8"/>
      <c r="N29" s="3"/>
    </row>
    <row r="30" ht="13.5" customHeight="1">
      <c r="A30" s="3"/>
      <c r="B30" s="8"/>
      <c r="C30" s="3"/>
      <c r="D30" s="3"/>
      <c r="E30" s="3"/>
      <c r="F30" s="3"/>
      <c r="G30" s="3"/>
      <c r="H30" s="3"/>
      <c r="I30" s="3"/>
      <c r="J30" s="3"/>
      <c r="K30" s="3"/>
      <c r="L30" s="3"/>
      <c r="M30" s="8"/>
      <c r="N30" s="3"/>
    </row>
    <row r="31" ht="13.5" customHeight="1">
      <c r="A31" s="3"/>
      <c r="B31" s="8"/>
      <c r="C31" s="3"/>
      <c r="D31" s="3"/>
      <c r="E31" s="3"/>
      <c r="F31" s="3"/>
      <c r="G31" s="3"/>
      <c r="H31" s="3"/>
      <c r="I31" s="3"/>
      <c r="J31" s="3"/>
      <c r="K31" s="3"/>
      <c r="L31" s="3"/>
      <c r="M31" s="8"/>
      <c r="N31" s="3"/>
    </row>
    <row r="32" ht="13.5" customHeight="1">
      <c r="A32" s="3"/>
      <c r="B32" s="8"/>
      <c r="C32" s="3"/>
      <c r="D32" s="3"/>
      <c r="E32" s="3"/>
      <c r="F32" s="3"/>
      <c r="G32" s="3"/>
      <c r="H32" s="3"/>
      <c r="I32" s="3"/>
      <c r="J32" s="3"/>
      <c r="K32" s="3"/>
      <c r="L32" s="3"/>
      <c r="M32" s="8"/>
      <c r="N32" s="3"/>
    </row>
    <row r="33" ht="13.5" customHeight="1">
      <c r="A33" s="3"/>
      <c r="B33" s="8"/>
      <c r="C33" s="3"/>
      <c r="D33" s="3"/>
      <c r="E33" s="3"/>
      <c r="F33" s="3"/>
      <c r="G33" s="3"/>
      <c r="H33" s="3"/>
      <c r="I33" s="3"/>
      <c r="J33" s="3"/>
      <c r="K33" s="3"/>
      <c r="L33" s="3"/>
      <c r="M33" s="8"/>
      <c r="N33" s="3"/>
    </row>
    <row r="34" ht="13.5" customHeight="1">
      <c r="A34" s="3"/>
      <c r="B34" s="8"/>
      <c r="C34" s="3"/>
      <c r="D34" s="3"/>
      <c r="E34" s="3"/>
      <c r="F34" s="3"/>
      <c r="G34" s="3"/>
      <c r="H34" s="3"/>
      <c r="I34" s="3"/>
      <c r="J34" s="3"/>
      <c r="K34" s="3"/>
      <c r="L34" s="3"/>
      <c r="M34" s="8"/>
      <c r="N34" s="3"/>
    </row>
    <row r="35" ht="13.5" customHeight="1">
      <c r="A35" s="3"/>
      <c r="B35" s="8"/>
      <c r="C35" s="3"/>
      <c r="D35" s="3"/>
      <c r="E35" s="3"/>
      <c r="F35" s="3"/>
      <c r="G35" s="3"/>
      <c r="H35" s="3"/>
      <c r="I35" s="3"/>
      <c r="J35" s="3"/>
      <c r="K35" s="3"/>
      <c r="L35" s="3"/>
      <c r="M35" s="8"/>
      <c r="N35" s="3"/>
    </row>
    <row r="36" ht="13.5" customHeight="1">
      <c r="A36" s="3"/>
      <c r="B36" s="8"/>
      <c r="C36" s="3"/>
      <c r="D36" s="3"/>
      <c r="E36" s="3"/>
      <c r="F36" s="3"/>
      <c r="G36" s="3"/>
      <c r="H36" s="3"/>
      <c r="I36" s="3"/>
      <c r="J36" s="3"/>
      <c r="K36" s="3"/>
      <c r="L36" s="3"/>
      <c r="M36" s="8"/>
      <c r="N36" s="3"/>
    </row>
    <row r="37" ht="13.5" customHeight="1">
      <c r="A37" s="3"/>
      <c r="B37" s="8"/>
      <c r="C37" s="3"/>
      <c r="D37" s="3"/>
      <c r="E37" s="3"/>
      <c r="F37" s="3"/>
      <c r="G37" s="3"/>
      <c r="H37" s="3"/>
      <c r="I37" s="3"/>
      <c r="J37" s="3"/>
      <c r="K37" s="3"/>
      <c r="L37" s="3"/>
      <c r="M37" s="8"/>
      <c r="N37" s="3"/>
    </row>
    <row r="38" ht="13.5" customHeight="1">
      <c r="A38" s="3"/>
      <c r="B38" s="8"/>
      <c r="C38" s="3"/>
      <c r="D38" s="3"/>
      <c r="E38" s="3"/>
      <c r="F38" s="3"/>
      <c r="G38" s="3"/>
      <c r="H38" s="3"/>
      <c r="I38" s="3"/>
      <c r="J38" s="3"/>
      <c r="K38" s="3"/>
      <c r="L38" s="3"/>
      <c r="M38" s="8"/>
      <c r="N38" s="3"/>
    </row>
    <row r="39" ht="13.5" customHeight="1">
      <c r="A39" s="3"/>
      <c r="B39" s="8"/>
      <c r="C39" s="3"/>
      <c r="D39" s="3"/>
      <c r="E39" s="3"/>
      <c r="F39" s="3"/>
      <c r="G39" s="3"/>
      <c r="H39" s="3"/>
      <c r="I39" s="3"/>
      <c r="J39" s="3"/>
      <c r="K39" s="3"/>
      <c r="L39" s="3"/>
      <c r="M39" s="8"/>
      <c r="N39" s="3"/>
    </row>
    <row r="40" ht="13.5" customHeight="1">
      <c r="A40" s="3"/>
      <c r="B40" s="8"/>
      <c r="C40" s="3"/>
      <c r="D40" s="3"/>
      <c r="E40" s="3"/>
      <c r="F40" s="3"/>
      <c r="G40" s="3"/>
      <c r="H40" s="3"/>
      <c r="I40" s="3"/>
      <c r="J40" s="3"/>
      <c r="K40" s="3"/>
      <c r="L40" s="3"/>
      <c r="M40" s="8"/>
      <c r="N40" s="3"/>
    </row>
    <row r="41" ht="13.5" customHeight="1">
      <c r="A41" s="3"/>
      <c r="B41" s="8"/>
      <c r="C41" s="3"/>
      <c r="D41" s="3"/>
      <c r="E41" s="3"/>
      <c r="F41" s="3"/>
      <c r="G41" s="3"/>
      <c r="H41" s="3"/>
      <c r="I41" s="3"/>
      <c r="J41" s="3"/>
      <c r="K41" s="3"/>
      <c r="L41" s="3"/>
      <c r="M41" s="8"/>
      <c r="N41" s="3"/>
    </row>
    <row r="42" ht="13.5" customHeight="1">
      <c r="A42" s="3"/>
      <c r="B42" s="8"/>
      <c r="C42" s="3"/>
      <c r="D42" s="3"/>
      <c r="E42" s="3"/>
      <c r="F42" s="3"/>
      <c r="G42" s="3"/>
      <c r="H42" s="3"/>
      <c r="I42" s="3"/>
      <c r="J42" s="3"/>
      <c r="K42" s="3"/>
      <c r="L42" s="3"/>
      <c r="M42" s="8"/>
      <c r="N42" s="3"/>
    </row>
    <row r="43" ht="13.5" customHeight="1">
      <c r="A43" s="3"/>
      <c r="B43" s="8"/>
      <c r="C43" s="3"/>
      <c r="D43" s="3"/>
      <c r="E43" s="3"/>
      <c r="F43" s="3"/>
      <c r="G43" s="3"/>
      <c r="H43" s="3"/>
      <c r="I43" s="3"/>
      <c r="J43" s="3"/>
      <c r="K43" s="3"/>
      <c r="L43" s="3"/>
      <c r="M43" s="8"/>
      <c r="N43" s="3"/>
    </row>
    <row r="44" ht="13.5" customHeight="1">
      <c r="A44" s="3"/>
      <c r="B44" s="8"/>
      <c r="C44" s="3"/>
      <c r="D44" s="3"/>
      <c r="E44" s="3"/>
      <c r="F44" s="3"/>
      <c r="G44" s="3"/>
      <c r="H44" s="3"/>
      <c r="I44" s="3"/>
      <c r="J44" s="3"/>
      <c r="K44" s="3"/>
      <c r="L44" s="3"/>
      <c r="M44" s="8"/>
      <c r="N44" s="3"/>
    </row>
    <row r="45" ht="13.5" customHeight="1">
      <c r="A45" s="3"/>
      <c r="B45" s="8"/>
      <c r="C45" s="3"/>
      <c r="D45" s="3"/>
      <c r="E45" s="3"/>
      <c r="F45" s="3"/>
      <c r="G45" s="3"/>
      <c r="H45" s="3"/>
      <c r="I45" s="3"/>
      <c r="J45" s="3"/>
      <c r="K45" s="3"/>
      <c r="L45" s="3"/>
      <c r="M45" s="8"/>
      <c r="N45" s="3"/>
    </row>
    <row r="46" ht="13.5" customHeight="1">
      <c r="A46" s="3"/>
      <c r="B46" s="8"/>
      <c r="C46" s="3"/>
      <c r="D46" s="3"/>
      <c r="E46" s="3"/>
      <c r="F46" s="3"/>
      <c r="G46" s="3"/>
      <c r="H46" s="3"/>
      <c r="I46" s="3"/>
      <c r="J46" s="3"/>
      <c r="K46" s="3"/>
      <c r="L46" s="3"/>
      <c r="M46" s="8"/>
      <c r="N46" s="3"/>
    </row>
    <row r="47" ht="13.5" customHeight="1">
      <c r="A47" s="3"/>
      <c r="B47" s="8"/>
      <c r="C47" s="3"/>
      <c r="D47" s="3"/>
      <c r="E47" s="3"/>
      <c r="F47" s="3"/>
      <c r="G47" s="3"/>
      <c r="H47" s="3"/>
      <c r="I47" s="3"/>
      <c r="J47" s="3"/>
      <c r="K47" s="3"/>
      <c r="L47" s="3"/>
      <c r="M47" s="8"/>
      <c r="N47" s="3"/>
    </row>
    <row r="48" ht="13.5" customHeight="1">
      <c r="A48" s="3"/>
      <c r="B48" s="8"/>
      <c r="C48" s="3"/>
      <c r="D48" s="3"/>
      <c r="E48" s="3"/>
      <c r="F48" s="3"/>
      <c r="G48" s="3"/>
      <c r="H48" s="3"/>
      <c r="I48" s="3"/>
      <c r="J48" s="3"/>
      <c r="K48" s="3"/>
      <c r="L48" s="3"/>
      <c r="M48" s="8"/>
      <c r="N48" s="3"/>
    </row>
    <row r="49" ht="13.5" customHeight="1">
      <c r="A49" s="3"/>
      <c r="B49" s="8"/>
      <c r="C49" s="3"/>
      <c r="D49" s="3"/>
      <c r="E49" s="3"/>
      <c r="F49" s="3"/>
      <c r="G49" s="3"/>
      <c r="H49" s="3"/>
      <c r="I49" s="3"/>
      <c r="J49" s="3"/>
      <c r="K49" s="3"/>
      <c r="L49" s="3"/>
      <c r="M49" s="8"/>
      <c r="N49" s="3"/>
    </row>
    <row r="50" ht="13.5" customHeight="1">
      <c r="A50" s="3"/>
      <c r="B50" s="8"/>
      <c r="C50" s="3"/>
      <c r="D50" s="3"/>
      <c r="E50" s="3"/>
      <c r="F50" s="3"/>
      <c r="G50" s="3"/>
      <c r="H50" s="3"/>
      <c r="I50" s="3"/>
      <c r="J50" s="3"/>
      <c r="K50" s="3"/>
      <c r="L50" s="3"/>
      <c r="M50" s="8"/>
      <c r="N50" s="3"/>
    </row>
    <row r="51" ht="13.5" customHeight="1">
      <c r="A51" s="3"/>
      <c r="B51" s="8"/>
      <c r="C51" s="3"/>
      <c r="D51" s="3"/>
      <c r="E51" s="3"/>
      <c r="F51" s="3"/>
      <c r="G51" s="3"/>
      <c r="H51" s="3"/>
      <c r="I51" s="3"/>
      <c r="J51" s="3"/>
      <c r="K51" s="3"/>
      <c r="L51" s="3"/>
      <c r="M51" s="8"/>
      <c r="N51" s="3"/>
    </row>
    <row r="52" ht="13.5" customHeight="1">
      <c r="A52" s="3"/>
      <c r="B52" s="8"/>
      <c r="C52" s="3"/>
      <c r="D52" s="3"/>
      <c r="E52" s="3"/>
      <c r="F52" s="3"/>
      <c r="G52" s="3"/>
      <c r="H52" s="3"/>
      <c r="I52" s="3"/>
      <c r="J52" s="3"/>
      <c r="K52" s="3"/>
      <c r="L52" s="3"/>
      <c r="M52" s="8"/>
      <c r="N52" s="3"/>
    </row>
    <row r="53" ht="13.5" customHeight="1">
      <c r="A53" s="3"/>
      <c r="B53" s="8"/>
      <c r="C53" s="3"/>
      <c r="D53" s="3"/>
      <c r="E53" s="3"/>
      <c r="F53" s="3"/>
      <c r="G53" s="3"/>
      <c r="H53" s="3"/>
      <c r="I53" s="3"/>
      <c r="J53" s="3"/>
      <c r="K53" s="3"/>
      <c r="L53" s="3"/>
      <c r="M53" s="8"/>
      <c r="N53" s="3"/>
    </row>
    <row r="54" ht="13.5" customHeight="1">
      <c r="A54" s="3"/>
      <c r="B54" s="8"/>
      <c r="C54" s="3"/>
      <c r="D54" s="3"/>
      <c r="E54" s="3"/>
      <c r="F54" s="3"/>
      <c r="G54" s="3"/>
      <c r="H54" s="3"/>
      <c r="I54" s="3"/>
      <c r="J54" s="3"/>
      <c r="K54" s="3"/>
      <c r="L54" s="3"/>
      <c r="M54" s="8"/>
      <c r="N54" s="3"/>
    </row>
    <row r="55" ht="13.5" customHeight="1">
      <c r="A55" s="3"/>
      <c r="B55" s="8"/>
      <c r="C55" s="3"/>
      <c r="D55" s="3"/>
      <c r="E55" s="3"/>
      <c r="F55" s="3"/>
      <c r="G55" s="3"/>
      <c r="H55" s="3"/>
      <c r="I55" s="3"/>
      <c r="J55" s="3"/>
      <c r="K55" s="3"/>
      <c r="L55" s="3"/>
      <c r="M55" s="8"/>
      <c r="N55" s="3"/>
    </row>
    <row r="56" ht="13.5" customHeight="1">
      <c r="A56" s="3"/>
      <c r="B56" s="8"/>
      <c r="C56" s="3"/>
      <c r="D56" s="3"/>
      <c r="E56" s="3"/>
      <c r="F56" s="3"/>
      <c r="G56" s="3"/>
      <c r="H56" s="3"/>
      <c r="I56" s="3"/>
      <c r="J56" s="3"/>
      <c r="K56" s="3"/>
      <c r="L56" s="3"/>
      <c r="M56" s="8"/>
      <c r="N56" s="3"/>
    </row>
    <row r="57" ht="13.5" customHeight="1">
      <c r="A57" s="3"/>
      <c r="B57" s="8"/>
      <c r="C57" s="3"/>
      <c r="D57" s="3"/>
      <c r="E57" s="3"/>
      <c r="F57" s="3"/>
      <c r="G57" s="3"/>
      <c r="H57" s="3"/>
      <c r="I57" s="3"/>
      <c r="J57" s="3"/>
      <c r="K57" s="3"/>
      <c r="L57" s="3"/>
      <c r="M57" s="8"/>
      <c r="N57" s="3"/>
    </row>
    <row r="58" ht="13.5" customHeight="1">
      <c r="A58" s="3"/>
      <c r="B58" s="8"/>
      <c r="C58" s="3"/>
      <c r="D58" s="3"/>
      <c r="E58" s="3"/>
      <c r="F58" s="3"/>
      <c r="G58" s="3"/>
      <c r="H58" s="3"/>
      <c r="I58" s="3"/>
      <c r="J58" s="3"/>
      <c r="K58" s="3"/>
      <c r="L58" s="3"/>
      <c r="M58" s="8"/>
      <c r="N58" s="3"/>
    </row>
    <row r="59" ht="13.5" customHeight="1">
      <c r="A59" s="3"/>
      <c r="B59" s="8"/>
      <c r="C59" s="3"/>
      <c r="D59" s="3"/>
      <c r="E59" s="3"/>
      <c r="F59" s="3"/>
      <c r="G59" s="3"/>
      <c r="H59" s="3"/>
      <c r="I59" s="3"/>
      <c r="J59" s="3"/>
      <c r="K59" s="3"/>
      <c r="L59" s="3"/>
      <c r="M59" s="8"/>
      <c r="N59" s="3"/>
    </row>
    <row r="60" ht="13.5" customHeight="1">
      <c r="A60" s="3"/>
      <c r="B60" s="8"/>
      <c r="C60" s="3"/>
      <c r="D60" s="3"/>
      <c r="E60" s="3"/>
      <c r="F60" s="3"/>
      <c r="G60" s="3"/>
      <c r="H60" s="3"/>
      <c r="I60" s="3"/>
      <c r="J60" s="3"/>
      <c r="K60" s="3"/>
      <c r="L60" s="3"/>
      <c r="M60" s="8"/>
      <c r="N60" s="3"/>
    </row>
    <row r="61" ht="13.5" customHeight="1">
      <c r="A61" s="3"/>
      <c r="B61" s="8"/>
      <c r="C61" s="3"/>
      <c r="D61" s="3"/>
      <c r="E61" s="3"/>
      <c r="F61" s="3"/>
      <c r="G61" s="3"/>
      <c r="H61" s="3"/>
      <c r="I61" s="3"/>
      <c r="J61" s="3"/>
      <c r="K61" s="3"/>
      <c r="L61" s="3"/>
      <c r="M61" s="8"/>
      <c r="N61" s="3"/>
    </row>
    <row r="62" ht="13.5" customHeight="1">
      <c r="A62" s="3"/>
      <c r="B62" s="8"/>
      <c r="C62" s="3"/>
      <c r="D62" s="3"/>
      <c r="E62" s="3"/>
      <c r="F62" s="3"/>
      <c r="G62" s="3"/>
      <c r="H62" s="3"/>
      <c r="I62" s="3"/>
      <c r="J62" s="3"/>
      <c r="K62" s="3"/>
      <c r="L62" s="3"/>
      <c r="M62" s="8"/>
      <c r="N62" s="3"/>
    </row>
    <row r="63" ht="13.5" customHeight="1">
      <c r="A63" s="3"/>
      <c r="B63" s="8"/>
      <c r="C63" s="3"/>
      <c r="D63" s="3"/>
      <c r="E63" s="3"/>
      <c r="F63" s="3"/>
      <c r="G63" s="3"/>
      <c r="H63" s="3"/>
      <c r="I63" s="3"/>
      <c r="J63" s="3"/>
      <c r="K63" s="3"/>
      <c r="L63" s="3"/>
      <c r="M63" s="8"/>
      <c r="N63" s="3"/>
    </row>
    <row r="64" ht="13.5" customHeight="1">
      <c r="A64" s="3"/>
      <c r="B64" s="8"/>
      <c r="C64" s="3"/>
      <c r="D64" s="3"/>
      <c r="E64" s="3"/>
      <c r="F64" s="3"/>
      <c r="G64" s="3"/>
      <c r="H64" s="3"/>
      <c r="I64" s="3"/>
      <c r="J64" s="3"/>
      <c r="K64" s="3"/>
      <c r="L64" s="3"/>
      <c r="M64" s="8"/>
      <c r="N64" s="3"/>
    </row>
    <row r="65" ht="13.5" customHeight="1">
      <c r="A65" s="3"/>
      <c r="B65" s="8"/>
      <c r="C65" s="3"/>
      <c r="D65" s="3"/>
      <c r="E65" s="3"/>
      <c r="F65" s="3"/>
      <c r="G65" s="3"/>
      <c r="H65" s="3"/>
      <c r="I65" s="3"/>
      <c r="J65" s="3"/>
      <c r="K65" s="3"/>
      <c r="L65" s="3"/>
      <c r="M65" s="8"/>
      <c r="N65" s="3"/>
    </row>
    <row r="66" ht="13.5" customHeight="1">
      <c r="A66" s="3"/>
      <c r="B66" s="8"/>
      <c r="C66" s="3"/>
      <c r="D66" s="3"/>
      <c r="E66" s="3"/>
      <c r="F66" s="3"/>
      <c r="G66" s="3"/>
      <c r="H66" s="3"/>
      <c r="I66" s="3"/>
      <c r="J66" s="3"/>
      <c r="K66" s="3"/>
      <c r="L66" s="3"/>
      <c r="M66" s="8"/>
      <c r="N66" s="3"/>
    </row>
    <row r="67" ht="13.5" customHeight="1">
      <c r="A67" s="3"/>
      <c r="B67" s="8"/>
      <c r="C67" s="3"/>
      <c r="D67" s="3"/>
      <c r="E67" s="3"/>
      <c r="F67" s="3"/>
      <c r="G67" s="3"/>
      <c r="H67" s="3"/>
      <c r="I67" s="3"/>
      <c r="J67" s="3"/>
      <c r="K67" s="3"/>
      <c r="L67" s="3"/>
      <c r="M67" s="8"/>
      <c r="N67" s="3"/>
    </row>
    <row r="68" ht="13.5" customHeight="1">
      <c r="A68" s="3"/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8"/>
      <c r="N68" s="3"/>
    </row>
    <row r="69" ht="13.5" customHeight="1">
      <c r="A69" s="3"/>
      <c r="B69" s="8"/>
      <c r="C69" s="3"/>
      <c r="D69" s="3"/>
      <c r="E69" s="3"/>
      <c r="F69" s="3"/>
      <c r="G69" s="3"/>
      <c r="H69" s="3"/>
      <c r="I69" s="3"/>
      <c r="J69" s="3"/>
      <c r="K69" s="3"/>
      <c r="L69" s="3"/>
      <c r="M69" s="8"/>
      <c r="N69" s="3"/>
    </row>
    <row r="70" ht="13.5" customHeight="1">
      <c r="A70" s="3"/>
      <c r="B70" s="8"/>
      <c r="C70" s="3"/>
      <c r="D70" s="3"/>
      <c r="E70" s="3"/>
      <c r="F70" s="3"/>
      <c r="G70" s="3"/>
      <c r="H70" s="3"/>
      <c r="I70" s="3"/>
      <c r="J70" s="3"/>
      <c r="K70" s="3"/>
      <c r="L70" s="3"/>
      <c r="M70" s="8"/>
      <c r="N70" s="3"/>
    </row>
    <row r="71" ht="13.5" customHeight="1">
      <c r="A71" s="3"/>
      <c r="B71" s="8"/>
      <c r="C71" s="3"/>
      <c r="D71" s="3"/>
      <c r="E71" s="3"/>
      <c r="F71" s="3"/>
      <c r="G71" s="3"/>
      <c r="H71" s="3"/>
      <c r="I71" s="3"/>
      <c r="J71" s="3"/>
      <c r="K71" s="3"/>
      <c r="L71" s="3"/>
      <c r="M71" s="8"/>
      <c r="N71" s="3"/>
    </row>
    <row r="72" ht="13.5" customHeight="1">
      <c r="A72" s="3"/>
      <c r="B72" s="8"/>
      <c r="C72" s="3"/>
      <c r="D72" s="3"/>
      <c r="E72" s="3"/>
      <c r="F72" s="3"/>
      <c r="G72" s="3"/>
      <c r="H72" s="3"/>
      <c r="I72" s="3"/>
      <c r="J72" s="3"/>
      <c r="K72" s="3"/>
      <c r="L72" s="3"/>
      <c r="M72" s="8"/>
      <c r="N72" s="3"/>
    </row>
    <row r="73" ht="13.5" customHeight="1">
      <c r="A73" s="3"/>
      <c r="B73" s="8"/>
      <c r="C73" s="3"/>
      <c r="D73" s="3"/>
      <c r="E73" s="3"/>
      <c r="F73" s="3"/>
      <c r="G73" s="3"/>
      <c r="H73" s="3"/>
      <c r="I73" s="3"/>
      <c r="J73" s="3"/>
      <c r="K73" s="3"/>
      <c r="L73" s="3"/>
      <c r="M73" s="8"/>
      <c r="N73" s="3"/>
    </row>
    <row r="74" ht="13.5" customHeight="1">
      <c r="A74" s="3"/>
      <c r="B74" s="8"/>
      <c r="C74" s="3"/>
      <c r="D74" s="3"/>
      <c r="E74" s="3"/>
      <c r="F74" s="3"/>
      <c r="G74" s="3"/>
      <c r="H74" s="3"/>
      <c r="I74" s="3"/>
      <c r="J74" s="3"/>
      <c r="K74" s="3"/>
      <c r="L74" s="3"/>
      <c r="M74" s="8"/>
      <c r="N74" s="3"/>
    </row>
    <row r="75" ht="13.5" customHeight="1">
      <c r="A75" s="3"/>
      <c r="B75" s="8"/>
      <c r="C75" s="3"/>
      <c r="D75" s="3"/>
      <c r="E75" s="3"/>
      <c r="F75" s="3"/>
      <c r="G75" s="3"/>
      <c r="H75" s="3"/>
      <c r="I75" s="3"/>
      <c r="J75" s="3"/>
      <c r="K75" s="3"/>
      <c r="L75" s="3"/>
      <c r="M75" s="8"/>
      <c r="N75" s="3"/>
    </row>
    <row r="76" ht="13.5" customHeight="1">
      <c r="A76" s="3"/>
      <c r="B76" s="8"/>
      <c r="C76" s="3"/>
      <c r="D76" s="3"/>
      <c r="E76" s="3"/>
      <c r="F76" s="3"/>
      <c r="G76" s="3"/>
      <c r="H76" s="3"/>
      <c r="I76" s="3"/>
      <c r="J76" s="3"/>
      <c r="K76" s="3"/>
      <c r="L76" s="3"/>
      <c r="M76" s="8"/>
      <c r="N76" s="3"/>
    </row>
    <row r="77" ht="13.5" customHeight="1">
      <c r="A77" s="3"/>
      <c r="B77" s="8"/>
      <c r="C77" s="3"/>
      <c r="D77" s="3"/>
      <c r="E77" s="3"/>
      <c r="F77" s="3"/>
      <c r="G77" s="3"/>
      <c r="H77" s="3"/>
      <c r="I77" s="3"/>
      <c r="J77" s="3"/>
      <c r="K77" s="3"/>
      <c r="L77" s="3"/>
      <c r="M77" s="8"/>
      <c r="N77" s="3"/>
    </row>
    <row r="78" ht="13.5" customHeight="1">
      <c r="A78" s="3"/>
      <c r="B78" s="8"/>
      <c r="C78" s="3"/>
      <c r="D78" s="3"/>
      <c r="E78" s="3"/>
      <c r="F78" s="3"/>
      <c r="G78" s="3"/>
      <c r="H78" s="3"/>
      <c r="I78" s="3"/>
      <c r="J78" s="3"/>
      <c r="K78" s="3"/>
      <c r="L78" s="3"/>
      <c r="M78" s="8"/>
      <c r="N78" s="3"/>
    </row>
    <row r="79" ht="13.5" customHeight="1">
      <c r="A79" s="3"/>
      <c r="B79" s="8"/>
      <c r="C79" s="3"/>
      <c r="D79" s="3"/>
      <c r="E79" s="3"/>
      <c r="F79" s="3"/>
      <c r="G79" s="3"/>
      <c r="H79" s="3"/>
      <c r="I79" s="3"/>
      <c r="J79" s="3"/>
      <c r="K79" s="3"/>
      <c r="L79" s="3"/>
      <c r="M79" s="8"/>
      <c r="N79" s="3"/>
    </row>
    <row r="80" ht="13.5" customHeight="1">
      <c r="A80" s="3"/>
      <c r="B80" s="8"/>
      <c r="C80" s="3"/>
      <c r="D80" s="3"/>
      <c r="E80" s="3"/>
      <c r="F80" s="3"/>
      <c r="G80" s="3"/>
      <c r="H80" s="3"/>
      <c r="I80" s="3"/>
      <c r="J80" s="3"/>
      <c r="K80" s="3"/>
      <c r="L80" s="3"/>
      <c r="M80" s="8"/>
      <c r="N80" s="3"/>
    </row>
    <row r="81" ht="13.5" customHeight="1">
      <c r="A81" s="3"/>
      <c r="B81" s="8"/>
      <c r="C81" s="3"/>
      <c r="D81" s="3"/>
      <c r="E81" s="3"/>
      <c r="F81" s="3"/>
      <c r="G81" s="3"/>
      <c r="H81" s="3"/>
      <c r="I81" s="3"/>
      <c r="J81" s="3"/>
      <c r="K81" s="3"/>
      <c r="L81" s="3"/>
      <c r="M81" s="8"/>
      <c r="N81" s="3"/>
    </row>
    <row r="82" ht="13.5" customHeight="1">
      <c r="A82" s="3"/>
      <c r="B82" s="8"/>
      <c r="C82" s="3"/>
      <c r="D82" s="3"/>
      <c r="E82" s="3"/>
      <c r="F82" s="3"/>
      <c r="G82" s="3"/>
      <c r="H82" s="3"/>
      <c r="I82" s="3"/>
      <c r="J82" s="3"/>
      <c r="K82" s="3"/>
      <c r="L82" s="3"/>
      <c r="M82" s="8"/>
      <c r="N82" s="3"/>
    </row>
    <row r="83" ht="13.5" customHeight="1">
      <c r="A83" s="3"/>
      <c r="B83" s="8"/>
      <c r="C83" s="3"/>
      <c r="D83" s="3"/>
      <c r="E83" s="3"/>
      <c r="F83" s="3"/>
      <c r="G83" s="3"/>
      <c r="H83" s="3"/>
      <c r="I83" s="3"/>
      <c r="J83" s="3"/>
      <c r="K83" s="3"/>
      <c r="L83" s="3"/>
      <c r="M83" s="8"/>
      <c r="N83" s="3"/>
    </row>
    <row r="84" ht="13.5" customHeight="1">
      <c r="A84" s="3"/>
      <c r="B84" s="8"/>
      <c r="C84" s="3"/>
      <c r="D84" s="3"/>
      <c r="E84" s="3"/>
      <c r="F84" s="3"/>
      <c r="G84" s="3"/>
      <c r="H84" s="3"/>
      <c r="I84" s="3"/>
      <c r="J84" s="3"/>
      <c r="K84" s="3"/>
      <c r="L84" s="3"/>
      <c r="M84" s="8"/>
      <c r="N84" s="3"/>
    </row>
    <row r="85" ht="13.5" customHeight="1">
      <c r="A85" s="3"/>
      <c r="B85" s="8"/>
      <c r="C85" s="3"/>
      <c r="D85" s="3"/>
      <c r="E85" s="3"/>
      <c r="F85" s="3"/>
      <c r="G85" s="3"/>
      <c r="H85" s="3"/>
      <c r="I85" s="3"/>
      <c r="J85" s="3"/>
      <c r="K85" s="3"/>
      <c r="L85" s="3"/>
      <c r="M85" s="8"/>
      <c r="N85" s="3"/>
    </row>
    <row r="86" ht="13.5" customHeight="1">
      <c r="A86" s="3"/>
      <c r="B86" s="8"/>
      <c r="C86" s="3"/>
      <c r="D86" s="3"/>
      <c r="E86" s="3"/>
      <c r="F86" s="3"/>
      <c r="G86" s="3"/>
      <c r="H86" s="3"/>
      <c r="I86" s="3"/>
      <c r="J86" s="3"/>
      <c r="K86" s="3"/>
      <c r="L86" s="3"/>
      <c r="M86" s="8"/>
      <c r="N86" s="3"/>
    </row>
    <row r="87" ht="13.5" customHeight="1">
      <c r="A87" s="3"/>
      <c r="B87" s="8"/>
      <c r="C87" s="3"/>
      <c r="D87" s="3"/>
      <c r="E87" s="3"/>
      <c r="F87" s="3"/>
      <c r="G87" s="3"/>
      <c r="H87" s="3"/>
      <c r="I87" s="3"/>
      <c r="J87" s="3"/>
      <c r="K87" s="3"/>
      <c r="L87" s="3"/>
      <c r="M87" s="8"/>
      <c r="N87" s="3"/>
    </row>
    <row r="88" ht="13.5" customHeight="1">
      <c r="A88" s="3"/>
      <c r="B88" s="8"/>
      <c r="C88" s="3"/>
      <c r="D88" s="3"/>
      <c r="E88" s="3"/>
      <c r="F88" s="3"/>
      <c r="G88" s="3"/>
      <c r="H88" s="3"/>
      <c r="I88" s="3"/>
      <c r="J88" s="3"/>
      <c r="K88" s="3"/>
      <c r="L88" s="3"/>
      <c r="M88" s="8"/>
      <c r="N88" s="3"/>
    </row>
    <row r="89" ht="13.5" customHeight="1">
      <c r="A89" s="3"/>
      <c r="B89" s="8"/>
      <c r="C89" s="3"/>
      <c r="D89" s="3"/>
      <c r="E89" s="3"/>
      <c r="F89" s="3"/>
      <c r="G89" s="3"/>
      <c r="H89" s="3"/>
      <c r="I89" s="3"/>
      <c r="J89" s="3"/>
      <c r="K89" s="3"/>
      <c r="L89" s="3"/>
      <c r="M89" s="8"/>
      <c r="N89" s="3"/>
    </row>
    <row r="90" ht="13.5" customHeight="1">
      <c r="A90" s="3"/>
      <c r="B90" s="8"/>
      <c r="C90" s="3"/>
      <c r="D90" s="3"/>
      <c r="E90" s="3"/>
      <c r="F90" s="3"/>
      <c r="G90" s="3"/>
      <c r="H90" s="3"/>
      <c r="I90" s="3"/>
      <c r="J90" s="3"/>
      <c r="K90" s="3"/>
      <c r="L90" s="3"/>
      <c r="M90" s="8"/>
      <c r="N90" s="3"/>
    </row>
    <row r="91" ht="13.5" customHeight="1">
      <c r="A91" s="3"/>
      <c r="B91" s="8"/>
      <c r="C91" s="3"/>
      <c r="D91" s="3"/>
      <c r="E91" s="3"/>
      <c r="F91" s="3"/>
      <c r="G91" s="3"/>
      <c r="H91" s="3"/>
      <c r="I91" s="3"/>
      <c r="J91" s="3"/>
      <c r="K91" s="3"/>
      <c r="L91" s="3"/>
      <c r="M91" s="8"/>
      <c r="N91" s="3"/>
    </row>
    <row r="92" ht="13.5" customHeight="1">
      <c r="A92" s="3"/>
      <c r="B92" s="8"/>
      <c r="C92" s="3"/>
      <c r="D92" s="3"/>
      <c r="E92" s="3"/>
      <c r="F92" s="3"/>
      <c r="G92" s="3"/>
      <c r="H92" s="3"/>
      <c r="I92" s="3"/>
      <c r="J92" s="3"/>
      <c r="K92" s="3"/>
      <c r="L92" s="3"/>
      <c r="M92" s="8"/>
      <c r="N92" s="3"/>
    </row>
    <row r="93" ht="13.5" customHeight="1">
      <c r="A93" s="3"/>
      <c r="B93" s="8"/>
      <c r="C93" s="3"/>
      <c r="D93" s="3"/>
      <c r="E93" s="3"/>
      <c r="F93" s="3"/>
      <c r="G93" s="3"/>
      <c r="H93" s="3"/>
      <c r="I93" s="3"/>
      <c r="J93" s="3"/>
      <c r="K93" s="3"/>
      <c r="L93" s="3"/>
      <c r="M93" s="8"/>
      <c r="N93" s="3"/>
    </row>
    <row r="94" ht="13.5" customHeight="1">
      <c r="A94" s="3"/>
      <c r="B94" s="8"/>
      <c r="C94" s="3"/>
      <c r="D94" s="3"/>
      <c r="E94" s="3"/>
      <c r="F94" s="3"/>
      <c r="G94" s="3"/>
      <c r="H94" s="3"/>
      <c r="I94" s="3"/>
      <c r="J94" s="3"/>
      <c r="K94" s="3"/>
      <c r="L94" s="3"/>
      <c r="M94" s="8"/>
      <c r="N94" s="3"/>
    </row>
    <row r="95" ht="13.5" customHeight="1">
      <c r="A95" s="3"/>
      <c r="B95" s="8"/>
      <c r="C95" s="3"/>
      <c r="D95" s="3"/>
      <c r="E95" s="3"/>
      <c r="F95" s="3"/>
      <c r="G95" s="3"/>
      <c r="H95" s="3"/>
      <c r="I95" s="3"/>
      <c r="J95" s="3"/>
      <c r="K95" s="3"/>
      <c r="L95" s="3"/>
      <c r="M95" s="8"/>
      <c r="N95" s="3"/>
    </row>
    <row r="96" ht="13.5" customHeight="1">
      <c r="A96" s="3"/>
      <c r="B96" s="8"/>
      <c r="C96" s="3"/>
      <c r="D96" s="3"/>
      <c r="E96" s="3"/>
      <c r="F96" s="3"/>
      <c r="G96" s="3"/>
      <c r="H96" s="3"/>
      <c r="I96" s="3"/>
      <c r="J96" s="3"/>
      <c r="K96" s="3"/>
      <c r="L96" s="3"/>
      <c r="M96" s="8"/>
      <c r="N96" s="3"/>
    </row>
    <row r="97" ht="13.5" customHeight="1">
      <c r="A97" s="3"/>
      <c r="B97" s="8"/>
      <c r="C97" s="3"/>
      <c r="D97" s="3"/>
      <c r="E97" s="3"/>
      <c r="F97" s="3"/>
      <c r="G97" s="3"/>
      <c r="H97" s="3"/>
      <c r="I97" s="3"/>
      <c r="J97" s="3"/>
      <c r="K97" s="3"/>
      <c r="L97" s="3"/>
      <c r="M97" s="8"/>
      <c r="N97" s="3"/>
    </row>
    <row r="98" ht="13.5" customHeight="1">
      <c r="A98" s="3"/>
      <c r="B98" s="8"/>
      <c r="C98" s="3"/>
      <c r="D98" s="3"/>
      <c r="E98" s="3"/>
      <c r="F98" s="3"/>
      <c r="G98" s="3"/>
      <c r="H98" s="3"/>
      <c r="I98" s="3"/>
      <c r="J98" s="3"/>
      <c r="K98" s="3"/>
      <c r="L98" s="3"/>
      <c r="M98" s="8"/>
      <c r="N98" s="3"/>
    </row>
    <row r="99" ht="13.5" customHeight="1">
      <c r="A99" s="3"/>
      <c r="B99" s="8"/>
      <c r="C99" s="3"/>
      <c r="D99" s="3"/>
      <c r="E99" s="3"/>
      <c r="F99" s="3"/>
      <c r="G99" s="3"/>
      <c r="H99" s="3"/>
      <c r="I99" s="3"/>
      <c r="J99" s="3"/>
      <c r="K99" s="3"/>
      <c r="L99" s="3"/>
      <c r="M99" s="8"/>
      <c r="N99" s="3"/>
    </row>
    <row r="100" ht="13.5" customHeight="1">
      <c r="A100" s="3"/>
      <c r="B100" s="8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8"/>
      <c r="N100" s="3"/>
    </row>
    <row r="101" ht="13.5" customHeight="1">
      <c r="A101" s="3"/>
      <c r="B101" s="8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8"/>
      <c r="N101" s="3"/>
    </row>
    <row r="102" ht="13.5" customHeight="1">
      <c r="A102" s="3"/>
      <c r="B102" s="8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8"/>
      <c r="N102" s="3"/>
    </row>
    <row r="103" ht="13.5" customHeight="1">
      <c r="A103" s="3"/>
      <c r="B103" s="8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8"/>
      <c r="N103" s="3"/>
    </row>
    <row r="104" ht="13.5" customHeight="1">
      <c r="A104" s="3"/>
      <c r="B104" s="8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8"/>
      <c r="N104" s="3"/>
    </row>
    <row r="105" ht="13.5" customHeight="1">
      <c r="A105" s="3"/>
      <c r="B105" s="8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8"/>
      <c r="N105" s="3"/>
    </row>
    <row r="106" ht="13.5" customHeight="1">
      <c r="A106" s="3"/>
      <c r="B106" s="8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8"/>
      <c r="N106" s="3"/>
    </row>
    <row r="107" ht="13.5" customHeight="1">
      <c r="A107" s="3"/>
      <c r="B107" s="8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8"/>
      <c r="N107" s="3"/>
    </row>
    <row r="108" ht="13.5" customHeight="1">
      <c r="A108" s="3"/>
      <c r="B108" s="8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8"/>
      <c r="N108" s="3"/>
    </row>
    <row r="109" ht="13.5" customHeight="1">
      <c r="A109" s="3"/>
      <c r="B109" s="8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8"/>
      <c r="N109" s="3"/>
    </row>
    <row r="110" ht="13.5" customHeight="1">
      <c r="A110" s="3"/>
      <c r="B110" s="8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8"/>
      <c r="N110" s="3"/>
    </row>
    <row r="111" ht="13.5" customHeight="1">
      <c r="A111" s="3"/>
      <c r="B111" s="8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8"/>
      <c r="N111" s="3"/>
    </row>
    <row r="112" ht="13.5" customHeight="1">
      <c r="A112" s="3"/>
      <c r="B112" s="8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8"/>
      <c r="N112" s="3"/>
    </row>
    <row r="113" ht="13.5" customHeight="1">
      <c r="A113" s="3"/>
      <c r="B113" s="8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8"/>
      <c r="N113" s="3"/>
    </row>
    <row r="114" ht="13.5" customHeight="1">
      <c r="A114" s="3"/>
      <c r="B114" s="8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8"/>
      <c r="N114" s="3"/>
    </row>
    <row r="115" ht="13.5" customHeight="1">
      <c r="A115" s="3"/>
      <c r="B115" s="8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8"/>
      <c r="N115" s="3"/>
    </row>
    <row r="116" ht="13.5" customHeight="1">
      <c r="A116" s="3"/>
      <c r="B116" s="8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8"/>
      <c r="N116" s="3"/>
    </row>
    <row r="117" ht="13.5" customHeight="1">
      <c r="A117" s="3"/>
      <c r="B117" s="8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8"/>
      <c r="N117" s="3"/>
    </row>
    <row r="118" ht="13.5" customHeight="1">
      <c r="A118" s="3"/>
      <c r="B118" s="8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8"/>
      <c r="N118" s="3"/>
    </row>
    <row r="119" ht="13.5" customHeight="1">
      <c r="A119" s="3"/>
      <c r="B119" s="8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8"/>
      <c r="N119" s="3"/>
    </row>
    <row r="120" ht="13.5" customHeight="1">
      <c r="A120" s="3"/>
      <c r="B120" s="8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8"/>
      <c r="N120" s="3"/>
    </row>
    <row r="121" ht="13.5" customHeight="1">
      <c r="A121" s="3"/>
      <c r="B121" s="8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8"/>
      <c r="N121" s="3"/>
    </row>
    <row r="122" ht="13.5" customHeight="1">
      <c r="A122" s="3"/>
      <c r="B122" s="8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8"/>
      <c r="N122" s="3"/>
    </row>
    <row r="123" ht="13.5" customHeight="1">
      <c r="A123" s="3"/>
      <c r="B123" s="8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8"/>
      <c r="N123" s="3"/>
    </row>
    <row r="124" ht="13.5" customHeight="1">
      <c r="A124" s="3"/>
      <c r="B124" s="8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8"/>
      <c r="N124" s="3"/>
    </row>
    <row r="125" ht="13.5" customHeight="1">
      <c r="A125" s="3"/>
      <c r="B125" s="8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8"/>
      <c r="N125" s="3"/>
    </row>
    <row r="126" ht="13.5" customHeight="1">
      <c r="A126" s="3"/>
      <c r="B126" s="8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8"/>
      <c r="N126" s="3"/>
    </row>
    <row r="127" ht="13.5" customHeight="1">
      <c r="A127" s="3"/>
      <c r="B127" s="8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8"/>
      <c r="N127" s="3"/>
    </row>
    <row r="128" ht="13.5" customHeight="1">
      <c r="A128" s="3"/>
      <c r="B128" s="8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8"/>
      <c r="N128" s="3"/>
    </row>
    <row r="129" ht="13.5" customHeight="1">
      <c r="A129" s="3"/>
      <c r="B129" s="8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8"/>
      <c r="N129" s="3"/>
    </row>
    <row r="130" ht="13.5" customHeight="1">
      <c r="A130" s="3"/>
      <c r="B130" s="8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8"/>
      <c r="N130" s="3"/>
    </row>
    <row r="131" ht="13.5" customHeight="1">
      <c r="A131" s="3"/>
      <c r="B131" s="8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8"/>
      <c r="N131" s="3"/>
    </row>
    <row r="132" ht="13.5" customHeight="1">
      <c r="A132" s="3"/>
      <c r="B132" s="8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8"/>
      <c r="N132" s="3"/>
    </row>
    <row r="133" ht="13.5" customHeight="1">
      <c r="A133" s="3"/>
      <c r="B133" s="8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8"/>
      <c r="N133" s="3"/>
    </row>
    <row r="134" ht="13.5" customHeight="1">
      <c r="A134" s="3"/>
      <c r="B134" s="8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8"/>
      <c r="N134" s="3"/>
    </row>
    <row r="135" ht="13.5" customHeight="1">
      <c r="A135" s="3"/>
      <c r="B135" s="8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8"/>
      <c r="N135" s="3"/>
    </row>
    <row r="136" ht="13.5" customHeight="1">
      <c r="A136" s="3"/>
      <c r="B136" s="8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8"/>
      <c r="N136" s="3"/>
    </row>
    <row r="137" ht="13.5" customHeight="1">
      <c r="A137" s="3"/>
      <c r="B137" s="8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8"/>
      <c r="N137" s="3"/>
    </row>
    <row r="138" ht="13.5" customHeight="1">
      <c r="A138" s="3"/>
      <c r="B138" s="8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8"/>
      <c r="N138" s="3"/>
    </row>
    <row r="139" ht="13.5" customHeight="1">
      <c r="A139" s="3"/>
      <c r="B139" s="8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8"/>
      <c r="N139" s="3"/>
    </row>
    <row r="140" ht="13.5" customHeight="1">
      <c r="A140" s="3"/>
      <c r="B140" s="8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8"/>
      <c r="N140" s="3"/>
    </row>
    <row r="141" ht="13.5" customHeight="1">
      <c r="A141" s="3"/>
      <c r="B141" s="8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8"/>
      <c r="N141" s="3"/>
    </row>
    <row r="142" ht="13.5" customHeight="1">
      <c r="A142" s="3"/>
      <c r="B142" s="8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8"/>
      <c r="N142" s="3"/>
    </row>
    <row r="143" ht="13.5" customHeight="1">
      <c r="A143" s="3"/>
      <c r="B143" s="8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8"/>
      <c r="N143" s="3"/>
    </row>
    <row r="144" ht="13.5" customHeight="1">
      <c r="A144" s="3"/>
      <c r="B144" s="8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8"/>
      <c r="N144" s="3"/>
    </row>
    <row r="145" ht="13.5" customHeight="1">
      <c r="A145" s="3"/>
      <c r="B145" s="8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8"/>
      <c r="N145" s="3"/>
    </row>
    <row r="146" ht="13.5" customHeight="1">
      <c r="A146" s="3"/>
      <c r="B146" s="8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8"/>
      <c r="N146" s="3"/>
    </row>
    <row r="147" ht="13.5" customHeight="1">
      <c r="A147" s="3"/>
      <c r="B147" s="8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8"/>
      <c r="N147" s="3"/>
    </row>
    <row r="148" ht="13.5" customHeight="1">
      <c r="A148" s="3"/>
      <c r="B148" s="8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8"/>
      <c r="N148" s="3"/>
    </row>
    <row r="149" ht="13.5" customHeight="1">
      <c r="A149" s="3"/>
      <c r="B149" s="8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8"/>
      <c r="N149" s="3"/>
    </row>
    <row r="150" ht="13.5" customHeight="1">
      <c r="A150" s="3"/>
      <c r="B150" s="8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8"/>
      <c r="N150" s="3"/>
    </row>
    <row r="151" ht="13.5" customHeight="1">
      <c r="A151" s="3"/>
      <c r="B151" s="8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8"/>
      <c r="N151" s="3"/>
    </row>
    <row r="152" ht="13.5" customHeight="1">
      <c r="A152" s="3"/>
      <c r="B152" s="8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8"/>
      <c r="N152" s="3"/>
    </row>
    <row r="153" ht="13.5" customHeight="1">
      <c r="A153" s="3"/>
      <c r="B153" s="8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8"/>
      <c r="N153" s="3"/>
    </row>
    <row r="154" ht="13.5" customHeight="1">
      <c r="A154" s="3"/>
      <c r="B154" s="8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8"/>
      <c r="N154" s="3"/>
    </row>
    <row r="155" ht="13.5" customHeight="1">
      <c r="A155" s="3"/>
      <c r="B155" s="8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8"/>
      <c r="N155" s="3"/>
    </row>
    <row r="156" ht="13.5" customHeight="1">
      <c r="A156" s="3"/>
      <c r="B156" s="8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8"/>
      <c r="N156" s="3"/>
    </row>
    <row r="157" ht="13.5" customHeight="1">
      <c r="A157" s="3"/>
      <c r="B157" s="8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8"/>
      <c r="N157" s="3"/>
    </row>
    <row r="158" ht="13.5" customHeight="1">
      <c r="A158" s="3"/>
      <c r="B158" s="8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8"/>
      <c r="N158" s="3"/>
    </row>
    <row r="159" ht="13.5" customHeight="1">
      <c r="A159" s="3"/>
      <c r="B159" s="8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8"/>
      <c r="N159" s="3"/>
    </row>
    <row r="160" ht="13.5" customHeight="1">
      <c r="A160" s="3"/>
      <c r="B160" s="8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8"/>
      <c r="N160" s="3"/>
    </row>
    <row r="161" ht="13.5" customHeight="1">
      <c r="A161" s="3"/>
      <c r="B161" s="8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8"/>
      <c r="N161" s="3"/>
    </row>
    <row r="162" ht="13.5" customHeight="1">
      <c r="A162" s="3"/>
      <c r="B162" s="8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8"/>
      <c r="N162" s="3"/>
    </row>
    <row r="163" ht="13.5" customHeight="1">
      <c r="A163" s="3"/>
      <c r="B163" s="8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8"/>
      <c r="N163" s="3"/>
    </row>
    <row r="164" ht="13.5" customHeight="1">
      <c r="A164" s="3"/>
      <c r="B164" s="8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8"/>
      <c r="N164" s="3"/>
    </row>
    <row r="165" ht="13.5" customHeight="1">
      <c r="A165" s="3"/>
      <c r="B165" s="8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8"/>
      <c r="N165" s="3"/>
    </row>
    <row r="166" ht="13.5" customHeight="1">
      <c r="A166" s="3"/>
      <c r="B166" s="8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8"/>
      <c r="N166" s="3"/>
    </row>
    <row r="167" ht="13.5" customHeight="1">
      <c r="A167" s="3"/>
      <c r="B167" s="8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8"/>
      <c r="N167" s="3"/>
    </row>
    <row r="168" ht="13.5" customHeight="1">
      <c r="A168" s="3"/>
      <c r="B168" s="8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8"/>
      <c r="N168" s="3"/>
    </row>
    <row r="169" ht="13.5" customHeight="1">
      <c r="A169" s="3"/>
      <c r="B169" s="8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8"/>
      <c r="N169" s="3"/>
    </row>
    <row r="170" ht="13.5" customHeight="1">
      <c r="A170" s="3"/>
      <c r="B170" s="8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8"/>
      <c r="N170" s="3"/>
    </row>
    <row r="171" ht="13.5" customHeight="1">
      <c r="A171" s="3"/>
      <c r="B171" s="8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8"/>
      <c r="N171" s="3"/>
    </row>
    <row r="172" ht="13.5" customHeight="1">
      <c r="A172" s="3"/>
      <c r="B172" s="8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8"/>
      <c r="N172" s="3"/>
    </row>
    <row r="173" ht="13.5" customHeight="1">
      <c r="A173" s="3"/>
      <c r="B173" s="8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8"/>
      <c r="N173" s="3"/>
    </row>
    <row r="174" ht="13.5" customHeight="1">
      <c r="A174" s="3"/>
      <c r="B174" s="8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8"/>
      <c r="N174" s="3"/>
    </row>
    <row r="175" ht="13.5" customHeight="1">
      <c r="A175" s="3"/>
      <c r="B175" s="8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8"/>
      <c r="N175" s="3"/>
    </row>
    <row r="176" ht="13.5" customHeight="1">
      <c r="A176" s="3"/>
      <c r="B176" s="8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8"/>
      <c r="N176" s="3"/>
    </row>
    <row r="177" ht="13.5" customHeight="1">
      <c r="A177" s="3"/>
      <c r="B177" s="8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8"/>
      <c r="N177" s="3"/>
    </row>
    <row r="178" ht="13.5" customHeight="1">
      <c r="A178" s="3"/>
      <c r="B178" s="8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8"/>
      <c r="N178" s="3"/>
    </row>
    <row r="179" ht="13.5" customHeight="1">
      <c r="A179" s="3"/>
      <c r="B179" s="8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8"/>
      <c r="N179" s="3"/>
    </row>
    <row r="180" ht="13.5" customHeight="1">
      <c r="A180" s="3"/>
      <c r="B180" s="8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8"/>
      <c r="N180" s="3"/>
    </row>
    <row r="181" ht="13.5" customHeight="1">
      <c r="A181" s="3"/>
      <c r="B181" s="8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8"/>
      <c r="N181" s="3"/>
    </row>
    <row r="182" ht="13.5" customHeight="1">
      <c r="A182" s="3"/>
      <c r="B182" s="8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8"/>
      <c r="N182" s="3"/>
    </row>
    <row r="183" ht="13.5" customHeight="1">
      <c r="A183" s="3"/>
      <c r="B183" s="8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8"/>
      <c r="N183" s="3"/>
    </row>
    <row r="184" ht="13.5" customHeight="1">
      <c r="A184" s="3"/>
      <c r="B184" s="8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8"/>
      <c r="N184" s="3"/>
    </row>
    <row r="185" ht="13.5" customHeight="1">
      <c r="A185" s="3"/>
      <c r="B185" s="8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8"/>
      <c r="N185" s="3"/>
    </row>
    <row r="186" ht="13.5" customHeight="1">
      <c r="A186" s="3"/>
      <c r="B186" s="8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8"/>
      <c r="N186" s="3"/>
    </row>
    <row r="187" ht="13.5" customHeight="1">
      <c r="A187" s="3"/>
      <c r="B187" s="8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8"/>
      <c r="N187" s="3"/>
    </row>
    <row r="188" ht="13.5" customHeight="1">
      <c r="A188" s="3"/>
      <c r="B188" s="8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8"/>
      <c r="N188" s="3"/>
    </row>
    <row r="189" ht="13.5" customHeight="1">
      <c r="A189" s="3"/>
      <c r="B189" s="8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8"/>
      <c r="N189" s="3"/>
    </row>
    <row r="190" ht="13.5" customHeight="1">
      <c r="A190" s="3"/>
      <c r="B190" s="8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8"/>
      <c r="N190" s="3"/>
    </row>
    <row r="191" ht="13.5" customHeight="1">
      <c r="A191" s="3"/>
      <c r="B191" s="8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8"/>
      <c r="N191" s="3"/>
    </row>
    <row r="192" ht="13.5" customHeight="1">
      <c r="A192" s="3"/>
      <c r="B192" s="8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8"/>
      <c r="N192" s="3"/>
    </row>
    <row r="193" ht="13.5" customHeight="1">
      <c r="A193" s="3"/>
      <c r="B193" s="8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8"/>
      <c r="N193" s="3"/>
    </row>
    <row r="194" ht="13.5" customHeight="1">
      <c r="A194" s="3"/>
      <c r="B194" s="8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8"/>
      <c r="N194" s="3"/>
    </row>
    <row r="195" ht="13.5" customHeight="1">
      <c r="A195" s="3"/>
      <c r="B195" s="8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8"/>
      <c r="N195" s="3"/>
    </row>
    <row r="196" ht="13.5" customHeight="1">
      <c r="A196" s="3"/>
      <c r="B196" s="8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8"/>
      <c r="N196" s="3"/>
    </row>
    <row r="197" ht="13.5" customHeight="1">
      <c r="A197" s="3"/>
      <c r="B197" s="8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8"/>
      <c r="N197" s="3"/>
    </row>
    <row r="198" ht="13.5" customHeight="1">
      <c r="A198" s="3"/>
      <c r="B198" s="8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8"/>
      <c r="N198" s="3"/>
    </row>
    <row r="199" ht="13.5" customHeight="1">
      <c r="A199" s="3"/>
      <c r="B199" s="8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8"/>
      <c r="N199" s="3"/>
    </row>
    <row r="200" ht="13.5" customHeight="1">
      <c r="A200" s="3"/>
      <c r="B200" s="8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8"/>
      <c r="N200" s="3"/>
    </row>
    <row r="201" ht="13.5" customHeight="1">
      <c r="A201" s="3"/>
      <c r="B201" s="8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8"/>
      <c r="N201" s="3"/>
    </row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qref="L2:L201">
      <formula1>"Active,Near Expired,Expired,Renewal Process,Not Started,Progress,Done,Overdue,Open,Closed,Cancelled,Approved,Rejected,Completed"</formula1>
    </dataValidation>
  </dataValidations>
  <printOptions/>
  <pageMargins bottom="0.75" footer="0.0" header="0.0" left="0.7" right="0.7" top="0.75"/>
  <pageSetup orientation="landscape"/>
  <drawing r:id="rId1"/>
</worksheet>
</file>