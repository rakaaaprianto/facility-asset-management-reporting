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fin\Downloads\"/>
    </mc:Choice>
  </mc:AlternateContent>
  <xr:revisionPtr revIDLastSave="0" documentId="13_ncr:1_{CBC2A49E-4A53-4AB3-A81A-E6F9F6819102}" xr6:coauthVersionLast="47" xr6:coauthVersionMax="47" xr10:uidLastSave="{00000000-0000-0000-0000-000000000000}"/>
  <bookViews>
    <workbookView xWindow="-110" yWindow="-110" windowWidth="19420" windowHeight="10300" tabRatio="873" xr2:uid="{00000000-000D-0000-FFFF-FFFF00000000}"/>
  </bookViews>
  <sheets>
    <sheet name="all area 2" sheetId="1" r:id="rId1"/>
    <sheet name="Summary Idle Seat" sheetId="8" r:id="rId2"/>
    <sheet name="Jmh SDM Suport Fam" sheetId="6" r:id="rId3"/>
    <sheet name="Kerusakan Sarana kerja" sheetId="11" r:id="rId4"/>
    <sheet name="Lap. Mobil Opr" sheetId="13" r:id="rId5"/>
    <sheet name="Biaya Mandatory" sheetId="12" r:id="rId6"/>
    <sheet name="Pemakaian Air Minum" sheetId="10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8" l="1"/>
  <c r="E18" i="8" s="1"/>
  <c r="F9" i="8"/>
  <c r="F18" i="8" s="1"/>
  <c r="G270" i="1"/>
  <c r="F270" i="1"/>
  <c r="G274" i="1"/>
  <c r="F274" i="1"/>
  <c r="F17" i="8"/>
  <c r="E17" i="8"/>
  <c r="H261" i="1"/>
  <c r="G261" i="1"/>
  <c r="F261" i="1"/>
  <c r="H260" i="1"/>
  <c r="G260" i="1"/>
  <c r="F260" i="1"/>
  <c r="H247" i="1"/>
  <c r="H241" i="1"/>
  <c r="G241" i="1"/>
  <c r="F241" i="1"/>
  <c r="H240" i="1"/>
  <c r="G240" i="1"/>
  <c r="F240" i="1"/>
  <c r="H230" i="1"/>
  <c r="H224" i="1"/>
  <c r="G224" i="1"/>
  <c r="F224" i="1"/>
  <c r="H223" i="1"/>
  <c r="G223" i="1"/>
  <c r="F223" i="1"/>
  <c r="H216" i="1"/>
  <c r="G216" i="1"/>
  <c r="F216" i="1"/>
  <c r="H215" i="1"/>
  <c r="G215" i="1"/>
  <c r="F215" i="1"/>
  <c r="H210" i="1"/>
  <c r="G210" i="1"/>
  <c r="F210" i="1"/>
  <c r="H194" i="1"/>
  <c r="G194" i="1"/>
  <c r="F194" i="1"/>
  <c r="H187" i="1"/>
  <c r="G187" i="1"/>
  <c r="F187" i="1"/>
  <c r="H172" i="1"/>
  <c r="G172" i="1"/>
  <c r="F172" i="1"/>
  <c r="F121" i="1"/>
  <c r="H121" i="1"/>
  <c r="J150" i="10"/>
  <c r="H60" i="12"/>
  <c r="G60" i="12"/>
  <c r="F60" i="12"/>
  <c r="E60" i="12"/>
  <c r="D60" i="12"/>
  <c r="C60" i="12"/>
  <c r="J45" i="12"/>
  <c r="J44" i="12"/>
  <c r="J43" i="12"/>
  <c r="I46" i="12"/>
  <c r="H46" i="12"/>
  <c r="G46" i="12"/>
  <c r="F46" i="12"/>
  <c r="E46" i="12"/>
  <c r="D46" i="12"/>
  <c r="C46" i="12"/>
  <c r="J39" i="12"/>
  <c r="J38" i="12"/>
  <c r="J37" i="12"/>
  <c r="J36" i="12"/>
  <c r="J40" i="12" s="1"/>
  <c r="I40" i="12"/>
  <c r="H40" i="12"/>
  <c r="G40" i="12"/>
  <c r="F40" i="12"/>
  <c r="E40" i="12"/>
  <c r="D40" i="12"/>
  <c r="C40" i="12"/>
  <c r="J32" i="12"/>
  <c r="J31" i="12"/>
  <c r="J30" i="12"/>
  <c r="I33" i="12"/>
  <c r="H33" i="12"/>
  <c r="G33" i="12"/>
  <c r="F33" i="12"/>
  <c r="E33" i="12"/>
  <c r="D33" i="12"/>
  <c r="C33" i="12"/>
  <c r="J26" i="12"/>
  <c r="J25" i="12"/>
  <c r="J24" i="12"/>
  <c r="J23" i="12"/>
  <c r="J22" i="12"/>
  <c r="J21" i="12"/>
  <c r="J20" i="12"/>
  <c r="J19" i="12"/>
  <c r="J18" i="12"/>
  <c r="J17" i="12"/>
  <c r="J27" i="12" s="1"/>
  <c r="I27" i="12"/>
  <c r="H27" i="12"/>
  <c r="G27" i="12"/>
  <c r="F27" i="12"/>
  <c r="E27" i="12"/>
  <c r="D27" i="12"/>
  <c r="C27" i="12"/>
  <c r="J13" i="12"/>
  <c r="J12" i="12"/>
  <c r="J11" i="12"/>
  <c r="J10" i="12"/>
  <c r="J9" i="12"/>
  <c r="J8" i="12"/>
  <c r="J7" i="12"/>
  <c r="J6" i="12"/>
  <c r="J5" i="12"/>
  <c r="I14" i="12"/>
  <c r="H14" i="12"/>
  <c r="G14" i="12"/>
  <c r="F14" i="12"/>
  <c r="E14" i="12"/>
  <c r="D14" i="12"/>
  <c r="C14" i="12"/>
  <c r="G279" i="1" l="1"/>
  <c r="F279" i="1"/>
  <c r="I60" i="12"/>
  <c r="J33" i="12"/>
  <c r="J46" i="12"/>
  <c r="J14" i="12"/>
  <c r="J60" i="12" l="1"/>
  <c r="H161" i="1" l="1"/>
  <c r="G161" i="1"/>
  <c r="F161" i="1"/>
  <c r="H128" i="1"/>
  <c r="G128" i="1"/>
  <c r="G162" i="1" s="1"/>
  <c r="F128" i="1"/>
  <c r="F162" i="1" s="1"/>
  <c r="D21" i="6"/>
  <c r="E153" i="10"/>
  <c r="D153" i="10"/>
  <c r="H152" i="10"/>
  <c r="G152" i="10"/>
  <c r="H151" i="10"/>
  <c r="G151" i="10"/>
  <c r="H150" i="10"/>
  <c r="G150" i="10"/>
  <c r="H149" i="10"/>
  <c r="G149" i="10"/>
  <c r="H148" i="10"/>
  <c r="G148" i="10"/>
  <c r="H147" i="10"/>
  <c r="G147" i="10"/>
  <c r="H146" i="10"/>
  <c r="G146" i="10"/>
  <c r="H145" i="10"/>
  <c r="G145" i="10"/>
  <c r="H144" i="10"/>
  <c r="G144" i="10"/>
  <c r="H143" i="10"/>
  <c r="G143" i="10"/>
  <c r="H142" i="10"/>
  <c r="G142" i="10"/>
  <c r="H141" i="10"/>
  <c r="G141" i="10"/>
  <c r="H140" i="10"/>
  <c r="G140" i="10"/>
  <c r="H139" i="10"/>
  <c r="G139" i="10"/>
  <c r="H138" i="10"/>
  <c r="G138" i="10"/>
  <c r="H137" i="10"/>
  <c r="G137" i="10"/>
  <c r="H136" i="10"/>
  <c r="G136" i="10"/>
  <c r="H135" i="10"/>
  <c r="G135" i="10"/>
  <c r="E131" i="10"/>
  <c r="D131" i="10"/>
  <c r="H130" i="10"/>
  <c r="G130" i="10"/>
  <c r="H129" i="10"/>
  <c r="G129" i="10"/>
  <c r="H128" i="10"/>
  <c r="G128" i="10"/>
  <c r="H127" i="10"/>
  <c r="G127" i="10"/>
  <c r="H126" i="10"/>
  <c r="G126" i="10"/>
  <c r="H125" i="10"/>
  <c r="G125" i="10"/>
  <c r="H124" i="10"/>
  <c r="G124" i="10"/>
  <c r="H123" i="10"/>
  <c r="G123" i="10"/>
  <c r="H122" i="10"/>
  <c r="G122" i="10"/>
  <c r="H121" i="10"/>
  <c r="G121" i="10"/>
  <c r="H120" i="10"/>
  <c r="G120" i="10"/>
  <c r="H119" i="10"/>
  <c r="G119" i="10"/>
  <c r="H118" i="10"/>
  <c r="G118" i="10"/>
  <c r="H117" i="10"/>
  <c r="G117" i="10"/>
  <c r="H116" i="10"/>
  <c r="G116" i="10"/>
  <c r="H115" i="10"/>
  <c r="G115" i="10"/>
  <c r="H114" i="10"/>
  <c r="G114" i="10"/>
  <c r="H113" i="10"/>
  <c r="G113" i="10"/>
  <c r="G131" i="10" s="1"/>
  <c r="E109" i="10"/>
  <c r="D109" i="10"/>
  <c r="H108" i="10"/>
  <c r="G108" i="10"/>
  <c r="H107" i="10"/>
  <c r="G107" i="10"/>
  <c r="H106" i="10"/>
  <c r="G106" i="10"/>
  <c r="H105" i="10"/>
  <c r="G105" i="10"/>
  <c r="H104" i="10"/>
  <c r="G104" i="10"/>
  <c r="H103" i="10"/>
  <c r="G103" i="10"/>
  <c r="H102" i="10"/>
  <c r="G102" i="10"/>
  <c r="H101" i="10"/>
  <c r="G101" i="10"/>
  <c r="H100" i="10"/>
  <c r="G100" i="10"/>
  <c r="H99" i="10"/>
  <c r="G99" i="10"/>
  <c r="H98" i="10"/>
  <c r="G98" i="10"/>
  <c r="H97" i="10"/>
  <c r="G97" i="10"/>
  <c r="H96" i="10"/>
  <c r="G96" i="10"/>
  <c r="H95" i="10"/>
  <c r="G95" i="10"/>
  <c r="H94" i="10"/>
  <c r="G94" i="10"/>
  <c r="H93" i="10"/>
  <c r="G93" i="10"/>
  <c r="H92" i="10"/>
  <c r="G92" i="10"/>
  <c r="H91" i="10"/>
  <c r="H109" i="10" s="1"/>
  <c r="G91" i="10"/>
  <c r="E87" i="10"/>
  <c r="D87" i="10"/>
  <c r="H86" i="10"/>
  <c r="G86" i="10"/>
  <c r="H85" i="10"/>
  <c r="G85" i="10"/>
  <c r="H84" i="10"/>
  <c r="G84" i="10"/>
  <c r="H83" i="10"/>
  <c r="G83" i="10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E65" i="10"/>
  <c r="D65" i="10"/>
  <c r="H64" i="10"/>
  <c r="G64" i="10"/>
  <c r="H63" i="10"/>
  <c r="G63" i="10"/>
  <c r="H62" i="10"/>
  <c r="G62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52" i="10"/>
  <c r="G52" i="10"/>
  <c r="H51" i="10"/>
  <c r="G51" i="10"/>
  <c r="H50" i="10"/>
  <c r="G50" i="10"/>
  <c r="H49" i="10"/>
  <c r="G49" i="10"/>
  <c r="H48" i="10"/>
  <c r="G48" i="10"/>
  <c r="H47" i="10"/>
  <c r="G47" i="10"/>
  <c r="E43" i="10"/>
  <c r="D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E22" i="10"/>
  <c r="D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4" i="10"/>
  <c r="G4" i="10"/>
  <c r="H162" i="1" l="1"/>
  <c r="H131" i="10"/>
  <c r="H43" i="10"/>
  <c r="H153" i="10"/>
  <c r="G65" i="10"/>
  <c r="H65" i="10"/>
  <c r="G87" i="10"/>
  <c r="H87" i="10"/>
  <c r="G153" i="10"/>
  <c r="G109" i="10"/>
  <c r="G43" i="10"/>
  <c r="G22" i="10"/>
  <c r="H22" i="10"/>
  <c r="F13" i="8" l="1"/>
  <c r="E13" i="8"/>
  <c r="E7" i="6"/>
  <c r="E22" i="6" s="1"/>
  <c r="F7" i="6"/>
  <c r="G7" i="6"/>
  <c r="G22" i="6" s="1"/>
  <c r="H7" i="6"/>
  <c r="H22" i="6" s="1"/>
  <c r="D16" i="6"/>
  <c r="H16" i="6"/>
  <c r="D17" i="6"/>
  <c r="H17" i="6"/>
  <c r="D18" i="6"/>
  <c r="H18" i="6"/>
  <c r="D19" i="6"/>
  <c r="H19" i="6"/>
  <c r="D20" i="6"/>
  <c r="H20" i="6"/>
  <c r="H21" i="6"/>
  <c r="D8" i="6"/>
  <c r="E8" i="6"/>
  <c r="F8" i="6"/>
  <c r="H8" i="6"/>
  <c r="D9" i="6"/>
  <c r="F9" i="6"/>
  <c r="H9" i="6"/>
  <c r="D10" i="6"/>
  <c r="H10" i="6"/>
  <c r="D11" i="6"/>
  <c r="E11" i="6"/>
  <c r="F11" i="6"/>
  <c r="H11" i="6"/>
  <c r="D12" i="6"/>
  <c r="F12" i="6"/>
  <c r="H12" i="6"/>
  <c r="D13" i="6"/>
  <c r="F13" i="6"/>
  <c r="H13" i="6"/>
  <c r="I13" i="6"/>
  <c r="C21" i="6"/>
  <c r="C20" i="6"/>
  <c r="C19" i="6"/>
  <c r="C18" i="6"/>
  <c r="C17" i="6"/>
  <c r="C16" i="6"/>
  <c r="H13" i="1"/>
  <c r="H20" i="1"/>
  <c r="H27" i="1"/>
  <c r="H59" i="1"/>
  <c r="H62" i="1"/>
  <c r="H98" i="1"/>
  <c r="H107" i="1"/>
  <c r="H120" i="1"/>
  <c r="H238" i="1"/>
  <c r="H250" i="1"/>
  <c r="H254" i="1"/>
  <c r="H259" i="1"/>
  <c r="G13" i="1"/>
  <c r="G20" i="1"/>
  <c r="G27" i="1"/>
  <c r="G59" i="1"/>
  <c r="G62" i="1" s="1"/>
  <c r="G98" i="1"/>
  <c r="G107" i="1"/>
  <c r="G120" i="1"/>
  <c r="G238" i="1"/>
  <c r="G247" i="1"/>
  <c r="G250" i="1"/>
  <c r="G254" i="1"/>
  <c r="G259" i="1"/>
  <c r="F13" i="1"/>
  <c r="F20" i="1"/>
  <c r="F27" i="1"/>
  <c r="F59" i="1"/>
  <c r="F62" i="1" s="1"/>
  <c r="F98" i="1"/>
  <c r="F107" i="1"/>
  <c r="F120" i="1"/>
  <c r="F238" i="1"/>
  <c r="F247" i="1"/>
  <c r="F250" i="1"/>
  <c r="F254" i="1"/>
  <c r="F259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5" i="1"/>
  <c r="D64" i="1"/>
  <c r="D63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C34" i="1"/>
  <c r="D33" i="1"/>
  <c r="C33" i="1"/>
  <c r="D32" i="1"/>
  <c r="D31" i="1"/>
  <c r="D30" i="1"/>
  <c r="D29" i="1"/>
  <c r="D28" i="1"/>
  <c r="D26" i="1"/>
  <c r="D25" i="1"/>
  <c r="D24" i="1"/>
  <c r="D23" i="1"/>
  <c r="D22" i="1"/>
  <c r="D21" i="1"/>
  <c r="D19" i="1"/>
  <c r="D18" i="1"/>
  <c r="D17" i="1"/>
  <c r="D16" i="1"/>
  <c r="D15" i="1"/>
  <c r="D14" i="1"/>
  <c r="D22" i="6" l="1"/>
  <c r="F22" i="6"/>
  <c r="I7" i="6"/>
  <c r="I18" i="6"/>
  <c r="I20" i="6"/>
  <c r="I17" i="6"/>
  <c r="I10" i="6"/>
  <c r="I19" i="6"/>
  <c r="I9" i="6"/>
  <c r="I8" i="6"/>
  <c r="I21" i="6"/>
  <c r="I16" i="6"/>
  <c r="I12" i="6"/>
  <c r="I11" i="6"/>
  <c r="H99" i="1"/>
  <c r="G99" i="1"/>
  <c r="F99" i="1"/>
  <c r="I22" i="6" l="1"/>
  <c r="G121" i="1"/>
  <c r="E120" i="1"/>
</calcChain>
</file>

<file path=xl/sharedStrings.xml><?xml version="1.0" encoding="utf-8"?>
<sst xmlns="http://schemas.openxmlformats.org/spreadsheetml/2006/main" count="5847" uniqueCount="1254">
  <si>
    <t>NO</t>
  </si>
  <si>
    <t>DIVISI</t>
  </si>
  <si>
    <t>LAYANAN</t>
  </si>
  <si>
    <t>KLIEN</t>
  </si>
  <si>
    <t>LUAS (M2)</t>
  </si>
  <si>
    <t>JML SEAT</t>
  </si>
  <si>
    <t>JML SDM</t>
  </si>
  <si>
    <t>LANTAI</t>
  </si>
  <si>
    <t>KETERANGAN</t>
  </si>
  <si>
    <t>A</t>
  </si>
  <si>
    <t>FATMAWATI  77-81</t>
  </si>
  <si>
    <t>a</t>
  </si>
  <si>
    <t>BACK OFFICE</t>
  </si>
  <si>
    <t>DEVISI GENERAL AFFAIR</t>
  </si>
  <si>
    <t>Dept. Facility &amp; Asset Management</t>
  </si>
  <si>
    <t>DIVISI GENERAL AFFAIR</t>
  </si>
  <si>
    <t>Security</t>
  </si>
  <si>
    <t>Basement</t>
  </si>
  <si>
    <t>ME</t>
  </si>
  <si>
    <t>Driver</t>
  </si>
  <si>
    <t>Cleaning Service</t>
  </si>
  <si>
    <t>Takmir Masjid</t>
  </si>
  <si>
    <t>TOTAL</t>
  </si>
  <si>
    <t>DIVISI CRM OPERATION ENTERPRISE 1</t>
  </si>
  <si>
    <t>GROUP OF INTERNAL AUDIT</t>
  </si>
  <si>
    <t>DIVISI FINANCE &amp; ACCOUNTING SSO</t>
  </si>
  <si>
    <t>DIVISI DIVISI FINANCE &amp; ACCOUNTING SSO</t>
  </si>
  <si>
    <t>DIVISI IT OPERATION</t>
  </si>
  <si>
    <t>DIVISI PROCUREMENT SSO</t>
  </si>
  <si>
    <t>DIVISI SME SERVICES &amp; GOVERNMENT SALES</t>
  </si>
  <si>
    <t>DIVISI PRODUCT &amp; SERVICES MANAGEMENT</t>
  </si>
  <si>
    <t>DIVISI PROJECT MANAGEMENT</t>
  </si>
  <si>
    <t>DEPARTEMEN CORPORATE COMUNIKASI</t>
  </si>
  <si>
    <t>DIVISI CORPORATE SECRETARY</t>
  </si>
  <si>
    <t>DIVISI FINANCE</t>
  </si>
  <si>
    <t>DIVISI BILLING &amp; COLLECTION</t>
  </si>
  <si>
    <t>DIVISI CORPORATE STRATEGY</t>
  </si>
  <si>
    <t>DIVISI GOVERNANCE &amp; RISK MANAGEMENT</t>
  </si>
  <si>
    <t>DIVISI CRM OPERATION TGNT</t>
  </si>
  <si>
    <t>DIVISI AUTOMATION &amp; AI</t>
  </si>
  <si>
    <t>DIVISI HUMAN CAPITAL MANAGEMENT</t>
  </si>
  <si>
    <t>DIVISI IT APPLICATION DEVELOPMENT &amp; DELIVERY</t>
  </si>
  <si>
    <t>DIVISI IT INFRASTRUCTURE &amp; SECURITY</t>
  </si>
  <si>
    <t>BOD</t>
  </si>
  <si>
    <t>DEPARTEMEN CORPORATE COMMUNICATION</t>
  </si>
  <si>
    <t>DIVISI BUSINESS SOLUTION</t>
  </si>
  <si>
    <t>DIVISI MARKETING</t>
  </si>
  <si>
    <t>DEPARTEMEN PIPELINE &amp; PRICING MANAGEMENT</t>
  </si>
  <si>
    <t>DIVISI PRIVATE SERVICES SALES</t>
  </si>
  <si>
    <t>DIVISI SOE SERVICES SALES</t>
  </si>
  <si>
    <t>DIVISI TELKOM GROUP SALES</t>
  </si>
  <si>
    <t>DIVISI CUSTOMER EXPERIENCE MANAGEMENT</t>
  </si>
  <si>
    <t>DIVISI CRM OPERATION ENTERPRISE 2</t>
  </si>
  <si>
    <t>DIVISI CRM OPERATION TELKOMSEL</t>
  </si>
  <si>
    <t xml:space="preserve"> </t>
  </si>
  <si>
    <t>SUPPORT TEAM</t>
  </si>
  <si>
    <t>GRAND TOTAL (A)</t>
  </si>
  <si>
    <t>b.</t>
  </si>
  <si>
    <t>Oprs. Enterprise 1 Segment 2</t>
  </si>
  <si>
    <t>PERHUTANI</t>
  </si>
  <si>
    <t>Oprs. Enterprise 2 Segment 5</t>
  </si>
  <si>
    <t>TOKIO MARINE</t>
  </si>
  <si>
    <t>Oprs. Enterprise 2 Segment  2</t>
  </si>
  <si>
    <t>MCD</t>
  </si>
  <si>
    <t>Oprs. Enterprise 1 Segment 4</t>
  </si>
  <si>
    <t>Grapari Telkomsel</t>
  </si>
  <si>
    <t>3A (AUTOMATION, AI &amp; ANALYTICS)</t>
  </si>
  <si>
    <t>IT OPERASIONAL/DUKTEK</t>
  </si>
  <si>
    <t>RUANG SERVER/UPS</t>
  </si>
  <si>
    <t>TOTAL (A)</t>
  </si>
  <si>
    <t>PEGADAIAN</t>
  </si>
  <si>
    <t>Oprs. Enterprise 2 Segment 4</t>
  </si>
  <si>
    <t>SUZUKI</t>
  </si>
  <si>
    <t>HM SAMPOERNA</t>
  </si>
  <si>
    <t>Oprs. Enterprise 1 Segment 1</t>
  </si>
  <si>
    <t>GARUDA MILES</t>
  </si>
  <si>
    <t>GARUDA E-COMMERCE</t>
  </si>
  <si>
    <t>GARUDA SUPPORT</t>
  </si>
  <si>
    <t>Eks BPJS (Admin)</t>
  </si>
  <si>
    <t>SOMPO</t>
  </si>
  <si>
    <t>JASINDO</t>
  </si>
  <si>
    <t>BNI SEKURITAS</t>
  </si>
  <si>
    <t>Oprs. TGNT Segment 3</t>
  </si>
  <si>
    <t>FINNET</t>
  </si>
  <si>
    <t>ASURANSI RAMAYANA</t>
  </si>
  <si>
    <t>TOTAL (B)</t>
  </si>
  <si>
    <t>GRAND TOTAL (A + B)</t>
  </si>
  <si>
    <t>B</t>
  </si>
  <si>
    <t>TENDEAN 39</t>
  </si>
  <si>
    <t>Garuda</t>
  </si>
  <si>
    <t>KSP</t>
  </si>
  <si>
    <t>NUON / Melon</t>
  </si>
  <si>
    <t>Federal Oil</t>
  </si>
  <si>
    <t>DMO HQ Cooltura</t>
  </si>
  <si>
    <t>Jamkrindo</t>
  </si>
  <si>
    <t>DPR</t>
  </si>
  <si>
    <t>Acer</t>
  </si>
  <si>
    <t>Dominos</t>
  </si>
  <si>
    <t>Kemenham</t>
  </si>
  <si>
    <t>Mitratel</t>
  </si>
  <si>
    <t>BSS</t>
  </si>
  <si>
    <t>KB Bank</t>
  </si>
  <si>
    <t>MNC</t>
  </si>
  <si>
    <t>IT HM Sampoerna</t>
  </si>
  <si>
    <t>R. Meeting</t>
  </si>
  <si>
    <t>DOM ROC</t>
  </si>
  <si>
    <t>R. MGR DOM / 3A</t>
  </si>
  <si>
    <t>DOM Support</t>
  </si>
  <si>
    <t>BES</t>
  </si>
  <si>
    <t>IT BES</t>
  </si>
  <si>
    <t>Telkom DMO</t>
  </si>
  <si>
    <t>Allo Bank</t>
  </si>
  <si>
    <t>ASDP</t>
  </si>
  <si>
    <t>IT</t>
  </si>
  <si>
    <t>C</t>
  </si>
  <si>
    <t>GRAHA INFOMEDIA-MAMPANG</t>
  </si>
  <si>
    <t>Dept. Faciliti And Asset Management</t>
  </si>
  <si>
    <t>PT Infomedia Nusantara</t>
  </si>
  <si>
    <t>B1</t>
  </si>
  <si>
    <t>PT. Media Prima</t>
  </si>
  <si>
    <t>IOC</t>
  </si>
  <si>
    <t>INFOMEDIA OPERATION CENTER</t>
  </si>
  <si>
    <t>IT OPERTION/IOC</t>
  </si>
  <si>
    <t>IT OPERASIONAL / DUKTEK</t>
  </si>
  <si>
    <t>IT OPERTION</t>
  </si>
  <si>
    <t>FINVUE</t>
  </si>
  <si>
    <t>Infomedia</t>
  </si>
  <si>
    <t>Metra Holding</t>
  </si>
  <si>
    <t>PT Multimedia Nusantara</t>
  </si>
  <si>
    <t>MD Media</t>
  </si>
  <si>
    <t xml:space="preserve">PT Metra Digital Media </t>
  </si>
  <si>
    <t>Telkom Regional</t>
  </si>
  <si>
    <t>PT Telkom Indonesia Tbk</t>
  </si>
  <si>
    <t>Telkomedika</t>
  </si>
  <si>
    <t>PT Sarana Usaha Sejahtera Insanpalapa</t>
  </si>
  <si>
    <t>Telkom Infra</t>
  </si>
  <si>
    <t>PT Telkominfra</t>
  </si>
  <si>
    <t>PT Metra Net</t>
  </si>
  <si>
    <t>PT Metra-Net</t>
  </si>
  <si>
    <t>TIF / Infraco</t>
  </si>
  <si>
    <t>PT Infrastruktur Telekomunikasi Indonesia</t>
  </si>
  <si>
    <t>SSI</t>
  </si>
  <si>
    <t>PT Swadharma Sarana Informatika</t>
  </si>
  <si>
    <t>GSD</t>
  </si>
  <si>
    <t>PT Graha Sarana Duta</t>
  </si>
  <si>
    <t>TOTAL (C)</t>
  </si>
  <si>
    <t>HUMANVUE</t>
  </si>
  <si>
    <t>HUMAN RESOURCES SSO</t>
  </si>
  <si>
    <t>Dept. Operationa Payroll SSO</t>
  </si>
  <si>
    <t>GM</t>
  </si>
  <si>
    <t>TOTAL (D)</t>
  </si>
  <si>
    <t>FAPRO</t>
  </si>
  <si>
    <t>RDMS SSO</t>
  </si>
  <si>
    <t>Source to Pay SSO</t>
  </si>
  <si>
    <t>TOTAL E</t>
  </si>
  <si>
    <t>LANTAI 5</t>
  </si>
  <si>
    <t>Per tanggal 1 November 2025 pindah lokasi Kerja</t>
  </si>
  <si>
    <t>TOTAL F</t>
  </si>
  <si>
    <t>GRAND TOTAL (A+B+C+D+E+F)</t>
  </si>
  <si>
    <t>Security (BSI)</t>
  </si>
  <si>
    <t xml:space="preserve"> Cleaning Service, Lt. 8 (BSI)</t>
  </si>
  <si>
    <t>BSI</t>
  </si>
  <si>
    <t>Bank Syariah Indonesia</t>
  </si>
  <si>
    <t>GRAND TOTAL (A+B)</t>
  </si>
  <si>
    <t>E</t>
  </si>
  <si>
    <t>TELKOM BSD</t>
  </si>
  <si>
    <t>Frever</t>
  </si>
  <si>
    <t>OPERATION TGNT SEGMENT 4</t>
  </si>
  <si>
    <t>CRM</t>
  </si>
  <si>
    <t>Telkom</t>
  </si>
  <si>
    <t>vame</t>
  </si>
  <si>
    <t>RETENSI ERM</t>
  </si>
  <si>
    <t>ERM SOSMED</t>
  </si>
  <si>
    <t>BANK DANAMON</t>
  </si>
  <si>
    <t>DANAMON</t>
  </si>
  <si>
    <t>25.07</t>
  </si>
  <si>
    <t>PLAZA INDIBIZ</t>
  </si>
  <si>
    <t xml:space="preserve">Admin </t>
  </si>
  <si>
    <t>OPERATION ENTERPRISE 1 SEGMENT 6</t>
  </si>
  <si>
    <t>Pertamina 135</t>
  </si>
  <si>
    <t>GR&amp; TOTAL (A+B)</t>
  </si>
  <si>
    <t>F</t>
  </si>
  <si>
    <t>TELKOM OPMC-BOGOR</t>
  </si>
  <si>
    <t>PROJECT</t>
  </si>
  <si>
    <t>Dasar</t>
  </si>
  <si>
    <t xml:space="preserve"> IOC AND DIGITAL OPERATION</t>
  </si>
  <si>
    <t>Ruang IT</t>
  </si>
  <si>
    <t>Suport</t>
  </si>
  <si>
    <t xml:space="preserve"> OPERATION TGNT SEGMENT 1</t>
  </si>
  <si>
    <t>IPO END STATE</t>
  </si>
  <si>
    <t>Telkomsel</t>
  </si>
  <si>
    <t xml:space="preserve">24CIN10A0020 IPO (Fulfillment) </t>
  </si>
  <si>
    <t>IPO HELPDESK</t>
  </si>
  <si>
    <t>Ipo Non Agent</t>
  </si>
  <si>
    <t>Olive DSS</t>
  </si>
  <si>
    <t xml:space="preserve">29022024/015815 IPO (Fulfillment) </t>
  </si>
  <si>
    <t>Quality Control 2 Divisi Service Operation</t>
  </si>
  <si>
    <t>TIF</t>
  </si>
  <si>
    <t xml:space="preserve">23CIN10A0004 IPO (Fulfillment) </t>
  </si>
  <si>
    <t>admin</t>
  </si>
  <si>
    <t>oprasional</t>
  </si>
  <si>
    <t>Operation TELCO 1 SEGMENT 1</t>
  </si>
  <si>
    <t>Operasional</t>
  </si>
  <si>
    <t xml:space="preserve">23CIN10A0027 IPO (Fulfillment) </t>
  </si>
  <si>
    <t>GRAND TOTAL (A+B+C+D)</t>
  </si>
  <si>
    <t>GRAND TOTAL ALL GEDUNG (SDM) DI AREA 2</t>
  </si>
  <si>
    <t>JUMLAH SEAT IDLE (EX LAYANAN) DI GEDUNG :</t>
  </si>
  <si>
    <t xml:space="preserve">Eks SILOAM </t>
  </si>
  <si>
    <t>Eks SRC SAMPOERNA</t>
  </si>
  <si>
    <t>perubahan 25,07m²</t>
  </si>
  <si>
    <t>TOTAL (a)</t>
  </si>
  <si>
    <t>Seat layanan idle (kosong)</t>
  </si>
  <si>
    <t xml:space="preserve"> -</t>
  </si>
  <si>
    <t>24CIN10A0020</t>
  </si>
  <si>
    <t>TOTAL (b)</t>
  </si>
  <si>
    <t>Idle seat Ex layanan Fasso</t>
  </si>
  <si>
    <t>TOTAL (c)</t>
  </si>
  <si>
    <t>Grand Total</t>
  </si>
  <si>
    <t>LAPORAN LAYANAN (LUASAN, JUMLAH SEAT, JUMLAH SDM DAN IDLE SEAT) DI GEDUNG ALL AREA 2 (DUA)</t>
  </si>
  <si>
    <t>GRAND TOTAL</t>
  </si>
  <si>
    <t>GEDUNG</t>
  </si>
  <si>
    <t>SUMMARY JUMLAH TENAGA KERJA NASIONAL</t>
  </si>
  <si>
    <t>(DRIVER, ME &amp; CLEANING SERVICE)</t>
  </si>
  <si>
    <t>AREA GEDUNG</t>
  </si>
  <si>
    <t>JUMLAH</t>
  </si>
  <si>
    <t xml:space="preserve">KETERANGAN </t>
  </si>
  <si>
    <t>SECURITY</t>
  </si>
  <si>
    <t>DREVER</t>
  </si>
  <si>
    <t>MAIL BOY</t>
  </si>
  <si>
    <t>CS</t>
  </si>
  <si>
    <t>FATMAWATI</t>
  </si>
  <si>
    <t>GRAPARI AREA 2</t>
  </si>
  <si>
    <t>TENDEAN</t>
  </si>
  <si>
    <t>MAMPANG</t>
  </si>
  <si>
    <t>GRAHA INTI FAUZI (GIF)</t>
  </si>
  <si>
    <t>CIAWI</t>
  </si>
  <si>
    <t>NO.</t>
  </si>
  <si>
    <t>R2R FCBP 01 TAX</t>
  </si>
  <si>
    <t>D</t>
  </si>
  <si>
    <t>RINCIAN BA REKON JABODETABEK JANUARI 2026</t>
  </si>
  <si>
    <t>No</t>
  </si>
  <si>
    <t>Site</t>
  </si>
  <si>
    <t> Periode </t>
  </si>
  <si>
    <t>Permintaan</t>
  </si>
  <si>
    <t>Realisasi</t>
  </si>
  <si>
    <t>Harga Satuan</t>
  </si>
  <si>
    <t xml:space="preserve"> Total/Bln </t>
  </si>
  <si>
    <t xml:space="preserve"> Total Realisasi </t>
  </si>
  <si>
    <t>Fatmawati</t>
  </si>
  <si>
    <t>Januari 2026</t>
  </si>
  <si>
    <t>Grapari Emporium Pluit</t>
  </si>
  <si>
    <t>EMPORIUM</t>
  </si>
  <si>
    <t>Dirjen P2P - Percetakan Negara</t>
  </si>
  <si>
    <t>KEMENKES</t>
  </si>
  <si>
    <t>KEMENKES RI</t>
  </si>
  <si>
    <t>Infomedia Peruri</t>
  </si>
  <si>
    <t>PERURI</t>
  </si>
  <si>
    <t>Infomedia - Graha Inti Fauzi Lt. 5 (AHU)</t>
  </si>
  <si>
    <t>AHU</t>
  </si>
  <si>
    <t>Infomedia - Graha Inti Fauzi Lt. 8 (BSI)</t>
  </si>
  <si>
    <t>Grapari Bassura</t>
  </si>
  <si>
    <t>BASSURA</t>
  </si>
  <si>
    <t>Grapari Lippo Karawaci</t>
  </si>
  <si>
    <t>LIPPO KARAWACI</t>
  </si>
  <si>
    <t>Grapari Citra Raya</t>
  </si>
  <si>
    <t>CITRA RAYA /CIKUPA</t>
  </si>
  <si>
    <t>Grapari Bintaro Exchange</t>
  </si>
  <si>
    <t>BINTARO</t>
  </si>
  <si>
    <t>OPMC Bogor</t>
  </si>
  <si>
    <t>OPMC</t>
  </si>
  <si>
    <t>Grapari ITC Depok</t>
  </si>
  <si>
    <t>ITC DEPOK</t>
  </si>
  <si>
    <t>Mampang</t>
  </si>
  <si>
    <t>Tendean</t>
  </si>
  <si>
    <t>Graha Telkom BSD lt. 4</t>
  </si>
  <si>
    <t>BSD</t>
  </si>
  <si>
    <t>Graha Telkom BSD lt 8</t>
  </si>
  <si>
    <t>Ciawi RDMS</t>
  </si>
  <si>
    <t>FAM</t>
  </si>
  <si>
    <t>GRAND TOTAL </t>
  </si>
  <si>
    <t>RINCIAN BA REKON JABODETABEK FEBRUARI 2026</t>
  </si>
  <si>
    <t>Februari 2026</t>
  </si>
  <si>
    <t>RINCIAN BA REKON JABODETABEK MARET 2026</t>
  </si>
  <si>
    <t>Maret 2026</t>
  </si>
  <si>
    <t>BAPENDA DKI Jkt</t>
  </si>
  <si>
    <t>RINCIAN BA REKON JABODETABEK APRIL 2026</t>
  </si>
  <si>
    <t>RINCIAN BA REKON JABODETABEK MEI 2026</t>
  </si>
  <si>
    <t>RINCIAN BA REKON JABODETABEK JUNI 2026</t>
  </si>
  <si>
    <t>RINCIAN BA REKON JABODETABEK JULI 2026</t>
  </si>
  <si>
    <t>SUPPLY CHAIN &amp; ASSET MANAGEMENT</t>
  </si>
  <si>
    <t>DIV. INDUSTRIAL &amp; CONSUMER OPERATION SEGMENT 1</t>
  </si>
  <si>
    <t>DIV. BFI OPERATION SEGMENT 2</t>
  </si>
  <si>
    <t>DIV. IT &amp; TELCO OPERATION  SEGMENT 3</t>
  </si>
  <si>
    <t>DIV. INDUSTRIAL &amp; CONSUMER OPERATION SEGMENT 3</t>
  </si>
  <si>
    <t>DIV. TELKOMSEL OPERATION SEGMENT 5</t>
  </si>
  <si>
    <t>DIV. GIVERNMENT &amp; ENERGY OPERATION SEGMENT 3</t>
  </si>
  <si>
    <t>DIV. INDUSTRIAL &amp; CONSUMER OPERATION SEGMENT 2</t>
  </si>
  <si>
    <t>DIV. IT &amp; TELCO OPERATION SEGMENT 3</t>
  </si>
  <si>
    <t>IT &amp; telco Segment 3</t>
  </si>
  <si>
    <t>DIV. BFI OPERATION SEGMENT 1</t>
  </si>
  <si>
    <t>DIV. IT &amp; TELCO OPERATION SEGMENT 2</t>
  </si>
  <si>
    <t>IT &amp; TELCO Seg 2</t>
  </si>
  <si>
    <t>DIV. IT INFRA &amp; NETWORK STRATEGY</t>
  </si>
  <si>
    <t>IT Infra &amp; Network Strategy</t>
  </si>
  <si>
    <t>DIV. DIGITAL &amp; 3A SERVICE OPERATION</t>
  </si>
  <si>
    <t>DIV. TELKOMSEL OPERATION SEGMENT 1</t>
  </si>
  <si>
    <t>DIV. INDUSTRIAL &amp; CONSUMER OPERATION</t>
  </si>
  <si>
    <t>Industrial Seg 1,2,3,4</t>
  </si>
  <si>
    <t>DIV. GOVERNMENT &amp; ENERGY OPERATION</t>
  </si>
  <si>
    <t>Government Seg 1,2,3</t>
  </si>
  <si>
    <t>DIV. IT &amp; TELCO OPERATION SEGMENT 4</t>
  </si>
  <si>
    <t>DIV. GOVERNMENT &amp; ENERGY OPERATION SEGMENT 2</t>
  </si>
  <si>
    <t>Bapenda DKI</t>
  </si>
  <si>
    <t>DIV. DIGITAL OPERATION CENTER</t>
  </si>
  <si>
    <t>18CIN10A7001 (Booking Lay. Telkomsel DMO/HQ)</t>
  </si>
  <si>
    <t>Idle seat Ex layanan Damri</t>
  </si>
  <si>
    <t>17CIN10P5T00 (Booking Lay. Mandiri Taspen) Sementara ditempati Lay Bapenda DKI IO 26CIN10F0056</t>
  </si>
  <si>
    <t>Divisi FAPRO SSO</t>
  </si>
  <si>
    <t>1 GM dan 1 Officer</t>
  </si>
  <si>
    <t>Order to Cash SSO</t>
  </si>
  <si>
    <t>Manager, 2 Senior Officer</t>
  </si>
  <si>
    <t>Support Corporate Order to Cash SSO</t>
  </si>
  <si>
    <t>2 &amp; 4</t>
  </si>
  <si>
    <t>Posisi Lantai Gedung setiap bulan saat ini tentative menyesuaikan jadwal</t>
  </si>
  <si>
    <t>Metra Group</t>
  </si>
  <si>
    <t>EBIS - Telkom DGS</t>
  </si>
  <si>
    <t>EBIS - Telkom ERM</t>
  </si>
  <si>
    <t>EBIS - Telkom DPS DSS (DES)</t>
  </si>
  <si>
    <t>EBIS - Telkom BRAS</t>
  </si>
  <si>
    <t>TOTAL C</t>
  </si>
  <si>
    <t>Dept. Training &amp; Development</t>
  </si>
  <si>
    <t>Dept. HR Administration &amp; Services SSO</t>
  </si>
  <si>
    <t>Dept. Recruitment &amp; Talent Management SSO</t>
  </si>
  <si>
    <t>Manager, Senior Officer</t>
  </si>
  <si>
    <t>Support Corporate RDMS SSO</t>
  </si>
  <si>
    <t>Support Corporate Source to Pay SSO</t>
  </si>
  <si>
    <t>Procure to Pay Divisi SDA</t>
  </si>
  <si>
    <t>Tax, R2R &amp; Accounting SSO</t>
  </si>
  <si>
    <t>SDM saat ini masih proses tandem di Kebon sirih selanjutnya akan di Mampang</t>
  </si>
  <si>
    <t>3A (AUTOMATION, AI AND ANALYTICS)</t>
  </si>
  <si>
    <t>CENTER OF EXCELLENCE</t>
  </si>
  <si>
    <t>Alih fungsi ruang istirahat Lti. 5 menjadi R, kerja COE (3A)</t>
  </si>
  <si>
    <t>IDEAL</t>
  </si>
  <si>
    <t>Robotic Process Automation (RPA)</t>
  </si>
  <si>
    <t>Center of Value (COV)</t>
  </si>
  <si>
    <t>Robot Operation Center (ROC)</t>
  </si>
  <si>
    <t>Cleaning Service, Lt. 5 (AHU)</t>
  </si>
  <si>
    <t>TANGGAL</t>
  </si>
  <si>
    <t xml:space="preserve">GEDUNG </t>
  </si>
  <si>
    <t>JENIS KERUSAKAN</t>
  </si>
  <si>
    <t>DIKERJAKAN OLEH</t>
  </si>
  <si>
    <t>TGL. 
SELESAI</t>
  </si>
  <si>
    <t>SUPPORT PEkerjaAN</t>
  </si>
  <si>
    <t>BM GEDUNG</t>
  </si>
  <si>
    <t>VENDOR</t>
  </si>
  <si>
    <t>MATERIAL</t>
  </si>
  <si>
    <t>JML</t>
  </si>
  <si>
    <t>SATUAN</t>
  </si>
  <si>
    <t>Penanggulangan darurat kerusakan pompa Efluent</t>
  </si>
  <si>
    <t>Ruang STP</t>
  </si>
  <si>
    <t>Done</t>
  </si>
  <si>
    <t>Rooftop</t>
  </si>
  <si>
    <t>Mencuci outdoor</t>
  </si>
  <si>
    <t>Mencuci panel surya</t>
  </si>
  <si>
    <t>Mengelem karpet yg terkelupas</t>
  </si>
  <si>
    <t>CC Garuda EC</t>
  </si>
  <si>
    <t>Memperbaiki drainase yg mampet</t>
  </si>
  <si>
    <t>Pantry</t>
  </si>
  <si>
    <t xml:space="preserve">Memperbaiki pintu kaca </t>
  </si>
  <si>
    <t>SSO</t>
  </si>
  <si>
    <t>Pengerjaan pompa darurat utk mengganti pompa Efluent yg rusak</t>
  </si>
  <si>
    <t>Mengganti lampu yg mati</t>
  </si>
  <si>
    <t>Toilet BOD wanita</t>
  </si>
  <si>
    <t>lampu Downtlight 15 wtt</t>
  </si>
  <si>
    <t>bh</t>
  </si>
  <si>
    <t>Memonitor PLN padam jam 17:30 sampai genset berfungsi jam 18:08</t>
  </si>
  <si>
    <t>CC McD</t>
  </si>
  <si>
    <t>Merapikan wallpaper yg terkelupas di bagian pinggir</t>
  </si>
  <si>
    <t>Merapikan instalasi access door lock</t>
  </si>
  <si>
    <t>Merapikan access door lock</t>
  </si>
  <si>
    <t>CC Pegadaian</t>
  </si>
  <si>
    <t>Mengganti lampu TL 30 Watt dikarenakan kurang terang</t>
  </si>
  <si>
    <t>Koridor depan AHU &amp; ruang makan</t>
  </si>
  <si>
    <t>Lampu TL 30 Watt</t>
  </si>
  <si>
    <t>Mengelem lis dinding</t>
  </si>
  <si>
    <t>Mengecek AC Sentral yg error, indikasi kerusakan pd terminal yg ngepong</t>
  </si>
  <si>
    <t>Harus dilakukan penggantian parts</t>
  </si>
  <si>
    <t>Mengcustom rak Server</t>
  </si>
  <si>
    <t>Ruang Server</t>
  </si>
  <si>
    <t>Done, menunggu kaca</t>
  </si>
  <si>
    <t>Membersihkan dinding lemari kerja</t>
  </si>
  <si>
    <t>SekDir</t>
  </si>
  <si>
    <t>Memasang jebakan tikus</t>
  </si>
  <si>
    <t>Mengecek instalasi lampu samping</t>
  </si>
  <si>
    <t>Parkir motor atas</t>
  </si>
  <si>
    <t>Memperbaiki wastafel yg bocor</t>
  </si>
  <si>
    <t>Mengaktifkan kembali lampu koridor samping</t>
  </si>
  <si>
    <t>Mencuci AC Split di Ruang Sekretariat Masjid</t>
  </si>
  <si>
    <t>BDI</t>
  </si>
  <si>
    <t>Mendampingi PT Albiqer Gema Sejahtera yg sdg mengecek STP secara rutin</t>
  </si>
  <si>
    <t>Mengaktifkan &amp; menonaktifkan lift utk Pak Dimas Ryanto ke &amp; dari Lt.3</t>
  </si>
  <si>
    <t>Memasang kabel di dak</t>
  </si>
  <si>
    <t xml:space="preserve">Memperbaiki wastafel pantry mampet </t>
  </si>
  <si>
    <t>22 agustus 2026</t>
  </si>
  <si>
    <t>lem pipa</t>
  </si>
  <si>
    <t>23 Agustus 2026</t>
  </si>
  <si>
    <t>Memperbaiki karpet yg lepas dari lantai 2</t>
  </si>
  <si>
    <t>Ruang Kerja</t>
  </si>
  <si>
    <t>lem aibon</t>
  </si>
  <si>
    <t>24 Agustus 2026</t>
  </si>
  <si>
    <t>Mengganti lampu TL 30 Watt</t>
  </si>
  <si>
    <t>24 agustus 2026</t>
  </si>
  <si>
    <t>25 Agustus 2026</t>
  </si>
  <si>
    <t>26 Agustus 2026</t>
  </si>
  <si>
    <t>Memasang pintu depan server layanan mcd</t>
  </si>
  <si>
    <t xml:space="preserve">skrup dan 1 set pintu besi </t>
  </si>
  <si>
    <t>27 Agustus 2026</t>
  </si>
  <si>
    <t xml:space="preserve">Memasang silinder kunci pintu kaca </t>
  </si>
  <si>
    <t>ruang meeting 4.1</t>
  </si>
  <si>
    <t>1 set silinder kunci</t>
  </si>
  <si>
    <t>28 Agustus 2026</t>
  </si>
  <si>
    <t>Penggantian lampu TL 30 Watt</t>
  </si>
  <si>
    <t>Mengaktifkan &amp; menonaktifkan lift utk ibu hamil, agent CC Pegadaian ke &amp; dari Lt.2</t>
  </si>
  <si>
    <t>Mengganti cover seat di Toilet Wanita Lt.5</t>
  </si>
  <si>
    <t>Memasang lampu baru di area lorong parkir motor samping atas</t>
  </si>
  <si>
    <t>Mengatur temperatur AC Lantai Dasar</t>
  </si>
  <si>
    <t>Membuka penutup lubang diffuser AC di CC Perhutani agar AC dingin di layanan tsb</t>
  </si>
  <si>
    <t>Memperbaiki, membersihkan &amp; mengaktifkan kembali exhaust fan di Toilet BOD Lt.4</t>
  </si>
  <si>
    <t>Menambal karpet di area kerja Lt.3</t>
  </si>
  <si>
    <t>Mengecek genangan air di area Ruang AHU Lantai Dasar</t>
  </si>
  <si>
    <t>Mengaktifkan &amp; menonaktifkan lift utk Pak Agus Hidayat ke &amp; dari Lt.5</t>
  </si>
  <si>
    <t>Mitra</t>
  </si>
  <si>
    <t>Memotong akrilik utk Rak Server</t>
  </si>
  <si>
    <t>Membenahi kabel kipas di basement yg kendor/turun</t>
  </si>
  <si>
    <t>Mengelem karpet yg terkelupas di CC Garuda EC</t>
  </si>
  <si>
    <t>Memperbaiki/mengencangkan handle pintu di Ruang Infomedia 2 yg lepas</t>
  </si>
  <si>
    <t>Memasang kunci pintu di Ruang Rapat 4.1</t>
  </si>
  <si>
    <t>Memperbaiki pintu kendaraan box yg melengkung</t>
  </si>
  <si>
    <t>Memasang pintu rak di Ruang Server Lantai 4</t>
  </si>
  <si>
    <t>Mengganti lampu TL yg mati</t>
  </si>
  <si>
    <t>Mendampingi PT Mandiri Indica utk pemeriksaan rutin kondisi UPS 10 KVA</t>
  </si>
  <si>
    <t>Mendampingi PT Mandiri Indica utk pemeriksaan rutin kondisi UPS 60 KVA</t>
  </si>
  <si>
    <t>3 &amp; 5</t>
  </si>
  <si>
    <t>Mendampingi Jaya Tehnik mengecek lokasi untuk penambahan lift</t>
  </si>
  <si>
    <t>Menginstall Charger Mobil Listrik KR2 &amp; KR4 di Basement</t>
  </si>
  <si>
    <t>Mendampingi PT. Nusantara Cipta Solusindo PIC Bapak Beni survey perbaikan lantai ke Lt.3 &amp; Lt.5</t>
  </si>
  <si>
    <t>Fasum</t>
  </si>
  <si>
    <t>BM</t>
  </si>
  <si>
    <t>unit</t>
  </si>
  <si>
    <t>TGL. SELESAI</t>
  </si>
  <si>
    <t>SUPPORT PEKERJAAN</t>
  </si>
  <si>
    <t>Mengganti lampu penerangan TLD 36 Watt Philips di area ruang layanan</t>
  </si>
  <si>
    <t>CC Allobak</t>
  </si>
  <si>
    <t>Lampu penerangan</t>
  </si>
  <si>
    <t>pcs</t>
  </si>
  <si>
    <t>Mengelem karper yg terkelupas di ruang area layanan</t>
  </si>
  <si>
    <t>CC Garuda</t>
  </si>
  <si>
    <t xml:space="preserve">Lem Aibon </t>
  </si>
  <si>
    <t>titik</t>
  </si>
  <si>
    <t>Mengganti kunci panel hub yg rusak di area ruang layanan</t>
  </si>
  <si>
    <t>CC Allobank</t>
  </si>
  <si>
    <t>Kunci baru</t>
  </si>
  <si>
    <t xml:space="preserve">Tendean </t>
  </si>
  <si>
    <t>Memperbaiki kunci loker yg tidak bisa dikunci dg normal di area ruang layanan</t>
  </si>
  <si>
    <t>CC BES</t>
  </si>
  <si>
    <t>Baut &amp; obeng</t>
  </si>
  <si>
    <t>Memperbaiki kloset di Toilet Wanita yg baut dudukannya keropos</t>
  </si>
  <si>
    <t>Sealant &amp; kunci pas</t>
  </si>
  <si>
    <t>Memperbaiki instalasi air kloset karena aliran air kecil di Toilet Pria</t>
  </si>
  <si>
    <t>Isolasi &amp; pipa air</t>
  </si>
  <si>
    <t xml:space="preserve">Memperbaiki kabel power vacuum cleaner yg tidak berfungsi di area pantry </t>
  </si>
  <si>
    <t xml:space="preserve">Kabel &amp; tang </t>
  </si>
  <si>
    <t>Mengganti lampu downlight 9 Watt yg mati area ruang layanan</t>
  </si>
  <si>
    <t>Lampu penerangan baru</t>
  </si>
  <si>
    <t>Memperbaiki AC Cassette kurang dingin/keluar bunga es di ruang operation</t>
  </si>
  <si>
    <t>Ops Government</t>
  </si>
  <si>
    <t>Pengecekan freon &amp; mencuci filter indoor</t>
  </si>
  <si>
    <t>Mengganti krant wastafel rusak area Toilet wanita</t>
  </si>
  <si>
    <t>Keran &amp; isolasi pipa</t>
  </si>
  <si>
    <t>Mengganti slank shower yg rusak di area Toilet Pria</t>
  </si>
  <si>
    <t>Shower &amp; isolatip pipa</t>
  </si>
  <si>
    <t xml:space="preserve">unit </t>
  </si>
  <si>
    <t>CC DOM</t>
  </si>
  <si>
    <t>Mengelem list lepas pintu kayu masuk ruang ops</t>
  </si>
  <si>
    <t>Ops BFI</t>
  </si>
  <si>
    <t>Lem</t>
  </si>
  <si>
    <t>lot</t>
  </si>
  <si>
    <t>Memperbaiki instalasi power acces door pintu kaca masuk area ruang layanan</t>
  </si>
  <si>
    <t>CC Ex Damri</t>
  </si>
  <si>
    <t>Kabel &amp; tang</t>
  </si>
  <si>
    <t>Penarikan instalasi kabel power ups area ruang layanan</t>
  </si>
  <si>
    <t>CC Bapenda</t>
  </si>
  <si>
    <t>Kabel listrik</t>
  </si>
  <si>
    <t xml:space="preserve">Penarikan kabel data ruang server ke ruang layanan </t>
  </si>
  <si>
    <t>Kabel data</t>
  </si>
  <si>
    <t>tarikan</t>
  </si>
  <si>
    <t>CC Sampoerna</t>
  </si>
  <si>
    <t xml:space="preserve">Memperbaiki flush yg tidak berfungsi di area Toilet Pria </t>
  </si>
  <si>
    <t>Tali flush kloset</t>
  </si>
  <si>
    <t>Merapikan kabel power listruk UPS &amp; kabel data di ruang server</t>
  </si>
  <si>
    <t>IT OPS</t>
  </si>
  <si>
    <t>Kabel tis &amp; protector kabel</t>
  </si>
  <si>
    <t>Menutup lubang lantai eks jaringan kabel data di ruang server</t>
  </si>
  <si>
    <t>Triplek &amp; cat</t>
  </si>
  <si>
    <t xml:space="preserve">Memperbaiki access door lock yg error tidak bisa dibuka &amp; menutup area ruang layanan </t>
  </si>
  <si>
    <t>CC MNC</t>
  </si>
  <si>
    <t>Riset adaptor &amp; pengencangan kabel power access</t>
  </si>
  <si>
    <t>CC Telkomsel DOM</t>
  </si>
  <si>
    <t>Melepas kamera CCTV di ruang server &amp; di ruang UPS utk diperbaiki</t>
  </si>
  <si>
    <t>Tangga &amp; isolasi kabel</t>
  </si>
  <si>
    <t>Merapikan kabel power UPS, kabel data,mengelem karpet lanta1 &amp; mengecek kursi duduk di ruang layanan</t>
  </si>
  <si>
    <t>Lem, kabel tis, obeng &amp; tang</t>
  </si>
  <si>
    <t>Memperbaiki pintu lift error tidak bisa buka tutup secara otomatis</t>
  </si>
  <si>
    <t>Vendor</t>
  </si>
  <si>
    <t>Stel uang pintu lift</t>
  </si>
  <si>
    <t>Memperbaiki handle kursi agent rusak area ruang llayanan</t>
  </si>
  <si>
    <t>Baut &amp;obeng</t>
  </si>
  <si>
    <t>Memperbaiki Got Gater area lobby luar bagian depan</t>
  </si>
  <si>
    <t>Mesin las listrik</t>
  </si>
  <si>
    <t>Mengganti lampu downlight 9 Watt yg mati di area Toilet Pria</t>
  </si>
  <si>
    <t>Mengelem karpet lantai yg terkelupas di area ruang layanan</t>
  </si>
  <si>
    <t>CC Nuon</t>
  </si>
  <si>
    <t xml:space="preserve">Lem Aica Aibon </t>
  </si>
  <si>
    <t>Memperbaiki AC Split 2 PK yg tidak dingin/menjadi bunga es di area ruang layanan</t>
  </si>
  <si>
    <t>CC DPR</t>
  </si>
  <si>
    <t>Stem /cleaner</t>
  </si>
  <si>
    <t>Memperbaiki AC Cassette 2 PK yg tidak bisa menyala secara otomatis</t>
  </si>
  <si>
    <t>OPS Government</t>
  </si>
  <si>
    <t>Riset relay remote</t>
  </si>
  <si>
    <t xml:space="preserve">Memperbaiki kursi duduk agent yg baut pegangan tangannya lepas di area ruang laynanan </t>
  </si>
  <si>
    <t>Memonitor perbaikan mesin pompa transfer air bersih otomatis yg tidak berfungsi ruang pompa</t>
  </si>
  <si>
    <t>Amplas &amp; kabel listrik</t>
  </si>
  <si>
    <t>Mengawal pemasangan camera CCTV di area ruang server &amp; UPS</t>
  </si>
  <si>
    <t>IT Ops</t>
  </si>
  <si>
    <t xml:space="preserve">Kabel data &amp; grimping </t>
  </si>
  <si>
    <t>Memperbaiki vacum cleaner yg tidak berfungsi di area pantry</t>
  </si>
  <si>
    <t>Ganti arang vacuum</t>
  </si>
  <si>
    <t>Memperbaiki dudukan lampu penerangan TLD 36 Watt di area ruang layanan</t>
  </si>
  <si>
    <t>Ganti dudukan lampu</t>
  </si>
  <si>
    <t>Melakukan services AC Cassette &amp; split di area lobby &amp; Ruang Hub</t>
  </si>
  <si>
    <t>Mesin cleaner AC</t>
  </si>
  <si>
    <t>Mengelem wallpaper yg terkelupas di area ruang server &amp; perapian kabel power listrik</t>
  </si>
  <si>
    <t xml:space="preserve">Mengawal kunjungan rutin mesin UPS </t>
  </si>
  <si>
    <t>Multi tester &amp; vacuum cleaner</t>
  </si>
  <si>
    <t>Memperbaiki keran air bersih wastafel Toilet Pria yg tidak berfungsi</t>
  </si>
  <si>
    <t>Keran air baru</t>
  </si>
  <si>
    <t>Mendampingi MPM mengecek lift</t>
  </si>
  <si>
    <t>Mendampingi Asia Tehnk mengecek genset</t>
  </si>
  <si>
    <t>FORM LAPORAN MINGGUAN KERUSAKAN FASILITAS KANTOR (AREA 2)</t>
  </si>
  <si>
    <t>1. GEDUNG FATMAWATI</t>
  </si>
  <si>
    <t>Mendampingi PT. Mandiri Idmica Bersaudara, PIC Pak Joko, rutin pemeriksaan kondisi UPS  100KVA lantai dasar &amp; UPS 60 KVA di lantai 3</t>
  </si>
  <si>
    <t>Mendampingi vendor Tunas Eka Destama untuk pengecatan dan perbaikan logo, railing dan fasad 2, perbaikan dan penanganan kebocoran kanopi lobby lantai dasar 3 dan 5</t>
  </si>
  <si>
    <t>2. GEDUNG TENDEAN</t>
  </si>
  <si>
    <t>No.</t>
  </si>
  <si>
    <t>Running genset rutin oli, air accu, air radiator, solar cukup/genset normal</t>
  </si>
  <si>
    <t>V</t>
  </si>
  <si>
    <t>Mencuci filter AC VRV di Lt.1</t>
  </si>
  <si>
    <t>Memperbaiki keran wastafel Toilet Pria di Lt.1</t>
  </si>
  <si>
    <t>Memperbaiki pintu kaca Toilet Wanita Lt.3 yg engsel pintunya lepas</t>
  </si>
  <si>
    <t>Menyedot, memvacuum bak penampungan AC VRV di Lt.4 yg penuh</t>
  </si>
  <si>
    <t>Mencuci filter AC VRV di Lt.4</t>
  </si>
  <si>
    <t>Mengganti lampu LED TL 30 Watt di basement yang mati/putus</t>
  </si>
  <si>
    <t>Mencuci filter AC VRV di Lt.3</t>
  </si>
  <si>
    <t>Memperbaiki meja kerja Ruang IOC</t>
  </si>
  <si>
    <t>Maintenance rutin genset mitra Asia Teknik, air accu, oli, air radiator cukup, genset normal</t>
  </si>
  <si>
    <t>Memperbaiki plafon pintu kaca di Lt.3, mengkompon, mengamplas &amp; mengecat</t>
  </si>
  <si>
    <t>Memperbaiki plafon pintu kaca di Lt.1, mengkompon, mengamplas &amp; mengecat</t>
  </si>
  <si>
    <t>Memperbaiki pintu Ruang Switch di Lt.3</t>
  </si>
  <si>
    <t>Memperbaiki kabel stop kontak lt3 rusak/korslet</t>
  </si>
  <si>
    <t>Memperbaiki plafon di Lt.1 &amp; plafon pintu di Ruang IOC</t>
  </si>
  <si>
    <t>Mengecek bak AC VRV di Lt.4</t>
  </si>
  <si>
    <t>Menyetting, mendekorasi  Lt.5 untuk Acara HUT RI ke 81 oleh Team CC Government, Energy, Oprs. &amp; PM</t>
  </si>
  <si>
    <t>Maintenance rutin UPS oleh Mitra Mandiri Idmica Bersaudara, mengecek trouble alarm yg berbunyi dg notifikasi battery, pemakaian battery sudah lebih dr 3 tahun</t>
  </si>
  <si>
    <t>IDMICA</t>
  </si>
  <si>
    <t>3. GEDUNG MAMPANG</t>
  </si>
  <si>
    <t>3 Agustus 2026</t>
  </si>
  <si>
    <t>Mengganti lampu CC Pertamina 135 yg mati</t>
  </si>
  <si>
    <t>√</t>
  </si>
  <si>
    <t>4 Agustus 2026</t>
  </si>
  <si>
    <t>Mengencangkan kaki meja di CC Pertamina 135 yg kendor</t>
  </si>
  <si>
    <t>5 Agustus 2026</t>
  </si>
  <si>
    <t>Mengecek MCB yg ngetrip lampunya pd server di Lt.4</t>
  </si>
  <si>
    <t>6 Agustus 2026</t>
  </si>
  <si>
    <t>Memperbaiki urinoir di Lt.4 yg banjir</t>
  </si>
  <si>
    <t>7 Agustus 2026</t>
  </si>
  <si>
    <t xml:space="preserve">Mengecek AC Server di Lt.8 yg error </t>
  </si>
  <si>
    <t>10 Agustus 2026</t>
  </si>
  <si>
    <t>Memperbaik AC di CC Dunning yg error</t>
  </si>
  <si>
    <t>11 Agustus 2026</t>
  </si>
  <si>
    <t>Mengelas bracket dudukan buat TV di CC ERM</t>
  </si>
  <si>
    <t>12 Agustus 2026</t>
  </si>
  <si>
    <t>Mengecek AC Cassette yg berisik di CC Pertamina</t>
  </si>
  <si>
    <t>13 Agustus 2026</t>
  </si>
  <si>
    <t>Memperbaiki stop kontak TV CC ERM &amp; AC di CC Retensi yg bocor</t>
  </si>
  <si>
    <t>14 Agustus 2026</t>
  </si>
  <si>
    <t>Memperbaiki gagang pintu kaca di CC Pertamina</t>
  </si>
  <si>
    <t>18 Agustus 2026</t>
  </si>
  <si>
    <t>Memperbaiki kebocoran air di atas plafon Toilet Pria</t>
  </si>
  <si>
    <t>19 Agustus 2026</t>
  </si>
  <si>
    <t>Mereset power AC Split di  CC Dunning</t>
  </si>
  <si>
    <t>20 Agustus 2026</t>
  </si>
  <si>
    <t>Memperbaiki stop kontak CC Bank Danamon yg kendor</t>
  </si>
  <si>
    <t>21 Agustus 2026</t>
  </si>
  <si>
    <t>Memperbaiki access door lock di CC Bank Danamon yg kendor</t>
  </si>
  <si>
    <t>Semua lantai</t>
  </si>
  <si>
    <t>Standby &amp; koordinasi terhadap rencana pemadaman listrik dr PLN serta melakukan antisipasinya</t>
  </si>
  <si>
    <t>Monitoring pencatatan KWH Listrik oleh ME Gedung pd panel Ruang Server CC Pertamina 135</t>
  </si>
  <si>
    <t>Monitoring pengecekan rutin lift bulanan gedung oleh PT. KONE</t>
  </si>
  <si>
    <t>4 &amp; 8</t>
  </si>
  <si>
    <t>Mengecek flicker yg terjadi pd server di Lt.4 &amp; Lt.8 aman terkendali</t>
  </si>
  <si>
    <t>Koordinasi server dg Mbak Virlie CC Pertamina 135</t>
  </si>
  <si>
    <t>Mendampingi pengecekan UPS Bapak Joko dr PT Idmica Bersaudara</t>
  </si>
  <si>
    <t>Membersihkan AC CC Danamon yg bocor netes air di Lt.4</t>
  </si>
  <si>
    <t>Memperbaiki flushing Toilet Wanita yg rusak di Lt.4</t>
  </si>
  <si>
    <t>Monitoring pencatatan KWH Listrik oleh ME Gedung</t>
  </si>
  <si>
    <t>Memperbaiki AC yg bocor/netes air di CC Danamon</t>
  </si>
  <si>
    <t>Mengecek outdoor AC Split di Ruang Server Lt.8 yg mati hidup</t>
  </si>
  <si>
    <t xml:space="preserve">Mendampingin ME Gedung (Bapak Dede) pencatatan kwh meter di panel Ruang Server CC Pertamina Lt.8 </t>
  </si>
  <si>
    <t xml:space="preserve">Mendampingin ME Gedung (Bapak Iswanto) pencatatan kwh meter di panel Ruang Server CC Pertamina Lt.8 </t>
  </si>
  <si>
    <t>2 &amp; 3</t>
  </si>
  <si>
    <t>Mendampingi penyemprotan desinfektan di area Lt.2 &amp; 3 oleh OB Suhandi</t>
  </si>
  <si>
    <t xml:space="preserve">Mendampingin ME Gedung (Bapak Zulfikar) pencatatan kwh meter di panel Ruang Server CC Pertamina Lt.8 </t>
  </si>
  <si>
    <t>4. GEDUNG TELKOM BSD</t>
  </si>
  <si>
    <t xml:space="preserve">OPMC Bogor	</t>
  </si>
  <si>
    <t>Menyiapkan peralatan sound system utk acara persiapan kunjungan</t>
  </si>
  <si>
    <t xml:space="preserve">Mengganti lampu yg putus di ruang layanan Lt.2 </t>
  </si>
  <si>
    <t xml:space="preserve">Memperbaiki meja workstation yg agak rusak pembatasnya </t>
  </si>
  <si>
    <t xml:space="preserve">Mengganti lampu yg putus di ruang layanan Lt.3 </t>
  </si>
  <si>
    <t>Merapikan &amp; memasang stop kontak kabel listrik di ruang rapat utk acara training</t>
  </si>
  <si>
    <t>Memindahkan loker utk pembatas/penutup layanan</t>
  </si>
  <si>
    <t>Memperbaiki engsel &amp; membobol loker yg terkunci &amp; hilang kuncinya</t>
  </si>
  <si>
    <t>Dasar &amp; 3</t>
  </si>
  <si>
    <t>Membersihkan filter AC di ruang perangkat switch hub &amp; ruang server</t>
  </si>
  <si>
    <t>Memperbaiki keran air wudhu yg dol rusak &amp; diganti dg yg baru</t>
  </si>
  <si>
    <t>Membuat kabel stop kontak serba guna tambahan</t>
  </si>
  <si>
    <t>Menyiapkan perangkat alat rapat infocus, kabel stop kontak dan kabel hdmi utk divisi</t>
  </si>
  <si>
    <t xml:space="preserve">Mengecek ruangan, bila hujan ada kebocoran remesan air hujan jendela di lantai 3 </t>
  </si>
  <si>
    <t>Mengecek CCTV yg mati di Lt.2</t>
  </si>
  <si>
    <t>Mengecek aliran listrik stop kontak di tembok dinding gedung dalam rungan</t>
  </si>
  <si>
    <t>Mengecek TV yg mati krn kerusakan adaptor power listrik yg harus diganti</t>
  </si>
  <si>
    <t xml:space="preserve">Mengganti stop kontak listrik kulkas &amp; dispenser air galon </t>
  </si>
  <si>
    <t>Memeriksa kebocoran jendela di dalam ruangan di waktu hujan</t>
  </si>
  <si>
    <t>5. GEDUNG TELKOM OPMC-BOGOR</t>
  </si>
  <si>
    <t>Gedung</t>
  </si>
  <si>
    <t xml:space="preserve">BULAN </t>
  </si>
  <si>
    <t>Jan</t>
  </si>
  <si>
    <t>Feb</t>
  </si>
  <si>
    <t>Mar</t>
  </si>
  <si>
    <t>Apr</t>
  </si>
  <si>
    <t>May</t>
  </si>
  <si>
    <t>Jun</t>
  </si>
  <si>
    <t>Jul</t>
  </si>
  <si>
    <t>Air Minum</t>
  </si>
  <si>
    <t>Listrik</t>
  </si>
  <si>
    <t>Maintenance Ac</t>
  </si>
  <si>
    <t>Maintenance Genset</t>
  </si>
  <si>
    <t>Maintenance Lift</t>
  </si>
  <si>
    <t>Maintenance STP</t>
  </si>
  <si>
    <t>Maintenance UPS</t>
  </si>
  <si>
    <t>PDAM</t>
  </si>
  <si>
    <t>Pest Control</t>
  </si>
  <si>
    <t>Total….</t>
  </si>
  <si>
    <t>Fire &amp; Alarm System</t>
  </si>
  <si>
    <t>Maintenance Alarm</t>
  </si>
  <si>
    <t>Graha Inti Fauzi</t>
  </si>
  <si>
    <t>Graha Telkom BSD</t>
  </si>
  <si>
    <t>Overtime Listrik</t>
  </si>
  <si>
    <t>IDC Ciawi</t>
  </si>
  <si>
    <t>Jasa BABINSA</t>
  </si>
  <si>
    <t>PERIODE : 31 AGUSTUS  2026</t>
  </si>
  <si>
    <t>TGL</t>
  </si>
  <si>
    <t>Nama</t>
  </si>
  <si>
    <t>Nopol</t>
  </si>
  <si>
    <t>Tujuan</t>
  </si>
  <si>
    <t>Dept</t>
  </si>
  <si>
    <t>Datang</t>
  </si>
  <si>
    <t>Pergi</t>
  </si>
  <si>
    <t>Pulang</t>
  </si>
  <si>
    <t>Jam Kerja (menit)</t>
  </si>
  <si>
    <t>Durasi Perjalanan (menit)</t>
  </si>
  <si>
    <t>Efektif Kerja (jam)</t>
  </si>
  <si>
    <t>Durasi Perjalanan (jam)</t>
  </si>
  <si>
    <t>Lama A</t>
  </si>
  <si>
    <t>P I C</t>
  </si>
  <si>
    <t>KM awal</t>
  </si>
  <si>
    <t>KM akhir</t>
  </si>
  <si>
    <t>Jarak Tempuh</t>
  </si>
  <si>
    <t>Jenis BBM</t>
  </si>
  <si>
    <t>Pengisian (Liter)</t>
  </si>
  <si>
    <t>Penumpang</t>
  </si>
  <si>
    <t>Keterangan</t>
  </si>
  <si>
    <t>Edi winarso</t>
  </si>
  <si>
    <t>B 2501 PIM</t>
  </si>
  <si>
    <t>Sekdir</t>
  </si>
  <si>
    <t>0 Jam 0 Menit</t>
  </si>
  <si>
    <t>BIO SOLAR</t>
  </si>
  <si>
    <t>Heri Achmad M.</t>
  </si>
  <si>
    <t>B 2878 PII</t>
  </si>
  <si>
    <t>Samsudin</t>
  </si>
  <si>
    <t>B 2067 PIM</t>
  </si>
  <si>
    <t>PM</t>
  </si>
  <si>
    <t>PERTALITE</t>
  </si>
  <si>
    <t>Nanang</t>
  </si>
  <si>
    <t>B 2680 PII</t>
  </si>
  <si>
    <t>Agung</t>
  </si>
  <si>
    <t>B 2765 PIA</t>
  </si>
  <si>
    <t>Angga Bayu</t>
  </si>
  <si>
    <t>B 2238 PII</t>
  </si>
  <si>
    <t>Aries Trihandoko</t>
  </si>
  <si>
    <t>B 2964 PIJ</t>
  </si>
  <si>
    <t>Telco</t>
  </si>
  <si>
    <t>DediCated Telco</t>
  </si>
  <si>
    <t>Ade Rizky</t>
  </si>
  <si>
    <t>B 2433 PIM</t>
  </si>
  <si>
    <t>Dedicated Telkom</t>
  </si>
  <si>
    <t>Abdul Azis</t>
  </si>
  <si>
    <t>B 2051 PIN</t>
  </si>
  <si>
    <t>Dedicated Telkomsel</t>
  </si>
  <si>
    <t>Yusuf</t>
  </si>
  <si>
    <t>B 2634 PII</t>
  </si>
  <si>
    <t>E1  Tendean</t>
  </si>
  <si>
    <t>Dedicated E1 Tendean</t>
  </si>
  <si>
    <t>Hari Gunawan</t>
  </si>
  <si>
    <t>B 2483 PIN</t>
  </si>
  <si>
    <t>Depok , Fatmawati , St Pasar Minggu , Fatmawati</t>
  </si>
  <si>
    <t>BFI</t>
  </si>
  <si>
    <t>10 Jam 30 Menit</t>
  </si>
  <si>
    <t>Dedicated  BFI</t>
  </si>
  <si>
    <t>2 Orang</t>
  </si>
  <si>
    <t>Pak Ito dan Team</t>
  </si>
  <si>
    <t>Dadang S.</t>
  </si>
  <si>
    <t>B 2584 PII</t>
  </si>
  <si>
    <t>Telkom BSD</t>
  </si>
  <si>
    <t>Dedicated  Telkom</t>
  </si>
  <si>
    <t>Renal</t>
  </si>
  <si>
    <t>B 2407 POW</t>
  </si>
  <si>
    <t>Projek Garuda</t>
  </si>
  <si>
    <t>Ahmad Hidayat</t>
  </si>
  <si>
    <t>B 9522 SCR</t>
  </si>
  <si>
    <t>Mobil Box</t>
  </si>
  <si>
    <t>B 1787 SIF</t>
  </si>
  <si>
    <t>Bil Co</t>
  </si>
  <si>
    <t>PERTAMAX</t>
  </si>
  <si>
    <t>B 1738 SZL</t>
  </si>
  <si>
    <t>Keuangan</t>
  </si>
  <si>
    <t>Bandung</t>
  </si>
  <si>
    <t>Udin</t>
  </si>
  <si>
    <t>D 1447 ALT</t>
  </si>
  <si>
    <t>Zen</t>
  </si>
  <si>
    <t>B 2279 PIO</t>
  </si>
  <si>
    <t>Semarang</t>
  </si>
  <si>
    <t>Niko</t>
  </si>
  <si>
    <t>B 2233 PYB</t>
  </si>
  <si>
    <t>BCA</t>
  </si>
  <si>
    <t>Ricky</t>
  </si>
  <si>
    <t>H 1588 QX</t>
  </si>
  <si>
    <t>Corporate</t>
  </si>
  <si>
    <t>Jawa Barat  , Fatmawati ( Nginep )</t>
  </si>
  <si>
    <t>8 Jam 49 Menit</t>
  </si>
  <si>
    <t>Ibu Eta dan Team</t>
  </si>
  <si>
    <t>PangPol, Adityawarman , SCBD , Depok , Fatmawati</t>
  </si>
  <si>
    <t>13 Jam 50 Menit</t>
  </si>
  <si>
    <t xml:space="preserve">Ibu Nathi </t>
  </si>
  <si>
    <t>1 Orang</t>
  </si>
  <si>
    <t>Back Up Direksi</t>
  </si>
  <si>
    <t>SCBD , Pondok Kelapa, Fatmawati</t>
  </si>
  <si>
    <t>6 Jam 17 Menit</t>
  </si>
  <si>
    <t>Ibu Mitha</t>
  </si>
  <si>
    <t>BAPPISUS , Gambir , Fatmawati</t>
  </si>
  <si>
    <t>12 Jam 40 Menit</t>
  </si>
  <si>
    <t>Agum</t>
  </si>
  <si>
    <t>Adityawarman , Fatmawati</t>
  </si>
  <si>
    <t>4 Jam 40 Menit</t>
  </si>
  <si>
    <t>Ibu Yanti dan Team VP</t>
  </si>
  <si>
    <t>5 Orang</t>
  </si>
  <si>
    <t>5 Jam 30 Menit</t>
  </si>
  <si>
    <t>Pegadaian , Cikini, Pangpol , Fatmawati</t>
  </si>
  <si>
    <t>SSO Sales</t>
  </si>
  <si>
    <t>Mb Yuli dan Team</t>
  </si>
  <si>
    <t>TSO , Fatmawati 2x</t>
  </si>
  <si>
    <t>10 Jam 25 Menit</t>
  </si>
  <si>
    <t>6 Orang</t>
  </si>
  <si>
    <t>Pak Dery dan Team</t>
  </si>
  <si>
    <t>Tendean , Blok M , Wijaya , Fatmawati</t>
  </si>
  <si>
    <t>11 Jam 15 Menit</t>
  </si>
  <si>
    <t>Ibu Yanti dan Team</t>
  </si>
  <si>
    <t>Bandung ( Nginep )</t>
  </si>
  <si>
    <t>14 Jam 10 Menit</t>
  </si>
  <si>
    <t>Stanby</t>
  </si>
  <si>
    <t>Adityawarman , Depok , Fatmawati</t>
  </si>
  <si>
    <t>6 Jam 35 Menit</t>
  </si>
  <si>
    <t xml:space="preserve">Telkom BSD , Fatmawati </t>
  </si>
  <si>
    <t>10 Jam 37 Menit</t>
  </si>
  <si>
    <t>Pak Hendriyawan dan Team</t>
  </si>
  <si>
    <t>Buah Batu 91</t>
  </si>
  <si>
    <t>8 Jam 5 Menit</t>
  </si>
  <si>
    <t>Ibu Herna</t>
  </si>
  <si>
    <t>Peterongan , Majapahit</t>
  </si>
  <si>
    <t>10 Jam 58 Menit</t>
  </si>
  <si>
    <t>Ibu Rina</t>
  </si>
  <si>
    <t>Sriratu , Pahlawan , Fatmawati</t>
  </si>
  <si>
    <t>11 Jam 0 Menit</t>
  </si>
  <si>
    <t>Ibu Yeti</t>
  </si>
  <si>
    <t>Azko Fatma , TLT , SCBD , Fatmawati</t>
  </si>
  <si>
    <t>10 Jam 2 Menit</t>
  </si>
  <si>
    <t>Ibu Nathi, Ibu Mitha, Pak Aji</t>
  </si>
  <si>
    <t>3 Orang</t>
  </si>
  <si>
    <t>Cipete , Senopati , TLT , Cideng , Fatma</t>
  </si>
  <si>
    <t>8 Jam 0 Menit</t>
  </si>
  <si>
    <t>Ibu Dewi</t>
  </si>
  <si>
    <t>Westin Rasuna Said , Fatmawati</t>
  </si>
  <si>
    <t>Marcom</t>
  </si>
  <si>
    <t>9 Jam 15 Menit</t>
  </si>
  <si>
    <t xml:space="preserve">Ibu Anggit </t>
  </si>
  <si>
    <t xml:space="preserve">SCBD , Fatmawati </t>
  </si>
  <si>
    <t>E1 Sales</t>
  </si>
  <si>
    <t>3 Jam 30 Menit</t>
  </si>
  <si>
    <t>Ibu Taatik</t>
  </si>
  <si>
    <t>Tendean , TLT , LKPP Kuningan , Fatmawati</t>
  </si>
  <si>
    <t>8 Jam 1 Menit</t>
  </si>
  <si>
    <t>Bandung , Fatmawati  ( Nginep )</t>
  </si>
  <si>
    <t>15 Jam 10 Menit</t>
  </si>
  <si>
    <t>Benhil, Fatma, Epicentrum, Tendean , Fatmawati</t>
  </si>
  <si>
    <t>10 Jam 0 Menit</t>
  </si>
  <si>
    <t>Tanah Abang , Blok M , Fatmawati</t>
  </si>
  <si>
    <t>6 Jam 20 Menit</t>
  </si>
  <si>
    <t>Tendean , Bonsir , Tendean , Fatma</t>
  </si>
  <si>
    <t>7 Jam 30 Menit</t>
  </si>
  <si>
    <t>Ibu Ratna dan Team</t>
  </si>
  <si>
    <t>Peterongan , BSB</t>
  </si>
  <si>
    <t>12 Jam 1 Menit</t>
  </si>
  <si>
    <t xml:space="preserve">Sriratu , Pahlawan </t>
  </si>
  <si>
    <t>10 Jam 1 Menit</t>
  </si>
  <si>
    <t>Ciputat , Bogor , Fatmawati</t>
  </si>
  <si>
    <t>8 Jam 30 Menit</t>
  </si>
  <si>
    <t>Ibu Dewi dan Team</t>
  </si>
  <si>
    <t>SCBD , Depok , Bogor , Fatmawati</t>
  </si>
  <si>
    <t>11 Jam 47 Menit</t>
  </si>
  <si>
    <t>Ibu Mitha dan Team</t>
  </si>
  <si>
    <t>Harpper , Purwakarta ( Nginep )</t>
  </si>
  <si>
    <t>15 Jam 15 Menit</t>
  </si>
  <si>
    <t>Pak Eric dan Team</t>
  </si>
  <si>
    <t>Balebat , Ciawi , Tuku Caffe , Fatmawati</t>
  </si>
  <si>
    <t>E2 Sales</t>
  </si>
  <si>
    <t>10 Jam 10 Menit</t>
  </si>
  <si>
    <t>Ibu Firda dan Team</t>
  </si>
  <si>
    <t>4 Orang</t>
  </si>
  <si>
    <t>Tendean , Bogor , BSD , Fatma</t>
  </si>
  <si>
    <t>Rawamangun , Jaktim , Fatmawati</t>
  </si>
  <si>
    <t>9 Jam 0 Menit</t>
  </si>
  <si>
    <t>Pak Galih</t>
  </si>
  <si>
    <t>Episentrum , Fatma, Kuningan , Tendean</t>
  </si>
  <si>
    <t>Ibu Shafira dan Team</t>
  </si>
  <si>
    <t>Bogor , Fatmawati</t>
  </si>
  <si>
    <t>5 Jam 45 Menit</t>
  </si>
  <si>
    <t>Pak Ito</t>
  </si>
  <si>
    <t>Padalarang , Ciumbuluit , Padalarang , TBB ( B 2279 PIO )</t>
  </si>
  <si>
    <t>Stasiun Bandung , FULMAN Hotel , TBB ( D 1447 ALT )</t>
  </si>
  <si>
    <t>11 Jam 5 Menit</t>
  </si>
  <si>
    <t>Ibu Dea dan Team</t>
  </si>
  <si>
    <t>11 Jam 35 Menit</t>
  </si>
  <si>
    <t>Ciputat, Bogor , TLT , Depok , Fatmawati</t>
  </si>
  <si>
    <t>15 Jam 42 Menit</t>
  </si>
  <si>
    <t>Ibu Nathi , Ibu Dewi</t>
  </si>
  <si>
    <t>Bogor , Sawangan , Pulomas , Fatmawati</t>
  </si>
  <si>
    <t>11 Jam 44 Menit</t>
  </si>
  <si>
    <t>Happer , PJT Purwakarta , Fatmawati  ( Nginep )</t>
  </si>
  <si>
    <t>5 Jam 32 Menit</t>
  </si>
  <si>
    <t>Erik dan Team</t>
  </si>
  <si>
    <t>Askrindo Sunter , Taspen , Mampang , Fatmawati, Puncak</t>
  </si>
  <si>
    <t>SSO Sales , IT</t>
  </si>
  <si>
    <t>Ibu Yuli , Ibu Riri dan Team</t>
  </si>
  <si>
    <t>Survai Kepuncak</t>
  </si>
  <si>
    <t>OPMC Bogor , Balebat , Rancamaya , Fatmawati</t>
  </si>
  <si>
    <t>12 Jam 0 Menit</t>
  </si>
  <si>
    <t>Pak Nur dan Team</t>
  </si>
  <si>
    <t>Kementrian ESDM , DanaReksa , PGN ,Fatmawati</t>
  </si>
  <si>
    <t>Ibu Taatik dan Team</t>
  </si>
  <si>
    <t>Bandung , Depok , Fatmawati</t>
  </si>
  <si>
    <t>18 Jam 0 Menit</t>
  </si>
  <si>
    <t xml:space="preserve">TSO , Fatmawati </t>
  </si>
  <si>
    <t>Ibu Aci dan Team</t>
  </si>
  <si>
    <t>Tegaluar , TBB 2x</t>
  </si>
  <si>
    <t>10 Jam 15 Menit</t>
  </si>
  <si>
    <t>Ibu Lena dan Team</t>
  </si>
  <si>
    <t>Peterongan , BSB, Pemuda</t>
  </si>
  <si>
    <t>13 Jam 16 Menit</t>
  </si>
  <si>
    <t>Bandung TBB , Fatma (PP)</t>
  </si>
  <si>
    <t>18 Jam 46 Menit</t>
  </si>
  <si>
    <t>Pak Aji , Ibu Mitha</t>
  </si>
  <si>
    <t>Sunda Kelapa , Ancol , Fatmawati</t>
  </si>
  <si>
    <t>4 Jam 15 Menit</t>
  </si>
  <si>
    <t>Ibu Pratiwi dan Team</t>
  </si>
  <si>
    <t>6 Jam 45 Menit</t>
  </si>
  <si>
    <t>Ibu Raisa dan Team</t>
  </si>
  <si>
    <t>BSN Tn Abang , Fatmawati</t>
  </si>
  <si>
    <t>Ibu Yuli dan Team</t>
  </si>
  <si>
    <t>Meruya , Fatma , Pondok Indah , Fatma</t>
  </si>
  <si>
    <t>E2 Sales , Marcom</t>
  </si>
  <si>
    <t>Ibu Firda , Ibu Anggit dan Team</t>
  </si>
  <si>
    <t>Izin</t>
  </si>
  <si>
    <t>Bandung , Depok , Fatma (PP)</t>
  </si>
  <si>
    <t>16 Jam 10 Menit</t>
  </si>
  <si>
    <t>Ibu Yanti</t>
  </si>
  <si>
    <t>Bandung , Fatma ( PP )</t>
  </si>
  <si>
    <t>Bandung , Bekasi , Fatma (PP)</t>
  </si>
  <si>
    <t>15 Jam 38 Menit</t>
  </si>
  <si>
    <t>Pak Anton dan Team</t>
  </si>
  <si>
    <t>Jakarta ,TBB ( PP )</t>
  </si>
  <si>
    <t>Pak Guse dan Team</t>
  </si>
  <si>
    <t>Trunojoyo , Durma TBB</t>
  </si>
  <si>
    <t>3 Jam 50 Menit</t>
  </si>
  <si>
    <t>Andriyana dan team</t>
  </si>
  <si>
    <t>Pak Andriana dan Team</t>
  </si>
  <si>
    <t>Peterongan , Sriratu, BSB</t>
  </si>
  <si>
    <t xml:space="preserve">Ibu Rina </t>
  </si>
  <si>
    <t>Ibu Yeti dan Team</t>
  </si>
  <si>
    <t>Peterongan , BSB , Majapahit</t>
  </si>
  <si>
    <t>18 Jam 42 Menit</t>
  </si>
  <si>
    <t xml:space="preserve">Kemenkes , Salemba , Tendean </t>
  </si>
  <si>
    <t>4 Jam 35 Menit</t>
  </si>
  <si>
    <t>Pak Didi</t>
  </si>
  <si>
    <t>OPMC Bogor , Fatmawati</t>
  </si>
  <si>
    <t>7 Jam 51 Menit</t>
  </si>
  <si>
    <t>Tendean , Fatmawati</t>
  </si>
  <si>
    <t>3 Jam 32 Menit</t>
  </si>
  <si>
    <t>Bengkel Toyota Radio Dalam, Fatma,Kebagusan, Fatma</t>
  </si>
  <si>
    <t>Pak Aji , Ibu Rieke</t>
  </si>
  <si>
    <t>Telkom Service</t>
  </si>
  <si>
    <t>TLT , GMP , Fatmawati</t>
  </si>
  <si>
    <t>IT &amp; T</t>
  </si>
  <si>
    <t>7 Jam 24 Menit</t>
  </si>
  <si>
    <t>Cikupa , Fatmawati</t>
  </si>
  <si>
    <t>11 Jam 45 Menit</t>
  </si>
  <si>
    <t>Pak Saiful , Feby</t>
  </si>
  <si>
    <t>Kemenkes , Salemba , Fatmawati , Tendean</t>
  </si>
  <si>
    <t>Tendean , Jasa Marga Jatiasih , Tendean , Fatma</t>
  </si>
  <si>
    <t>12 Jam 30 Menit</t>
  </si>
  <si>
    <t xml:space="preserve">Ridwan , Jane </t>
  </si>
  <si>
    <t>Soreang , Pajajaran , TBB</t>
  </si>
  <si>
    <t>7 Jam 15 Menit</t>
  </si>
  <si>
    <t>Pak Yogisop</t>
  </si>
  <si>
    <t>Peterongan , BSB , Sriratu, Hotel Sumi Erlangga</t>
  </si>
  <si>
    <t>13 Jam 24 Menit</t>
  </si>
  <si>
    <t>Ibu Rina , Pak Yogi , Pak Aep</t>
  </si>
  <si>
    <t>Bandung  ( Nginep )</t>
  </si>
  <si>
    <t>TLT , SCBD , Pondok Kelapa , Fatmawati ( B 2728 PII )</t>
  </si>
  <si>
    <t>4 Jam 4 Menit</t>
  </si>
  <si>
    <t>Cisalak, TLT, Fatmawati 2x  ( B 2501 PIM )</t>
  </si>
  <si>
    <t>17 Jam 6 Menit</t>
  </si>
  <si>
    <t>Pak Aji</t>
  </si>
  <si>
    <t>Kemenaker Gatot Subroto , Fatmawati</t>
  </si>
  <si>
    <t>HCM</t>
  </si>
  <si>
    <t>9 Jam 30 Menit</t>
  </si>
  <si>
    <t>Pak Dimas dan Team</t>
  </si>
  <si>
    <t>TLT , Fatmawati</t>
  </si>
  <si>
    <t>1 Jam 32 Menit</t>
  </si>
  <si>
    <t>Ibu Anisa dan Team</t>
  </si>
  <si>
    <t>Semper , TJ Priuk , Fatmawati</t>
  </si>
  <si>
    <t>SSO Sale</t>
  </si>
  <si>
    <t>4 Jam 0 Menit</t>
  </si>
  <si>
    <t>7 Orang</t>
  </si>
  <si>
    <t>Assurance &amp; Performace</t>
  </si>
  <si>
    <t>5 Jam 0 Menit</t>
  </si>
  <si>
    <t>Ibu Nova dan Team</t>
  </si>
  <si>
    <t>BSD , Fatmawati</t>
  </si>
  <si>
    <t>Pak Deri dan Team</t>
  </si>
  <si>
    <t>Depok, Bogor, LKPP Kuningan , TLT , Fatma</t>
  </si>
  <si>
    <t>17 Jam 30 Menit</t>
  </si>
  <si>
    <t>Bandung , Fatmawati ( PP )</t>
  </si>
  <si>
    <t>17 Jam 25 Menit</t>
  </si>
  <si>
    <t xml:space="preserve">BSD , Kuningan , Tendean </t>
  </si>
  <si>
    <t>9 Jam 5 Menit</t>
  </si>
  <si>
    <t>Tendean , Fatma ( Mobil User )</t>
  </si>
  <si>
    <t>Pak Andriyana</t>
  </si>
  <si>
    <t>Ciawi Balebat , Fatma</t>
  </si>
  <si>
    <t>FAM / Asset</t>
  </si>
  <si>
    <t>Pak Isnawi</t>
  </si>
  <si>
    <t>Hotel Ibis , Rs Mata , TBB</t>
  </si>
  <si>
    <t>Pak Bani dan Team</t>
  </si>
  <si>
    <t>Cibiuk , TBB</t>
  </si>
  <si>
    <t>CC Telkomsel</t>
  </si>
  <si>
    <t>4 Jam 30 Menit</t>
  </si>
  <si>
    <t>Ibu Irma dan Team</t>
  </si>
  <si>
    <t>Peterongan , BSB, Mijen , Karang , Ayu</t>
  </si>
  <si>
    <t>13 Jam 26 Menit</t>
  </si>
  <si>
    <t>Ibu Rina dan Team</t>
  </si>
  <si>
    <t>13 Jam 0 Menit</t>
  </si>
  <si>
    <t>TLT , PIM , Fatmawati</t>
  </si>
  <si>
    <t>7 Jam 0 Menit</t>
  </si>
  <si>
    <t>Pondok Kelapa , Fatmawati</t>
  </si>
  <si>
    <t>4 Jam 14 Menit</t>
  </si>
  <si>
    <t>10 Jam 46 Menit</t>
  </si>
  <si>
    <t>Pak Agum dan Team</t>
  </si>
  <si>
    <t>Blok M , Fatmawati , Antasari , Fatmawati</t>
  </si>
  <si>
    <t>Ibu Yuli dan Team ( Bawa Tamu )</t>
  </si>
  <si>
    <t>9 Jam 25 Menit</t>
  </si>
  <si>
    <t>Depok , Tendean , Bandara Soetta , Fatmawati</t>
  </si>
  <si>
    <t>TSO , Fatmawati</t>
  </si>
  <si>
    <t>PIM , Fatmawati</t>
  </si>
  <si>
    <t>Adiria dan Team</t>
  </si>
  <si>
    <t>Service Mobil Ciputat ,Fatma</t>
  </si>
  <si>
    <t>Hotel Ibis , Kosambi , Paster , TBB</t>
  </si>
  <si>
    <t>Peterongan , Pemuda , Majapahit</t>
  </si>
  <si>
    <t>11 Jam 2 Menit</t>
  </si>
  <si>
    <t>Bandung , Sriratu  ( Nginep )</t>
  </si>
  <si>
    <t>15 Jam 30 Menit</t>
  </si>
  <si>
    <t>Senopati , Sawangan , Bogor , Fatmawati</t>
  </si>
  <si>
    <t>6 Jam 25 Menit</t>
  </si>
  <si>
    <t>Ibu Nathi , Anto, Doni</t>
  </si>
  <si>
    <t>Cipete, Senopati, Cikajang , Pd Kelapa , Fatmawati</t>
  </si>
  <si>
    <t>12 Jam 22 Menit</t>
  </si>
  <si>
    <t>Basarnas Kemayoran , Fatmawati</t>
  </si>
  <si>
    <t>8 Jam 40 Menit</t>
  </si>
  <si>
    <t>Pak Reza dan Team</t>
  </si>
  <si>
    <t>STO Semanggi , Fatmawati</t>
  </si>
  <si>
    <t>Ibu Dila dan Team</t>
  </si>
  <si>
    <t>Wisma Danantara , SCBD , Fatmawati , Bandara Soetta,Fatma</t>
  </si>
  <si>
    <t>E1 Gov</t>
  </si>
  <si>
    <t xml:space="preserve">Ibu Tatik dan Team </t>
  </si>
  <si>
    <t>Astha District 88 SCBD , Fatmawati</t>
  </si>
  <si>
    <t>E2 Industrial</t>
  </si>
  <si>
    <t>6 Jam 0 Menit</t>
  </si>
  <si>
    <t>Pak Igun , Pak Totok</t>
  </si>
  <si>
    <t>Bandung  , Fatmawati ( PP )</t>
  </si>
  <si>
    <t>13 Jam 41 Menit</t>
  </si>
  <si>
    <t>Ibu Meta dan Team</t>
  </si>
  <si>
    <t>BNPB , Tendean</t>
  </si>
  <si>
    <t>5 Jam 20 Menit</t>
  </si>
  <si>
    <t>Pak Nandar dan Team</t>
  </si>
  <si>
    <t xml:space="preserve">Semanggi , Fatmawati </t>
  </si>
  <si>
    <t>Pak Firman dan Team</t>
  </si>
  <si>
    <t>Tendean , ASDP , Damri, Tendean, Fatmawati</t>
  </si>
  <si>
    <t>Ibu Wardah dan Team</t>
  </si>
  <si>
    <t>Peterongan , Sriratu , Majapahit, Kauman , BSB</t>
  </si>
  <si>
    <t>12 Jam 8 Menit</t>
  </si>
  <si>
    <t xml:space="preserve">Blok M , Fatmawati  </t>
  </si>
  <si>
    <t>2 Jam 7 Menit</t>
  </si>
  <si>
    <t>Ibu  Mitha</t>
  </si>
  <si>
    <t>Gojek Pasaraya Blok M , Fatmawati</t>
  </si>
  <si>
    <t>3 Jam 9 Menit</t>
  </si>
  <si>
    <t>Mega Kuningan Bank Jago , Fatmawati</t>
  </si>
  <si>
    <t>7 Jam 40 Menit</t>
  </si>
  <si>
    <t>Bandara Soeeta , Fatma</t>
  </si>
  <si>
    <t>2 Jam 30 Menit</t>
  </si>
  <si>
    <t>Ibu Yuli dan Team ( bawa Tamu )</t>
  </si>
  <si>
    <t>Sinarmas Sabang , Fatmawati</t>
  </si>
  <si>
    <t>Pak Arom dan Team</t>
  </si>
  <si>
    <t>Bandara Soeeta, Anyer ( Survai ) , Fatma</t>
  </si>
  <si>
    <t>12 Jam 20 Menit</t>
  </si>
  <si>
    <t>Garuda Cengkareng , Tendean , Blok M, Fatmawati</t>
  </si>
  <si>
    <t>Tara</t>
  </si>
  <si>
    <t>Tendean , LKPP , Fatmawati</t>
  </si>
  <si>
    <t>Cikoneng Telkom, Japati , Cikoneng , TBB</t>
  </si>
  <si>
    <t>20 Jam 5 Menit</t>
  </si>
  <si>
    <t>Pak Adit dan Team</t>
  </si>
  <si>
    <t>Peterongan, BSB, Ngaliyan, Pemuda, Pandanaran</t>
  </si>
  <si>
    <t>15 Jam 8 Menit</t>
  </si>
  <si>
    <t>Pahlawan , Majapahit , Sriratu</t>
  </si>
  <si>
    <t xml:space="preserve">Ibu Umi </t>
  </si>
  <si>
    <t>Sales</t>
  </si>
  <si>
    <t>Depok , Kembangan , TPU Karet Bivak , Depok</t>
  </si>
  <si>
    <t>Mobil User Taziah</t>
  </si>
  <si>
    <t>TPU Karet Bivak , Cileduk , Fatma</t>
  </si>
  <si>
    <t>6 Jam 31 Menit</t>
  </si>
  <si>
    <t>Pambudi dan Team</t>
  </si>
  <si>
    <t>Mobil OPS ( B 2765 PIA ) Taziah</t>
  </si>
  <si>
    <t>RS Tarakan Cideng, Kembangan, Karet Bivak, Cakung,Fatma 3x</t>
  </si>
  <si>
    <t>16 Jam 0 Menit</t>
  </si>
  <si>
    <t>Back Up Direksi ( B 2501 PIM )Taziah</t>
  </si>
  <si>
    <t xml:space="preserve">RS Tarakan Cideng, Kembangan, Karet Bivak, ,Fatma </t>
  </si>
  <si>
    <t>10 Jam 6 Menit</t>
  </si>
  <si>
    <t>Mobil OPS ( B 2067 PIM ) Taziah</t>
  </si>
  <si>
    <t>16 Jam 12 Menit</t>
  </si>
  <si>
    <t>Pak Aji dan Team</t>
  </si>
  <si>
    <t>3 Jam 26 Menit</t>
  </si>
  <si>
    <t>Ginanjar dan Team</t>
  </si>
  <si>
    <t>Dukcapil Grogol , Fatmawati</t>
  </si>
  <si>
    <t>Mb Taatik dan Team</t>
  </si>
  <si>
    <t>Bandara Soetta , Fatmawati</t>
  </si>
  <si>
    <t>Pak Toto</t>
  </si>
  <si>
    <t>One Satrio , TLT , Fatmwati ( Mobil User )</t>
  </si>
  <si>
    <t>7 Jam 10 Menit</t>
  </si>
  <si>
    <t>12 Jam 59 Menit</t>
  </si>
  <si>
    <t>Pak Deni dan Team</t>
  </si>
  <si>
    <t>Disdukcapil , Tendean</t>
  </si>
  <si>
    <t>9 Jam 35 Menit</t>
  </si>
  <si>
    <t>Pak Firdi dan Team</t>
  </si>
  <si>
    <t>Padalarang . Hotel TBB , TBB ( B 2279 PIO )</t>
  </si>
  <si>
    <t>15 Jam 25 Menit</t>
  </si>
  <si>
    <t>Peterongan , BSB , Fatmawati</t>
  </si>
  <si>
    <t>8 Jam 10 Menit</t>
  </si>
  <si>
    <t>Bogor , Bandung , Fatma ( PP )</t>
  </si>
  <si>
    <t>19 Jam 4 Menit</t>
  </si>
  <si>
    <t>Ibu Mitha , Pak Aji</t>
  </si>
  <si>
    <t>TLT , Fatma , Depok, BRI Semanggi, Fatma</t>
  </si>
  <si>
    <t>BFI , Sekdir</t>
  </si>
  <si>
    <t>8 Jam 57 Menit</t>
  </si>
  <si>
    <t>Ibu Dewi , Kang Yogi</t>
  </si>
  <si>
    <t>Serang , Fatmawati</t>
  </si>
  <si>
    <t xml:space="preserve">Ibu Yanti dan Team  </t>
  </si>
  <si>
    <t>BSI Thamrin , Fatmawati</t>
  </si>
  <si>
    <t>Ibu Yulia dan Team</t>
  </si>
  <si>
    <t>16 Jam 25 Menit</t>
  </si>
  <si>
    <t>11 Jam 30 Menit</t>
  </si>
  <si>
    <t>Tendean, Unifam, Fatma, Tendean , Fatma</t>
  </si>
  <si>
    <t>Pak Tara , Pak Ridwan</t>
  </si>
  <si>
    <t>Gerlong , Hotel TBB , TBB ( B 2279 PIO )</t>
  </si>
  <si>
    <t>7 Jam 25 Menit</t>
  </si>
  <si>
    <t xml:space="preserve">Ibu Mitha </t>
  </si>
  <si>
    <t>Jakarta , TBB ( PP ) (  D 1447 ALT )</t>
  </si>
  <si>
    <t xml:space="preserve">E Care </t>
  </si>
  <si>
    <t>11 Jam 50 Menit</t>
  </si>
  <si>
    <t>12 Jam 6 Menit</t>
  </si>
  <si>
    <t>9 Jam 20 Menit</t>
  </si>
  <si>
    <t>Ibu Umi dan Team</t>
  </si>
  <si>
    <t>Pak Fahmi dan Team</t>
  </si>
  <si>
    <t>Multimedia Bonsir , Fatmawati</t>
  </si>
  <si>
    <t>Pak Doni , Pak Riba</t>
  </si>
  <si>
    <t>Bogor , BSD , Legok , Fatmawati ( Mobil User )</t>
  </si>
  <si>
    <t>13 Jam 11 Menit</t>
  </si>
  <si>
    <t>Universitas Indonesia , Tendean</t>
  </si>
  <si>
    <t>Ibu Syafira dan Team</t>
  </si>
  <si>
    <t>Depok , Pejaten, Tendean, Fatma, Salemba , Fatma</t>
  </si>
  <si>
    <t>Pak Yogi , Pak Ito</t>
  </si>
  <si>
    <t>Telkom BSD , Pejaten , Fatmawati</t>
  </si>
  <si>
    <t>8 Jam 22 Menit</t>
  </si>
  <si>
    <t>Bandung , Fatmawati  PP</t>
  </si>
  <si>
    <t>Pak Herisuasana, Ibu Mala dan Team</t>
  </si>
  <si>
    <t>DC Jatinegara , Fatmawati</t>
  </si>
  <si>
    <t xml:space="preserve">Asset </t>
  </si>
  <si>
    <t>Gerlong Hotel , Cikole, Lembang,Padalarang, TBB( B 2279 PIO)</t>
  </si>
  <si>
    <t>Tegal Luar , TBB ( D 1447 ALT )</t>
  </si>
  <si>
    <t>CES</t>
  </si>
  <si>
    <t>10 Jam 40 Menit</t>
  </si>
  <si>
    <t>Pak Sandi</t>
  </si>
  <si>
    <t>12 Jam 10 Menit</t>
  </si>
  <si>
    <t xml:space="preserve">Pahlawan , Sriratu  </t>
  </si>
  <si>
    <t>8 Jam 20 Menit</t>
  </si>
  <si>
    <t>Cisalak  , Fatmawati , TLT  2x ( B 2501 PIM )</t>
  </si>
  <si>
    <t>17 Jam 31 Menit</t>
  </si>
  <si>
    <t>BSD , Serang  ( Nginep )</t>
  </si>
  <si>
    <t>Blok M , Darmawangsa , Fatma</t>
  </si>
  <si>
    <t>DBS Tower , Multimedia Bonsir , Bandara Soetta , Fatma</t>
  </si>
  <si>
    <t xml:space="preserve">Ibu Yuli , Ibu Rieke </t>
  </si>
  <si>
    <t>Ibu Wawa dan Team</t>
  </si>
  <si>
    <t>Bintaro , Anyer  ( Nginep )</t>
  </si>
  <si>
    <t>15 Jam 0 Menit</t>
  </si>
  <si>
    <t>Salemba , Halim , Kp Rambutan , Fatmawati</t>
  </si>
  <si>
    <t>13 Jam 5 Menit</t>
  </si>
  <si>
    <t>2  Orang</t>
  </si>
  <si>
    <t>Pak Yogi dan Team</t>
  </si>
  <si>
    <t>Serang  ( Nginep )</t>
  </si>
  <si>
    <t xml:space="preserve">Peterongan , Sriratu , Majapahit </t>
  </si>
  <si>
    <t xml:space="preserve">Pahlawan , Sriratu , Majapahit , Krapyak </t>
  </si>
  <si>
    <t>BSD , Serang , Fatmawati ( Nginep )</t>
  </si>
  <si>
    <t>2 Jam 55 Menit</t>
  </si>
  <si>
    <t>Anyer , Fatmawati ( Nginep )</t>
  </si>
  <si>
    <t>6  Orang</t>
  </si>
  <si>
    <t>Bogor , Sentul , Bandara Soetta , Fatmawati</t>
  </si>
  <si>
    <t xml:space="preserve"> Bandara A Yani , Simpang 5 , Gajah Mada</t>
  </si>
  <si>
    <t>Panglima Polim , Cipete Raya , Pd Kelapa, Fatmawati</t>
  </si>
  <si>
    <t>5 Jam 50 Menit</t>
  </si>
  <si>
    <t>GRM</t>
  </si>
  <si>
    <t>Pak Zaki dan Team</t>
  </si>
  <si>
    <t>Gedung  DPR , Fatmawati</t>
  </si>
  <si>
    <t>E1 GOV</t>
  </si>
  <si>
    <t>Bank Indonesia Thamrin , Fatmawati</t>
  </si>
  <si>
    <t>9 Jam 10 Menit</t>
  </si>
  <si>
    <t xml:space="preserve">Ibu Yuli , Pak Dera </t>
  </si>
  <si>
    <t>Pak Teguh dan Team</t>
  </si>
  <si>
    <t>Telkom BSD , Fatmawati  ( Mobil User )</t>
  </si>
  <si>
    <t>Tangerang , Fatmawati</t>
  </si>
  <si>
    <t>17 Jam 1 Menit</t>
  </si>
  <si>
    <t>Gedung DPR , Tendean</t>
  </si>
  <si>
    <t>6 Jam 40 Menit</t>
  </si>
  <si>
    <t>Telkom BSD , Fatmawati</t>
  </si>
  <si>
    <t>Pak Hendriyawan</t>
  </si>
  <si>
    <t>Tegalluar,Bojong Soang , Caringin, Tegalluar, TBB</t>
  </si>
  <si>
    <t>12 Jam 5 Menit</t>
  </si>
  <si>
    <t>Peterongan , Hotel Ibis Simpang 5 , Bandara A Yani</t>
  </si>
  <si>
    <t>11 Jam 22 Menit</t>
  </si>
  <si>
    <t>Sriratu , Majapahit , Bandara</t>
  </si>
  <si>
    <t>11 Jam 10 Menit</t>
  </si>
  <si>
    <t>Pak Yogi dan team</t>
  </si>
  <si>
    <t>Tebet , Kemang , Fatmawati</t>
  </si>
  <si>
    <t>7 Jam 48 Menit</t>
  </si>
  <si>
    <t>Tanah Baru , Cisalak , Fatma</t>
  </si>
  <si>
    <t>Bilco</t>
  </si>
  <si>
    <t>Ibu Kiki</t>
  </si>
  <si>
    <t>Mampang , SCBD , Fatmawati</t>
  </si>
  <si>
    <t>Cuti</t>
  </si>
  <si>
    <t>Kemenlu , Mampang , Fatma</t>
  </si>
  <si>
    <t>Pak Iyanwar dan Team</t>
  </si>
  <si>
    <t>Jasamarga Jatiasih , Fatmawati</t>
  </si>
  <si>
    <t>Bintaro , Blok M , Fatmawati</t>
  </si>
  <si>
    <t>16 Jam 6 Menit</t>
  </si>
  <si>
    <t>Blok M , Fatma , Salemba, Pondok Pinang, Fatma</t>
  </si>
  <si>
    <t>11 Jam 40 Menit</t>
  </si>
  <si>
    <t>Ridwan , Riski , Nanang</t>
  </si>
  <si>
    <t xml:space="preserve">Jl Supriyadi </t>
  </si>
  <si>
    <t>0 Jam 30 Menit</t>
  </si>
  <si>
    <t xml:space="preserve">Pak Caka </t>
  </si>
  <si>
    <t>Sriratu , Pahlawan</t>
  </si>
  <si>
    <t>Kota Tua, Teuku Umar , Pangpol ,Rasuna Said, Fatma</t>
  </si>
  <si>
    <t>12 Jam 33 Menit</t>
  </si>
  <si>
    <t>Stasiun Gambir , Sawangan , Fatmawati</t>
  </si>
  <si>
    <t xml:space="preserve">IT  </t>
  </si>
  <si>
    <t>Guma</t>
  </si>
  <si>
    <t>Ibu Yuli , Kang Dera</t>
  </si>
  <si>
    <t>Anyer ( Nginep )</t>
  </si>
  <si>
    <t>Syaiful dan Team</t>
  </si>
  <si>
    <t>Fatma, Tendean, Bogor , Tendean</t>
  </si>
  <si>
    <t>Pancoran , Fatma , BSD , Fatma</t>
  </si>
  <si>
    <t>12 Jam 35 Menit</t>
  </si>
  <si>
    <t>Pak Yogi , Ibu Rina</t>
  </si>
  <si>
    <t>Arcamanik ,Bogor , TBB</t>
  </si>
  <si>
    <t>13 Jam 8 Menit</t>
  </si>
  <si>
    <t xml:space="preserve">Tegal Luar , TBB  </t>
  </si>
  <si>
    <t>3 Jam 35 Menit</t>
  </si>
  <si>
    <t>Sriratu, Pahlawan , Bandara , Stasiun</t>
  </si>
  <si>
    <t>15 Jam 50 Menit</t>
  </si>
  <si>
    <t>Bonsir  , Fatmawati</t>
  </si>
  <si>
    <t>9 Jam 6 Menit</t>
  </si>
  <si>
    <t>Ibu Mega , Aldika</t>
  </si>
  <si>
    <t>Panglima Polim , Kuningan , Fatmawati</t>
  </si>
  <si>
    <t>7 Jam 58 Menit</t>
  </si>
  <si>
    <t>Ibu Mitha , Ibu Dewi</t>
  </si>
  <si>
    <t>DBS Tower Kuningan, Fatma, Sawangan , Fatma</t>
  </si>
  <si>
    <t>SSO Sales, Sekdir</t>
  </si>
  <si>
    <t>Ibu Yuli, Ibu Rieke, Pak Aji</t>
  </si>
  <si>
    <t>Cikarang , Karawaci , Serang , Fatmawati</t>
  </si>
  <si>
    <t>14 Jam 5 Menit</t>
  </si>
  <si>
    <t>Pak Mulia dan Team</t>
  </si>
  <si>
    <t>Bogor , Fatmawati , Tendean</t>
  </si>
  <si>
    <t>Benhil , Tendean , Fatma</t>
  </si>
  <si>
    <t>Bonsir , Cipinang , Fatmawati</t>
  </si>
  <si>
    <t>Hendriyawan dan Team</t>
  </si>
  <si>
    <t>JCC Senayan , Fatmawati</t>
  </si>
  <si>
    <t>Heri, Mala, Nichi</t>
  </si>
  <si>
    <t>Pak Isanawi</t>
  </si>
  <si>
    <t xml:space="preserve">Sriratu , Pahlawan, Bandara </t>
  </si>
  <si>
    <t>LLDIKTI Cawang , Fatmawati</t>
  </si>
  <si>
    <t>8 Jam 39 Menit</t>
  </si>
  <si>
    <t>Pak Aryo dan Team</t>
  </si>
  <si>
    <t>Tendean , TLT , Fatmawati</t>
  </si>
  <si>
    <t>11 Jam 20 Menit</t>
  </si>
  <si>
    <t>Pancoran , Fatmawati</t>
  </si>
  <si>
    <t>6 Jam 1 Menit</t>
  </si>
  <si>
    <t xml:space="preserve">Peterongan , BSB </t>
  </si>
  <si>
    <t>11 Jam 43 Menit</t>
  </si>
  <si>
    <t>Jakarta - Fatmawati</t>
  </si>
  <si>
    <t xml:space="preserve">GRAND TOTAL </t>
  </si>
  <si>
    <t>PERIODE : 31 Aguastus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</si>
</sst>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_-* #,##0_-;\-* #,##0_-;_-* &quot;-&quot;??_-;_-@_-"/>
    <numFmt numFmtId="168" formatCode="_(* #,##0_);_(* \(#,##0\);_(* &quot;-&quot;??_);_(@_)"/>
    <numFmt numFmtId="169" formatCode="_-* #,##0.00_-;\-* #,##0.00_-;_-* &quot;-&quot;??_-;_-@"/>
    <numFmt numFmtId="170" formatCode="_-* #,##0_-;\-* #,##0_-;_-* &quot;-&quot;??_-;_-@"/>
    <numFmt numFmtId="171" formatCode="[$-421]dd\ mmmm\ yyyy;@"/>
    <numFmt numFmtId="172" formatCode="[$-F400]h:mm:ss\ AM/PM"/>
    <numFmt numFmtId="173" formatCode="[$-409]d\-mmm\-yy;@"/>
  </numFmts>
  <fonts count="74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b/>
      <u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0"/>
      <color rgb="FF000000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Aptos Narrow"/>
      <family val="2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color theme="1"/>
      <name val="Arial Narrow"/>
      <family val="2"/>
    </font>
    <font>
      <b/>
      <sz val="9"/>
      <color rgb="FF000000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sz val="11"/>
      <color theme="1"/>
      <name val="Aptos Narrow"/>
      <charset val="134"/>
      <scheme val="minor"/>
    </font>
    <font>
      <sz val="11"/>
      <color rgb="FF000000"/>
      <name val="Aptos Narrow"/>
      <charset val="134"/>
    </font>
    <font>
      <sz val="11"/>
      <name val="Aptos Narrow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b/>
      <sz val="11"/>
      <color rgb="FF000000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b/>
      <u/>
      <sz val="16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C5AB"/>
        <bgColor indexed="64"/>
      </patternFill>
    </fill>
    <fill>
      <patternFill patternType="solid">
        <fgColor rgb="FFB4E5A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84E291"/>
        <bgColor rgb="FFFFFFFF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B3E5A1"/>
        <bgColor rgb="FFB3E5A1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7E7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166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7" fillId="0" borderId="0">
      <alignment vertical="top"/>
      <protection locked="0"/>
    </xf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2" fillId="0" borderId="0">
      <protection locked="0"/>
    </xf>
    <xf numFmtId="0" fontId="28" fillId="0" borderId="0">
      <alignment vertical="center"/>
    </xf>
    <xf numFmtId="0" fontId="13" fillId="0" borderId="0">
      <alignment vertical="center"/>
    </xf>
    <xf numFmtId="0" fontId="2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8" fillId="0" borderId="0">
      <alignment vertical="top"/>
      <protection locked="0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0" fillId="0" borderId="0">
      <protection locked="0"/>
    </xf>
    <xf numFmtId="0" fontId="39" fillId="0" borderId="0">
      <alignment vertical="center"/>
    </xf>
    <xf numFmtId="0" fontId="31" fillId="0" borderId="0">
      <alignment vertical="center"/>
    </xf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3" fillId="0" borderId="0"/>
    <xf numFmtId="166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7" fillId="0" borderId="0">
      <alignment vertical="top"/>
      <protection locked="0"/>
    </xf>
    <xf numFmtId="0" fontId="58" fillId="0" borderId="0">
      <alignment vertical="center"/>
    </xf>
    <xf numFmtId="165" fontId="55" fillId="0" borderId="0">
      <protection locked="0"/>
    </xf>
    <xf numFmtId="0" fontId="56" fillId="0" borderId="0">
      <alignment vertical="center"/>
    </xf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>
      <alignment vertical="top"/>
      <protection locked="0"/>
    </xf>
    <xf numFmtId="166" fontId="1" fillId="0" borderId="0" applyFont="0" applyFill="0" applyBorder="0" applyAlignment="0" applyProtection="0"/>
    <xf numFmtId="165" fontId="12" fillId="0" borderId="0"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5" fillId="0" borderId="0"/>
    <xf numFmtId="0" fontId="1" fillId="0" borderId="0"/>
    <xf numFmtId="0" fontId="65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51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2" borderId="0" xfId="0" applyFont="1" applyFill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167" fontId="9" fillId="0" borderId="0" xfId="1" applyNumberFormat="1" applyFont="1"/>
    <xf numFmtId="167" fontId="9" fillId="0" borderId="0" xfId="1" applyNumberFormat="1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167" fontId="11" fillId="3" borderId="2" xfId="1" applyNumberFormat="1" applyFont="1" applyFill="1" applyBorder="1" applyAlignment="1">
      <alignment horizontal="center" vertical="center" wrapText="1"/>
    </xf>
    <xf numFmtId="167" fontId="11" fillId="3" borderId="2" xfId="1" applyNumberFormat="1" applyFont="1" applyFill="1" applyBorder="1" applyAlignment="1" applyProtection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167" fontId="11" fillId="0" borderId="2" xfId="1" applyNumberFormat="1" applyFont="1" applyBorder="1" applyProtection="1"/>
    <xf numFmtId="167" fontId="11" fillId="0" borderId="2" xfId="1" applyNumberFormat="1" applyFont="1" applyBorder="1" applyAlignment="1" applyProtection="1">
      <alignment horizontal="center"/>
    </xf>
    <xf numFmtId="0" fontId="11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6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167" fontId="13" fillId="0" borderId="2" xfId="1" applyNumberFormat="1" applyFont="1" applyBorder="1" applyProtection="1"/>
    <xf numFmtId="167" fontId="13" fillId="0" borderId="2" xfId="1" applyNumberFormat="1" applyFont="1" applyBorder="1" applyAlignment="1" applyProtection="1">
      <alignment horizontal="center"/>
    </xf>
    <xf numFmtId="0" fontId="12" fillId="0" borderId="2" xfId="0" applyFont="1" applyBorder="1" applyAlignment="1">
      <alignment horizontal="left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/>
    </xf>
    <xf numFmtId="165" fontId="11" fillId="7" borderId="2" xfId="2" applyFont="1" applyFill="1" applyBorder="1" applyAlignment="1" applyProtection="1">
      <alignment horizontal="left" vertical="center"/>
    </xf>
    <xf numFmtId="167" fontId="11" fillId="7" borderId="2" xfId="1" applyNumberFormat="1" applyFont="1" applyFill="1" applyBorder="1" applyProtection="1"/>
    <xf numFmtId="0" fontId="12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167" fontId="11" fillId="3" borderId="2" xfId="1" applyNumberFormat="1" applyFont="1" applyFill="1" applyBorder="1" applyAlignment="1" applyProtection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67" fontId="11" fillId="0" borderId="2" xfId="1" applyNumberFormat="1" applyFont="1" applyBorder="1" applyAlignment="1"/>
    <xf numFmtId="0" fontId="11" fillId="0" borderId="3" xfId="0" applyFont="1" applyBorder="1" applyAlignment="1">
      <alignment horizontal="center"/>
    </xf>
    <xf numFmtId="0" fontId="12" fillId="5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/>
    <xf numFmtId="0" fontId="15" fillId="2" borderId="0" xfId="0" applyFont="1" applyFill="1"/>
    <xf numFmtId="1" fontId="17" fillId="0" borderId="0" xfId="0" applyNumberFormat="1" applyFont="1"/>
    <xf numFmtId="0" fontId="16" fillId="2" borderId="0" xfId="0" applyFont="1" applyFill="1" applyAlignment="1">
      <alignment vertical="center"/>
    </xf>
    <xf numFmtId="165" fontId="17" fillId="2" borderId="0" xfId="0" applyNumberFormat="1" applyFont="1" applyFill="1"/>
    <xf numFmtId="165" fontId="17" fillId="0" borderId="0" xfId="0" applyNumberFormat="1" applyFont="1"/>
    <xf numFmtId="165" fontId="15" fillId="0" borderId="0" xfId="0" applyNumberFormat="1" applyFont="1"/>
    <xf numFmtId="165" fontId="15" fillId="2" borderId="0" xfId="0" applyNumberFormat="1" applyFont="1" applyFill="1"/>
    <xf numFmtId="0" fontId="3" fillId="4" borderId="2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/>
    </xf>
    <xf numFmtId="166" fontId="11" fillId="0" borderId="2" xfId="1" applyFont="1" applyBorder="1" applyAlignment="1" applyProtection="1">
      <alignment horizontal="center"/>
    </xf>
    <xf numFmtId="166" fontId="13" fillId="0" borderId="2" xfId="1" applyFont="1" applyBorder="1" applyProtection="1"/>
    <xf numFmtId="166" fontId="13" fillId="0" borderId="2" xfId="1" applyFont="1" applyBorder="1" applyAlignment="1" applyProtection="1">
      <alignment horizontal="center"/>
    </xf>
    <xf numFmtId="0" fontId="3" fillId="7" borderId="6" xfId="0" applyFont="1" applyFill="1" applyBorder="1" applyAlignment="1">
      <alignment horizontal="left"/>
    </xf>
    <xf numFmtId="165" fontId="11" fillId="7" borderId="2" xfId="7" applyFont="1" applyFill="1" applyBorder="1" applyAlignment="1" applyProtection="1">
      <alignment horizontal="left" vertical="center"/>
    </xf>
    <xf numFmtId="166" fontId="11" fillId="7" borderId="2" xfId="1" applyFont="1" applyFill="1" applyBorder="1" applyProtection="1"/>
    <xf numFmtId="166" fontId="11" fillId="7" borderId="2" xfId="1" applyFont="1" applyFill="1" applyBorder="1" applyAlignment="1" applyProtection="1">
      <alignment horizontal="right"/>
    </xf>
    <xf numFmtId="0" fontId="3" fillId="0" borderId="6" xfId="0" applyFont="1" applyBorder="1" applyAlignment="1">
      <alignment horizontal="left"/>
    </xf>
    <xf numFmtId="0" fontId="18" fillId="0" borderId="2" xfId="9" applyFont="1" applyBorder="1" applyAlignment="1">
      <alignment horizontal="left" vertical="center" wrapText="1"/>
    </xf>
    <xf numFmtId="166" fontId="12" fillId="0" borderId="2" xfId="1" applyFont="1" applyBorder="1" applyAlignment="1" applyProtection="1">
      <alignment horizontal="left"/>
    </xf>
    <xf numFmtId="166" fontId="9" fillId="2" borderId="2" xfId="1" applyFont="1" applyFill="1" applyBorder="1" applyAlignment="1"/>
    <xf numFmtId="0" fontId="13" fillId="0" borderId="0" xfId="0" applyFont="1" applyAlignment="1">
      <alignment vertical="center"/>
    </xf>
    <xf numFmtId="0" fontId="12" fillId="0" borderId="2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18" fillId="0" borderId="24" xfId="0" applyFont="1" applyBorder="1" applyAlignment="1">
      <alignment horizontal="left" vertical="center" wrapText="1"/>
    </xf>
    <xf numFmtId="169" fontId="12" fillId="0" borderId="25" xfId="0" applyNumberFormat="1" applyFont="1" applyBorder="1" applyAlignment="1">
      <alignment horizontal="right"/>
    </xf>
    <xf numFmtId="169" fontId="13" fillId="0" borderId="24" xfId="0" applyNumberFormat="1" applyFont="1" applyBorder="1" applyAlignment="1">
      <alignment horizontal="center"/>
    </xf>
    <xf numFmtId="166" fontId="12" fillId="5" borderId="6" xfId="1" applyFont="1" applyFill="1" applyBorder="1" applyProtection="1"/>
    <xf numFmtId="166" fontId="11" fillId="7" borderId="2" xfId="1" applyFont="1" applyFill="1" applyBorder="1" applyAlignment="1" applyProtection="1">
      <alignment horizontal="center"/>
    </xf>
    <xf numFmtId="166" fontId="12" fillId="11" borderId="6" xfId="1" applyFont="1" applyFill="1" applyBorder="1" applyProtection="1"/>
    <xf numFmtId="0" fontId="3" fillId="3" borderId="2" xfId="0" applyFont="1" applyFill="1" applyBorder="1" applyAlignment="1">
      <alignment vertical="center"/>
    </xf>
    <xf numFmtId="166" fontId="11" fillId="3" borderId="2" xfId="1" applyFont="1" applyFill="1" applyBorder="1" applyAlignment="1" applyProtection="1">
      <alignment horizontal="center" vertical="center"/>
    </xf>
    <xf numFmtId="0" fontId="11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21" xfId="0" applyFont="1" applyFill="1" applyBorder="1" applyAlignment="1">
      <alignment horizontal="left" vertical="center"/>
    </xf>
    <xf numFmtId="166" fontId="11" fillId="0" borderId="3" xfId="1" applyFont="1" applyBorder="1" applyAlignment="1" applyProtection="1"/>
    <xf numFmtId="166" fontId="11" fillId="0" borderId="3" xfId="1" applyFont="1" applyBorder="1" applyAlignment="1" applyProtection="1">
      <alignment horizontal="center"/>
    </xf>
    <xf numFmtId="0" fontId="3" fillId="4" borderId="3" xfId="0" applyFont="1" applyFill="1" applyBorder="1" applyAlignment="1">
      <alignment horizontal="left"/>
    </xf>
    <xf numFmtId="0" fontId="3" fillId="0" borderId="0" xfId="0" applyFont="1" applyAlignment="1">
      <alignment vertical="center"/>
    </xf>
    <xf numFmtId="166" fontId="0" fillId="0" borderId="2" xfId="1" applyFont="1" applyBorder="1" applyAlignment="1" applyProtection="1"/>
    <xf numFmtId="166" fontId="0" fillId="0" borderId="2" xfId="1" applyFont="1" applyBorder="1" applyAlignment="1" applyProtection="1">
      <alignment horizontal="center"/>
    </xf>
    <xf numFmtId="0" fontId="3" fillId="5" borderId="2" xfId="0" applyFont="1" applyFill="1" applyBorder="1" applyAlignment="1">
      <alignment vertical="center"/>
    </xf>
    <xf numFmtId="0" fontId="3" fillId="7" borderId="6" xfId="0" applyFont="1" applyFill="1" applyBorder="1"/>
    <xf numFmtId="0" fontId="3" fillId="7" borderId="2" xfId="0" applyFont="1" applyFill="1" applyBorder="1"/>
    <xf numFmtId="0" fontId="11" fillId="12" borderId="2" xfId="0" applyFont="1" applyFill="1" applyBorder="1" applyAlignment="1">
      <alignment vertical="center"/>
    </xf>
    <xf numFmtId="0" fontId="12" fillId="5" borderId="0" xfId="0" applyFont="1" applyFill="1" applyAlignment="1">
      <alignment vertical="center"/>
    </xf>
    <xf numFmtId="165" fontId="13" fillId="5" borderId="3" xfId="8" applyFont="1" applyFill="1" applyBorder="1" applyAlignment="1" applyProtection="1">
      <alignment horizontal="left" vertical="center"/>
    </xf>
    <xf numFmtId="0" fontId="3" fillId="5" borderId="0" xfId="0" applyFont="1" applyFill="1" applyAlignment="1">
      <alignment horizontal="left"/>
    </xf>
    <xf numFmtId="165" fontId="13" fillId="5" borderId="0" xfId="8" applyFont="1" applyFill="1" applyAlignment="1" applyProtection="1">
      <alignment horizontal="left" vertical="center"/>
    </xf>
    <xf numFmtId="166" fontId="0" fillId="5" borderId="0" xfId="1" applyFont="1" applyFill="1" applyAlignment="1" applyProtection="1"/>
    <xf numFmtId="0" fontId="12" fillId="0" borderId="0" xfId="0" applyFont="1" applyAlignment="1">
      <alignment horizontal="left"/>
    </xf>
    <xf numFmtId="0" fontId="12" fillId="13" borderId="2" xfId="0" applyFont="1" applyFill="1" applyBorder="1" applyAlignment="1">
      <alignment vertical="top"/>
    </xf>
    <xf numFmtId="0" fontId="12" fillId="13" borderId="2" xfId="0" applyFont="1" applyFill="1" applyBorder="1" applyAlignment="1">
      <alignment horizontal="left" vertical="top"/>
    </xf>
    <xf numFmtId="0" fontId="19" fillId="0" borderId="2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left" vertical="center" wrapText="1"/>
    </xf>
    <xf numFmtId="166" fontId="18" fillId="0" borderId="2" xfId="1" applyFont="1" applyBorder="1" applyAlignment="1" applyProtection="1">
      <alignment horizontal="right" vertical="center" wrapText="1"/>
    </xf>
    <xf numFmtId="166" fontId="12" fillId="13" borderId="2" xfId="1" applyFont="1" applyFill="1" applyBorder="1" applyAlignment="1" applyProtection="1">
      <alignment horizontal="right" vertical="center"/>
    </xf>
    <xf numFmtId="0" fontId="12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left"/>
    </xf>
    <xf numFmtId="0" fontId="12" fillId="0" borderId="0" xfId="0" applyFont="1" applyAlignment="1">
      <alignment vertical="center"/>
    </xf>
    <xf numFmtId="0" fontId="3" fillId="0" borderId="2" xfId="0" applyFont="1" applyBorder="1"/>
    <xf numFmtId="0" fontId="3" fillId="7" borderId="27" xfId="0" applyFont="1" applyFill="1" applyBorder="1"/>
    <xf numFmtId="166" fontId="3" fillId="7" borderId="7" xfId="1" applyFont="1" applyFill="1" applyBorder="1" applyAlignment="1" applyProtection="1"/>
    <xf numFmtId="0" fontId="3" fillId="14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/>
    </xf>
    <xf numFmtId="0" fontId="19" fillId="0" borderId="28" xfId="0" applyFont="1" applyBorder="1" applyAlignment="1">
      <alignment horizontal="justify" vertical="center" wrapText="1"/>
    </xf>
    <xf numFmtId="166" fontId="18" fillId="0" borderId="24" xfId="1" applyFont="1" applyBorder="1" applyAlignment="1" applyProtection="1">
      <alignment horizontal="right" vertical="center" wrapText="1"/>
    </xf>
    <xf numFmtId="166" fontId="12" fillId="0" borderId="24" xfId="1" applyFont="1" applyBorder="1" applyAlignment="1" applyProtection="1">
      <alignment horizontal="right" vertical="center"/>
    </xf>
    <xf numFmtId="0" fontId="20" fillId="0" borderId="5" xfId="0" applyFont="1" applyBorder="1" applyAlignment="1">
      <alignment horizontal="justify" vertical="center" wrapText="1"/>
    </xf>
    <xf numFmtId="0" fontId="12" fillId="0" borderId="2" xfId="0" applyFont="1" applyBorder="1" applyAlignment="1">
      <alignment vertical="top"/>
    </xf>
    <xf numFmtId="0" fontId="12" fillId="0" borderId="2" xfId="0" applyFont="1" applyBorder="1" applyAlignment="1">
      <alignment horizontal="left" vertical="top"/>
    </xf>
    <xf numFmtId="0" fontId="12" fillId="13" borderId="30" xfId="0" applyFont="1" applyFill="1" applyBorder="1" applyAlignment="1">
      <alignment vertical="top"/>
    </xf>
    <xf numFmtId="0" fontId="12" fillId="13" borderId="30" xfId="0" applyFont="1" applyFill="1" applyBorder="1" applyAlignment="1">
      <alignment horizontal="left" vertical="top"/>
    </xf>
    <xf numFmtId="0" fontId="19" fillId="0" borderId="2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justify" vertical="center" wrapText="1"/>
    </xf>
    <xf numFmtId="0" fontId="3" fillId="7" borderId="31" xfId="0" applyFont="1" applyFill="1" applyBorder="1"/>
    <xf numFmtId="0" fontId="3" fillId="7" borderId="32" xfId="0" applyFont="1" applyFill="1" applyBorder="1"/>
    <xf numFmtId="166" fontId="3" fillId="12" borderId="2" xfId="1" applyFont="1" applyFill="1" applyBorder="1" applyAlignment="1" applyProtection="1">
      <alignment vertical="center"/>
    </xf>
    <xf numFmtId="0" fontId="3" fillId="1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24" xfId="0" applyFont="1" applyBorder="1" applyAlignment="1">
      <alignment vertical="top"/>
    </xf>
    <xf numFmtId="0" fontId="12" fillId="13" borderId="24" xfId="0" applyFont="1" applyFill="1" applyBorder="1" applyAlignment="1">
      <alignment horizontal="left" vertical="top"/>
    </xf>
    <xf numFmtId="0" fontId="19" fillId="0" borderId="24" xfId="0" applyFont="1" applyBorder="1" applyAlignment="1">
      <alignment horizontal="justify" vertical="center" wrapText="1"/>
    </xf>
    <xf numFmtId="166" fontId="12" fillId="0" borderId="30" xfId="1" applyFont="1" applyBorder="1" applyAlignment="1" applyProtection="1">
      <alignment horizontal="right" vertical="center"/>
    </xf>
    <xf numFmtId="0" fontId="12" fillId="0" borderId="30" xfId="0" applyFont="1" applyBorder="1" applyAlignment="1">
      <alignment horizontal="left"/>
    </xf>
    <xf numFmtId="0" fontId="12" fillId="0" borderId="0" xfId="0" applyFont="1" applyAlignment="1">
      <alignment vertical="top"/>
    </xf>
    <xf numFmtId="0" fontId="12" fillId="13" borderId="24" xfId="0" applyFont="1" applyFill="1" applyBorder="1" applyAlignment="1">
      <alignment vertical="top"/>
    </xf>
    <xf numFmtId="0" fontId="12" fillId="0" borderId="24" xfId="0" applyFont="1" applyBorder="1" applyAlignment="1">
      <alignment horizontal="left" vertical="top"/>
    </xf>
    <xf numFmtId="166" fontId="18" fillId="5" borderId="24" xfId="1" applyFont="1" applyFill="1" applyBorder="1" applyAlignment="1" applyProtection="1">
      <alignment vertical="center" wrapText="1"/>
    </xf>
    <xf numFmtId="0" fontId="12" fillId="0" borderId="34" xfId="0" applyFont="1" applyBorder="1"/>
    <xf numFmtId="0" fontId="19" fillId="0" borderId="35" xfId="0" applyFont="1" applyBorder="1" applyAlignment="1">
      <alignment horizontal="justify" vertical="center" wrapText="1"/>
    </xf>
    <xf numFmtId="166" fontId="18" fillId="5" borderId="0" xfId="1" applyFont="1" applyFill="1" applyAlignment="1" applyProtection="1">
      <alignment vertical="center" wrapText="1"/>
    </xf>
    <xf numFmtId="166" fontId="12" fillId="0" borderId="35" xfId="1" applyFont="1" applyBorder="1" applyAlignment="1" applyProtection="1">
      <alignment horizontal="right" vertical="center"/>
    </xf>
    <xf numFmtId="0" fontId="12" fillId="0" borderId="5" xfId="0" applyFont="1" applyBorder="1"/>
    <xf numFmtId="0" fontId="12" fillId="13" borderId="35" xfId="0" applyFont="1" applyFill="1" applyBorder="1" applyAlignment="1">
      <alignment horizontal="left" vertical="top"/>
    </xf>
    <xf numFmtId="0" fontId="19" fillId="0" borderId="35" xfId="0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166" fontId="18" fillId="0" borderId="3" xfId="1" applyFont="1" applyBorder="1" applyAlignment="1" applyProtection="1">
      <alignment horizontal="right" vertical="center" wrapText="1"/>
    </xf>
    <xf numFmtId="0" fontId="20" fillId="0" borderId="2" xfId="0" applyFont="1" applyBorder="1" applyAlignment="1">
      <alignment horizontal="justify" vertical="center" wrapText="1"/>
    </xf>
    <xf numFmtId="0" fontId="3" fillId="7" borderId="8" xfId="0" applyFont="1" applyFill="1" applyBorder="1"/>
    <xf numFmtId="166" fontId="3" fillId="7" borderId="7" xfId="1" applyFont="1" applyFill="1" applyBorder="1" applyAlignment="1" applyProtection="1">
      <alignment horizontal="right"/>
    </xf>
    <xf numFmtId="0" fontId="11" fillId="0" borderId="5" xfId="0" applyFont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27" xfId="0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167" fontId="10" fillId="0" borderId="0" xfId="1" applyNumberFormat="1" applyFont="1" applyAlignment="1">
      <alignment horizontal="right"/>
    </xf>
    <xf numFmtId="0" fontId="10" fillId="0" borderId="0" xfId="0" applyFont="1"/>
    <xf numFmtId="0" fontId="10" fillId="3" borderId="2" xfId="0" applyFont="1" applyFill="1" applyBorder="1" applyAlignment="1">
      <alignment horizontal="center" vertical="center"/>
    </xf>
    <xf numFmtId="167" fontId="10" fillId="3" borderId="2" xfId="1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1" fillId="16" borderId="24" xfId="0" applyFont="1" applyFill="1" applyBorder="1" applyAlignment="1">
      <alignment horizontal="left" vertical="center"/>
    </xf>
    <xf numFmtId="0" fontId="3" fillId="16" borderId="24" xfId="0" applyFont="1" applyFill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170" fontId="11" fillId="0" borderId="24" xfId="0" applyNumberFormat="1" applyFont="1" applyBorder="1" applyAlignment="1">
      <alignment horizontal="right"/>
    </xf>
    <xf numFmtId="0" fontId="11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left"/>
    </xf>
    <xf numFmtId="0" fontId="13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top" wrapText="1"/>
    </xf>
    <xf numFmtId="0" fontId="12" fillId="13" borderId="24" xfId="0" applyFont="1" applyFill="1" applyBorder="1" applyAlignment="1">
      <alignment horizontal="left" vertical="center"/>
    </xf>
    <xf numFmtId="169" fontId="12" fillId="13" borderId="25" xfId="0" applyNumberFormat="1" applyFont="1" applyFill="1" applyBorder="1"/>
    <xf numFmtId="0" fontId="13" fillId="0" borderId="24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11" fillId="0" borderId="24" xfId="0" applyFont="1" applyBorder="1" applyAlignment="1">
      <alignment horizontal="center" vertical="center"/>
    </xf>
    <xf numFmtId="0" fontId="11" fillId="17" borderId="24" xfId="0" applyFont="1" applyFill="1" applyBorder="1" applyAlignment="1">
      <alignment horizontal="left" vertical="center"/>
    </xf>
    <xf numFmtId="169" fontId="11" fillId="17" borderId="24" xfId="0" applyNumberFormat="1" applyFont="1" applyFill="1" applyBorder="1" applyAlignment="1">
      <alignment horizontal="right" vertical="center"/>
    </xf>
    <xf numFmtId="0" fontId="11" fillId="0" borderId="30" xfId="0" applyFont="1" applyBorder="1" applyAlignment="1">
      <alignment horizontal="center" vertical="center"/>
    </xf>
    <xf numFmtId="0" fontId="10" fillId="18" borderId="3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7" fontId="9" fillId="0" borderId="2" xfId="1" applyNumberFormat="1" applyFont="1" applyBorder="1" applyAlignment="1">
      <alignment horizontal="right"/>
    </xf>
    <xf numFmtId="167" fontId="9" fillId="0" borderId="3" xfId="1" applyNumberFormat="1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9" fillId="13" borderId="24" xfId="9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top"/>
    </xf>
    <xf numFmtId="0" fontId="22" fillId="0" borderId="24" xfId="9" applyFont="1" applyBorder="1" applyAlignment="1">
      <alignment horizontal="justify" vertical="center" wrapText="1"/>
    </xf>
    <xf numFmtId="0" fontId="23" fillId="0" borderId="30" xfId="0" applyFont="1" applyBorder="1" applyAlignment="1">
      <alignment horizontal="left" vertical="center" wrapText="1"/>
    </xf>
    <xf numFmtId="166" fontId="9" fillId="13" borderId="24" xfId="1" applyFont="1" applyFill="1" applyBorder="1" applyAlignment="1">
      <alignment horizontal="right"/>
    </xf>
    <xf numFmtId="0" fontId="9" fillId="13" borderId="36" xfId="9" applyFont="1" applyFill="1" applyBorder="1" applyAlignment="1">
      <alignment horizontal="center" vertical="center"/>
    </xf>
    <xf numFmtId="0" fontId="24" fillId="0" borderId="5" xfId="0" applyFont="1" applyBorder="1" applyAlignment="1">
      <alignment horizontal="justify" vertical="center" wrapText="1"/>
    </xf>
    <xf numFmtId="0" fontId="9" fillId="0" borderId="24" xfId="9" applyFont="1" applyBorder="1" applyAlignment="1">
      <alignment horizontal="center"/>
    </xf>
    <xf numFmtId="166" fontId="9" fillId="0" borderId="24" xfId="1" applyFont="1" applyBorder="1" applyAlignment="1">
      <alignment horizontal="right"/>
    </xf>
    <xf numFmtId="0" fontId="10" fillId="0" borderId="2" xfId="9" applyFont="1" applyBorder="1">
      <alignment vertical="center"/>
    </xf>
    <xf numFmtId="0" fontId="25" fillId="19" borderId="2" xfId="9" applyFont="1" applyFill="1" applyBorder="1" applyAlignment="1">
      <alignment horizontal="left" vertical="center"/>
    </xf>
    <xf numFmtId="165" fontId="10" fillId="19" borderId="2" xfId="5" applyFont="1" applyFill="1" applyBorder="1" applyAlignment="1" applyProtection="1">
      <alignment horizontal="left" vertical="center"/>
    </xf>
    <xf numFmtId="166" fontId="10" fillId="19" borderId="2" xfId="1" applyFont="1" applyFill="1" applyBorder="1" applyAlignment="1" applyProtection="1">
      <alignment horizontal="right" vertical="center"/>
    </xf>
    <xf numFmtId="0" fontId="10" fillId="0" borderId="5" xfId="9" applyFont="1" applyBorder="1" applyAlignment="1">
      <alignment horizontal="center" vertical="center"/>
    </xf>
    <xf numFmtId="0" fontId="25" fillId="0" borderId="2" xfId="9" applyFont="1" applyBorder="1" applyAlignment="1">
      <alignment horizontal="left" vertical="center"/>
    </xf>
    <xf numFmtId="166" fontId="10" fillId="2" borderId="2" xfId="1" applyFont="1" applyFill="1" applyBorder="1" applyAlignment="1" applyProtection="1">
      <alignment horizontal="right" vertical="center"/>
    </xf>
    <xf numFmtId="0" fontId="9" fillId="0" borderId="2" xfId="0" applyFont="1" applyBorder="1" applyAlignment="1">
      <alignment horizontal="left"/>
    </xf>
    <xf numFmtId="166" fontId="4" fillId="10" borderId="2" xfId="1" applyFont="1" applyFill="1" applyBorder="1" applyAlignment="1">
      <alignment horizontal="right" vertical="center"/>
    </xf>
    <xf numFmtId="0" fontId="26" fillId="0" borderId="5" xfId="9" applyFont="1" applyBorder="1" applyAlignment="1">
      <alignment horizontal="center" vertical="center"/>
    </xf>
    <xf numFmtId="0" fontId="19" fillId="0" borderId="2" xfId="9" applyFont="1" applyBorder="1" applyAlignment="1">
      <alignment horizontal="left" vertical="center"/>
    </xf>
    <xf numFmtId="0" fontId="12" fillId="5" borderId="2" xfId="0" quotePrefix="1" applyFont="1" applyFill="1" applyBorder="1" applyAlignment="1">
      <alignment horizontal="left" vertical="center"/>
    </xf>
    <xf numFmtId="167" fontId="30" fillId="0" borderId="2" xfId="1" applyNumberFormat="1" applyFont="1" applyBorder="1" applyAlignment="1"/>
    <xf numFmtId="167" fontId="31" fillId="0" borderId="2" xfId="1" applyNumberFormat="1" applyFont="1" applyBorder="1" applyAlignment="1" applyProtection="1">
      <alignment horizontal="center"/>
    </xf>
    <xf numFmtId="0" fontId="33" fillId="0" borderId="0" xfId="0" applyFont="1"/>
    <xf numFmtId="167" fontId="40" fillId="3" borderId="2" xfId="1" applyNumberFormat="1" applyFont="1" applyFill="1" applyBorder="1" applyAlignment="1" applyProtection="1">
      <alignment horizontal="right" wrapText="1"/>
    </xf>
    <xf numFmtId="167" fontId="40" fillId="0" borderId="2" xfId="1" applyNumberFormat="1" applyFont="1" applyBorder="1" applyAlignment="1" applyProtection="1">
      <alignment horizontal="right"/>
    </xf>
    <xf numFmtId="167" fontId="40" fillId="7" borderId="2" xfId="1" applyNumberFormat="1" applyFont="1" applyFill="1" applyBorder="1" applyAlignment="1" applyProtection="1">
      <alignment horizontal="right"/>
    </xf>
    <xf numFmtId="167" fontId="40" fillId="3" borderId="2" xfId="1" applyNumberFormat="1" applyFont="1" applyFill="1" applyBorder="1" applyAlignment="1" applyProtection="1">
      <alignment horizontal="right" vertical="center"/>
    </xf>
    <xf numFmtId="166" fontId="40" fillId="0" borderId="2" xfId="1" applyFont="1" applyBorder="1" applyAlignment="1" applyProtection="1">
      <alignment horizontal="right"/>
    </xf>
    <xf numFmtId="166" fontId="40" fillId="7" borderId="2" xfId="1" applyFont="1" applyFill="1" applyBorder="1" applyAlignment="1" applyProtection="1">
      <alignment horizontal="right"/>
    </xf>
    <xf numFmtId="166" fontId="40" fillId="7" borderId="2" xfId="1" applyFont="1" applyFill="1" applyBorder="1" applyAlignment="1" applyProtection="1">
      <alignment horizontal="center"/>
    </xf>
    <xf numFmtId="166" fontId="40" fillId="0" borderId="3" xfId="1" applyFont="1" applyBorder="1" applyAlignment="1" applyProtection="1">
      <alignment horizontal="right"/>
    </xf>
    <xf numFmtId="166" fontId="37" fillId="7" borderId="7" xfId="1" applyFont="1" applyFill="1" applyBorder="1" applyAlignment="1" applyProtection="1"/>
    <xf numFmtId="166" fontId="37" fillId="12" borderId="2" xfId="1" applyFont="1" applyFill="1" applyBorder="1" applyAlignment="1" applyProtection="1">
      <alignment vertical="center"/>
    </xf>
    <xf numFmtId="166" fontId="37" fillId="7" borderId="7" xfId="1" applyFont="1" applyFill="1" applyBorder="1" applyAlignment="1" applyProtection="1">
      <alignment horizontal="right"/>
    </xf>
    <xf numFmtId="167" fontId="42" fillId="0" borderId="0" xfId="1" applyNumberFormat="1" applyFont="1" applyAlignment="1">
      <alignment horizontal="right"/>
    </xf>
    <xf numFmtId="167" fontId="42" fillId="3" borderId="2" xfId="1" applyNumberFormat="1" applyFont="1" applyFill="1" applyBorder="1" applyAlignment="1">
      <alignment horizontal="center" vertical="center" wrapText="1"/>
    </xf>
    <xf numFmtId="170" fontId="40" fillId="0" borderId="24" xfId="0" applyNumberFormat="1" applyFont="1" applyBorder="1" applyAlignment="1">
      <alignment horizontal="right"/>
    </xf>
    <xf numFmtId="169" fontId="40" fillId="17" borderId="30" xfId="0" applyNumberFormat="1" applyFont="1" applyFill="1" applyBorder="1" applyAlignment="1">
      <alignment horizontal="right" vertical="center"/>
    </xf>
    <xf numFmtId="167" fontId="42" fillId="19" borderId="5" xfId="1" applyNumberFormat="1" applyFont="1" applyFill="1" applyBorder="1" applyAlignment="1" applyProtection="1">
      <alignment horizontal="right" vertical="center"/>
    </xf>
    <xf numFmtId="166" fontId="42" fillId="2" borderId="2" xfId="1" applyFont="1" applyFill="1" applyBorder="1" applyAlignment="1">
      <alignment horizontal="right"/>
    </xf>
    <xf numFmtId="169" fontId="40" fillId="0" borderId="24" xfId="0" applyNumberFormat="1" applyFont="1" applyBorder="1" applyAlignment="1">
      <alignment horizontal="right"/>
    </xf>
    <xf numFmtId="166" fontId="41" fillId="0" borderId="2" xfId="1" applyFont="1" applyBorder="1" applyAlignment="1" applyProtection="1">
      <alignment horizontal="right"/>
    </xf>
    <xf numFmtId="166" fontId="41" fillId="5" borderId="0" xfId="1" applyFont="1" applyFill="1" applyAlignment="1" applyProtection="1">
      <alignment horizontal="right"/>
    </xf>
    <xf numFmtId="166" fontId="37" fillId="13" borderId="2" xfId="1" applyFont="1" applyFill="1" applyBorder="1" applyAlignment="1" applyProtection="1">
      <alignment horizontal="right" vertical="center"/>
    </xf>
    <xf numFmtId="166" fontId="37" fillId="0" borderId="24" xfId="1" applyFont="1" applyBorder="1" applyAlignment="1" applyProtection="1">
      <alignment horizontal="right" vertical="center"/>
    </xf>
    <xf numFmtId="166" fontId="37" fillId="0" borderId="30" xfId="1" applyFont="1" applyBorder="1" applyAlignment="1" applyProtection="1">
      <alignment horizontal="right" vertical="center"/>
    </xf>
    <xf numFmtId="166" fontId="37" fillId="0" borderId="35" xfId="1" applyFont="1" applyBorder="1" applyAlignment="1" applyProtection="1">
      <alignment horizontal="right" vertical="center"/>
    </xf>
    <xf numFmtId="167" fontId="42" fillId="0" borderId="3" xfId="1" applyNumberFormat="1" applyFont="1" applyBorder="1" applyAlignment="1">
      <alignment horizontal="right"/>
    </xf>
    <xf numFmtId="167" fontId="42" fillId="13" borderId="24" xfId="1" applyNumberFormat="1" applyFont="1" applyFill="1" applyBorder="1" applyAlignment="1">
      <alignment horizontal="right"/>
    </xf>
    <xf numFmtId="167" fontId="42" fillId="0" borderId="24" xfId="1" applyNumberFormat="1" applyFont="1" applyBorder="1" applyAlignment="1">
      <alignment horizontal="right"/>
    </xf>
    <xf numFmtId="0" fontId="45" fillId="0" borderId="0" xfId="25" applyFont="1"/>
    <xf numFmtId="0" fontId="46" fillId="0" borderId="0" xfId="0" applyFont="1"/>
    <xf numFmtId="0" fontId="47" fillId="0" borderId="0" xfId="0" applyFont="1"/>
    <xf numFmtId="0" fontId="46" fillId="0" borderId="0" xfId="0" applyFont="1" applyAlignment="1">
      <alignment horizontal="center"/>
    </xf>
    <xf numFmtId="41" fontId="46" fillId="0" borderId="0" xfId="0" applyNumberFormat="1" applyFont="1" applyAlignment="1">
      <alignment horizontal="center"/>
    </xf>
    <xf numFmtId="0" fontId="47" fillId="3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47" fillId="0" borderId="2" xfId="0" applyFont="1" applyBorder="1"/>
    <xf numFmtId="0" fontId="47" fillId="0" borderId="2" xfId="0" applyFont="1" applyBorder="1" applyAlignment="1">
      <alignment horizontal="center"/>
    </xf>
    <xf numFmtId="0" fontId="47" fillId="0" borderId="37" xfId="0" applyFont="1" applyBorder="1" applyAlignment="1">
      <alignment horizontal="center"/>
    </xf>
    <xf numFmtId="0" fontId="46" fillId="0" borderId="38" xfId="0" applyFont="1" applyBorder="1" applyAlignment="1">
      <alignment vertical="center"/>
    </xf>
    <xf numFmtId="0" fontId="47" fillId="21" borderId="2" xfId="0" applyFont="1" applyFill="1" applyBorder="1"/>
    <xf numFmtId="0" fontId="47" fillId="22" borderId="6" xfId="0" applyFont="1" applyFill="1" applyBorder="1" applyAlignment="1">
      <alignment vertical="center"/>
    </xf>
    <xf numFmtId="0" fontId="47" fillId="22" borderId="8" xfId="0" applyFont="1" applyFill="1" applyBorder="1" applyAlignment="1">
      <alignment vertical="center"/>
    </xf>
    <xf numFmtId="0" fontId="47" fillId="22" borderId="37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35" fillId="3" borderId="2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39" xfId="0" applyFont="1" applyBorder="1"/>
    <xf numFmtId="0" fontId="36" fillId="16" borderId="30" xfId="0" applyFont="1" applyFill="1" applyBorder="1" applyAlignment="1">
      <alignment horizontal="left" vertical="center"/>
    </xf>
    <xf numFmtId="0" fontId="36" fillId="0" borderId="30" xfId="0" applyFont="1" applyBorder="1" applyAlignment="1">
      <alignment horizontal="center"/>
    </xf>
    <xf numFmtId="0" fontId="36" fillId="0" borderId="30" xfId="0" applyFont="1" applyBorder="1" applyAlignment="1">
      <alignment horizontal="left"/>
    </xf>
    <xf numFmtId="0" fontId="35" fillId="0" borderId="39" xfId="0" applyFont="1" applyBorder="1"/>
    <xf numFmtId="0" fontId="33" fillId="10" borderId="7" xfId="0" applyFont="1" applyFill="1" applyBorder="1" applyAlignment="1">
      <alignment horizontal="left" vertical="center"/>
    </xf>
    <xf numFmtId="0" fontId="35" fillId="0" borderId="0" xfId="0" applyFont="1" applyAlignment="1">
      <alignment horizontal="left"/>
    </xf>
    <xf numFmtId="0" fontId="35" fillId="0" borderId="0" xfId="0" applyFont="1"/>
    <xf numFmtId="166" fontId="10" fillId="0" borderId="0" xfId="1" applyFont="1" applyAlignment="1">
      <alignment horizontal="right"/>
    </xf>
    <xf numFmtId="166" fontId="36" fillId="0" borderId="30" xfId="1" applyFont="1" applyBorder="1" applyAlignment="1">
      <alignment horizontal="right"/>
    </xf>
    <xf numFmtId="166" fontId="12" fillId="13" borderId="25" xfId="1" applyFont="1" applyFill="1" applyBorder="1" applyAlignment="1">
      <alignment horizontal="right"/>
    </xf>
    <xf numFmtId="166" fontId="13" fillId="0" borderId="24" xfId="1" applyFont="1" applyBorder="1" applyAlignment="1">
      <alignment horizontal="right"/>
    </xf>
    <xf numFmtId="166" fontId="11" fillId="17" borderId="24" xfId="1" applyFont="1" applyFill="1" applyBorder="1" applyAlignment="1">
      <alignment horizontal="right" vertical="center"/>
    </xf>
    <xf numFmtId="166" fontId="9" fillId="0" borderId="2" xfId="1" applyFont="1" applyBorder="1" applyAlignment="1">
      <alignment horizontal="right"/>
    </xf>
    <xf numFmtId="166" fontId="9" fillId="0" borderId="3" xfId="1" applyFont="1" applyBorder="1" applyAlignment="1">
      <alignment horizontal="right"/>
    </xf>
    <xf numFmtId="166" fontId="9" fillId="0" borderId="0" xfId="1" applyFont="1" applyAlignment="1">
      <alignment horizontal="right"/>
    </xf>
    <xf numFmtId="166" fontId="35" fillId="3" borderId="2" xfId="1" applyFont="1" applyFill="1" applyBorder="1" applyAlignment="1">
      <alignment horizontal="center" vertical="center" wrapText="1"/>
    </xf>
    <xf numFmtId="166" fontId="35" fillId="3" borderId="39" xfId="1" applyFont="1" applyFill="1" applyBorder="1" applyAlignment="1">
      <alignment horizontal="right" vertical="center"/>
    </xf>
    <xf numFmtId="0" fontId="50" fillId="25" borderId="39" xfId="0" applyFont="1" applyFill="1" applyBorder="1" applyAlignment="1">
      <alignment horizontal="center" vertical="center"/>
    </xf>
    <xf numFmtId="0" fontId="51" fillId="25" borderId="39" xfId="0" applyFont="1" applyFill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/>
    </xf>
    <xf numFmtId="0" fontId="52" fillId="0" borderId="39" xfId="0" applyFont="1" applyBorder="1" applyAlignment="1">
      <alignment vertical="center"/>
    </xf>
    <xf numFmtId="0" fontId="52" fillId="0" borderId="39" xfId="0" applyFont="1" applyBorder="1" applyAlignment="1">
      <alignment horizontal="right" vertical="center"/>
    </xf>
    <xf numFmtId="168" fontId="52" fillId="0" borderId="39" xfId="1" applyNumberFormat="1" applyFont="1" applyFill="1" applyBorder="1" applyAlignment="1">
      <alignment horizontal="center" vertical="center"/>
    </xf>
    <xf numFmtId="3" fontId="53" fillId="0" borderId="39" xfId="0" applyNumberFormat="1" applyFont="1" applyBorder="1" applyAlignment="1">
      <alignment horizontal="right" vertical="center"/>
    </xf>
    <xf numFmtId="3" fontId="53" fillId="0" borderId="39" xfId="0" applyNumberFormat="1" applyFont="1" applyBorder="1" applyAlignment="1">
      <alignment vertical="center"/>
    </xf>
    <xf numFmtId="0" fontId="52" fillId="0" borderId="8" xfId="0" applyFont="1" applyBorder="1" applyAlignment="1">
      <alignment vertical="center"/>
    </xf>
    <xf numFmtId="168" fontId="50" fillId="24" borderId="39" xfId="1" applyNumberFormat="1" applyFont="1" applyFill="1" applyBorder="1" applyAlignment="1">
      <alignment horizontal="center" vertical="center"/>
    </xf>
    <xf numFmtId="17" fontId="52" fillId="0" borderId="39" xfId="0" applyNumberFormat="1" applyFont="1" applyBorder="1" applyAlignment="1">
      <alignment horizontal="center" vertical="center"/>
    </xf>
    <xf numFmtId="168" fontId="4" fillId="0" borderId="0" xfId="0" applyNumberFormat="1" applyFont="1"/>
    <xf numFmtId="0" fontId="52" fillId="26" borderId="39" xfId="0" applyFont="1" applyFill="1" applyBorder="1" applyAlignment="1">
      <alignment horizontal="right" vertical="center"/>
    </xf>
    <xf numFmtId="0" fontId="51" fillId="26" borderId="39" xfId="0" applyFont="1" applyFill="1" applyBorder="1" applyAlignment="1">
      <alignment horizontal="center" vertical="center"/>
    </xf>
    <xf numFmtId="168" fontId="50" fillId="26" borderId="39" xfId="1" applyNumberFormat="1" applyFont="1" applyFill="1" applyBorder="1" applyAlignment="1">
      <alignment horizontal="center" vertical="center"/>
    </xf>
    <xf numFmtId="0" fontId="47" fillId="22" borderId="2" xfId="0" applyFont="1" applyFill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59" fillId="4" borderId="2" xfId="0" applyFont="1" applyFill="1" applyBorder="1" applyAlignment="1">
      <alignment horizontal="left" vertical="center"/>
    </xf>
    <xf numFmtId="167" fontId="60" fillId="0" borderId="2" xfId="36" applyNumberFormat="1" applyFont="1" applyBorder="1" applyProtection="1"/>
    <xf numFmtId="0" fontId="59" fillId="8" borderId="2" xfId="0" applyFont="1" applyFill="1" applyBorder="1" applyAlignment="1">
      <alignment vertical="center"/>
    </xf>
    <xf numFmtId="167" fontId="60" fillId="0" borderId="2" xfId="36" applyNumberFormat="1" applyFont="1" applyBorder="1" applyAlignment="1" applyProtection="1">
      <alignment horizontal="right"/>
    </xf>
    <xf numFmtId="167" fontId="60" fillId="0" borderId="2" xfId="36" applyNumberFormat="1" applyFont="1" applyBorder="1" applyAlignment="1" applyProtection="1">
      <alignment horizontal="center"/>
    </xf>
    <xf numFmtId="0" fontId="59" fillId="8" borderId="2" xfId="0" applyFont="1" applyFill="1" applyBorder="1" applyAlignment="1">
      <alignment horizontal="left" vertical="center"/>
    </xf>
    <xf numFmtId="0" fontId="59" fillId="0" borderId="2" xfId="0" applyFont="1" applyBorder="1" applyAlignment="1">
      <alignment horizontal="left"/>
    </xf>
    <xf numFmtId="0" fontId="59" fillId="0" borderId="0" xfId="0" applyFont="1"/>
    <xf numFmtId="0" fontId="61" fillId="0" borderId="0" xfId="0" applyFont="1"/>
    <xf numFmtId="0" fontId="62" fillId="5" borderId="2" xfId="0" applyFont="1" applyFill="1" applyBorder="1" applyAlignment="1">
      <alignment vertical="center"/>
    </xf>
    <xf numFmtId="0" fontId="62" fillId="2" borderId="2" xfId="0" applyFont="1" applyFill="1" applyBorder="1" applyAlignment="1">
      <alignment horizontal="left" vertical="center"/>
    </xf>
    <xf numFmtId="0" fontId="59" fillId="5" borderId="2" xfId="0" applyFont="1" applyFill="1" applyBorder="1" applyAlignment="1">
      <alignment horizontal="left" vertical="center"/>
    </xf>
    <xf numFmtId="0" fontId="62" fillId="5" borderId="2" xfId="0" applyFont="1" applyFill="1" applyBorder="1" applyAlignment="1">
      <alignment horizontal="left" vertical="center"/>
    </xf>
    <xf numFmtId="167" fontId="61" fillId="0" borderId="2" xfId="36" applyNumberFormat="1" applyFont="1" applyBorder="1" applyProtection="1"/>
    <xf numFmtId="167" fontId="61" fillId="0" borderId="2" xfId="36" applyNumberFormat="1" applyFont="1" applyBorder="1" applyAlignment="1" applyProtection="1">
      <alignment horizontal="center"/>
    </xf>
    <xf numFmtId="167" fontId="61" fillId="0" borderId="2" xfId="36" applyNumberFormat="1" applyFont="1" applyBorder="1" applyAlignment="1" applyProtection="1">
      <alignment horizontal="right"/>
    </xf>
    <xf numFmtId="0" fontId="61" fillId="0" borderId="3" xfId="0" applyFont="1" applyBorder="1" applyAlignment="1">
      <alignment horizontal="center"/>
    </xf>
    <xf numFmtId="0" fontId="62" fillId="0" borderId="2" xfId="0" applyFont="1" applyBorder="1" applyAlignment="1">
      <alignment horizontal="left"/>
    </xf>
    <xf numFmtId="0" fontId="61" fillId="0" borderId="0" xfId="0" applyFont="1" applyAlignment="1">
      <alignment vertical="center"/>
    </xf>
    <xf numFmtId="0" fontId="59" fillId="5" borderId="3" xfId="0" applyFont="1" applyFill="1" applyBorder="1" applyAlignment="1">
      <alignment vertical="center"/>
    </xf>
    <xf numFmtId="0" fontId="59" fillId="7" borderId="3" xfId="0" applyFont="1" applyFill="1" applyBorder="1" applyAlignment="1">
      <alignment horizontal="left"/>
    </xf>
    <xf numFmtId="165" fontId="60" fillId="7" borderId="3" xfId="33" applyFont="1" applyFill="1" applyBorder="1" applyAlignment="1" applyProtection="1">
      <alignment horizontal="left" vertical="center"/>
    </xf>
    <xf numFmtId="167" fontId="60" fillId="7" borderId="3" xfId="36" applyNumberFormat="1" applyFont="1" applyFill="1" applyBorder="1" applyProtection="1"/>
    <xf numFmtId="0" fontId="60" fillId="0" borderId="2" xfId="0" applyFont="1" applyBorder="1" applyAlignment="1">
      <alignment horizontal="center"/>
    </xf>
    <xf numFmtId="0" fontId="63" fillId="0" borderId="0" xfId="0" applyFont="1"/>
    <xf numFmtId="0" fontId="61" fillId="0" borderId="9" xfId="0" applyFont="1" applyBorder="1" applyAlignment="1">
      <alignment horizontal="left"/>
    </xf>
    <xf numFmtId="0" fontId="61" fillId="0" borderId="10" xfId="0" applyFont="1" applyBorder="1" applyAlignment="1">
      <alignment horizontal="left"/>
    </xf>
    <xf numFmtId="0" fontId="60" fillId="0" borderId="10" xfId="0" applyFont="1" applyBorder="1" applyAlignment="1">
      <alignment horizontal="left"/>
    </xf>
    <xf numFmtId="0" fontId="61" fillId="0" borderId="10" xfId="0" applyFont="1" applyBorder="1" applyAlignment="1">
      <alignment horizontal="left" vertical="center"/>
    </xf>
    <xf numFmtId="167" fontId="61" fillId="0" borderId="10" xfId="36" applyNumberFormat="1" applyFont="1" applyBorder="1" applyAlignment="1">
      <alignment horizontal="right"/>
    </xf>
    <xf numFmtId="167" fontId="61" fillId="0" borderId="10" xfId="36" applyNumberFormat="1" applyFont="1" applyBorder="1" applyAlignment="1" applyProtection="1">
      <alignment horizontal="center"/>
    </xf>
    <xf numFmtId="167" fontId="61" fillId="0" borderId="10" xfId="36" applyNumberFormat="1" applyFont="1" applyBorder="1" applyAlignment="1" applyProtection="1">
      <alignment horizontal="right"/>
    </xf>
    <xf numFmtId="0" fontId="61" fillId="0" borderId="11" xfId="0" applyFont="1" applyBorder="1" applyAlignment="1">
      <alignment horizontal="center" vertical="center"/>
    </xf>
    <xf numFmtId="0" fontId="62" fillId="0" borderId="7" xfId="0" applyFont="1" applyBorder="1"/>
    <xf numFmtId="0" fontId="61" fillId="0" borderId="12" xfId="0" applyFont="1" applyBorder="1"/>
    <xf numFmtId="0" fontId="61" fillId="0" borderId="2" xfId="0" applyFont="1" applyBorder="1" applyAlignment="1">
      <alignment horizontal="left"/>
    </xf>
    <xf numFmtId="0" fontId="60" fillId="0" borderId="13" xfId="0" applyFont="1" applyBorder="1" applyAlignment="1">
      <alignment horizontal="left"/>
    </xf>
    <xf numFmtId="0" fontId="61" fillId="0" borderId="13" xfId="0" applyFont="1" applyBorder="1" applyAlignment="1">
      <alignment horizontal="left" vertical="center"/>
    </xf>
    <xf numFmtId="167" fontId="61" fillId="0" borderId="13" xfId="36" applyNumberFormat="1" applyFont="1" applyBorder="1" applyAlignment="1">
      <alignment horizontal="right"/>
    </xf>
    <xf numFmtId="167" fontId="61" fillId="0" borderId="13" xfId="36" applyNumberFormat="1" applyFont="1" applyBorder="1" applyAlignment="1" applyProtection="1">
      <alignment horizontal="center"/>
    </xf>
    <xf numFmtId="167" fontId="61" fillId="0" borderId="13" xfId="36" applyNumberFormat="1" applyFont="1" applyBorder="1" applyAlignment="1" applyProtection="1">
      <alignment horizontal="right"/>
    </xf>
    <xf numFmtId="0" fontId="61" fillId="0" borderId="2" xfId="0" applyFont="1" applyBorder="1"/>
    <xf numFmtId="0" fontId="60" fillId="0" borderId="2" xfId="0" applyFont="1" applyBorder="1" applyAlignment="1">
      <alignment horizontal="left"/>
    </xf>
    <xf numFmtId="0" fontId="61" fillId="0" borderId="2" xfId="0" applyFont="1" applyBorder="1" applyAlignment="1">
      <alignment horizontal="left" vertical="center"/>
    </xf>
    <xf numFmtId="167" fontId="61" fillId="0" borderId="2" xfId="36" applyNumberFormat="1" applyFont="1" applyBorder="1" applyAlignment="1">
      <alignment horizontal="right"/>
    </xf>
    <xf numFmtId="0" fontId="61" fillId="2" borderId="2" xfId="0" applyFont="1" applyFill="1" applyBorder="1" applyAlignment="1">
      <alignment horizontal="left"/>
    </xf>
    <xf numFmtId="0" fontId="60" fillId="2" borderId="2" xfId="0" applyFont="1" applyFill="1" applyBorder="1" applyAlignment="1">
      <alignment horizontal="left"/>
    </xf>
    <xf numFmtId="0" fontId="61" fillId="2" borderId="2" xfId="0" applyFont="1" applyFill="1" applyBorder="1" applyAlignment="1">
      <alignment horizontal="left" vertical="center"/>
    </xf>
    <xf numFmtId="167" fontId="61" fillId="2" borderId="2" xfId="36" applyNumberFormat="1" applyFont="1" applyFill="1" applyBorder="1" applyAlignment="1">
      <alignment horizontal="right"/>
    </xf>
    <xf numFmtId="167" fontId="61" fillId="2" borderId="2" xfId="36" applyNumberFormat="1" applyFont="1" applyFill="1" applyBorder="1" applyAlignment="1" applyProtection="1">
      <alignment horizontal="center"/>
    </xf>
    <xf numFmtId="167" fontId="61" fillId="2" borderId="2" xfId="36" applyNumberFormat="1" applyFont="1" applyFill="1" applyBorder="1" applyAlignment="1" applyProtection="1">
      <alignment horizontal="right"/>
    </xf>
    <xf numFmtId="167" fontId="61" fillId="0" borderId="5" xfId="36" applyNumberFormat="1" applyFont="1" applyBorder="1" applyAlignment="1">
      <alignment horizontal="right" vertical="center"/>
    </xf>
    <xf numFmtId="167" fontId="61" fillId="0" borderId="5" xfId="36" applyNumberFormat="1" applyFont="1" applyBorder="1" applyAlignment="1" applyProtection="1">
      <alignment horizontal="center" vertical="center"/>
    </xf>
    <xf numFmtId="0" fontId="60" fillId="2" borderId="2" xfId="0" applyFont="1" applyFill="1" applyBorder="1" applyAlignment="1">
      <alignment vertical="top"/>
    </xf>
    <xf numFmtId="167" fontId="60" fillId="2" borderId="2" xfId="36" applyNumberFormat="1" applyFont="1" applyFill="1" applyBorder="1" applyProtection="1"/>
    <xf numFmtId="0" fontId="61" fillId="0" borderId="16" xfId="0" applyFont="1" applyBorder="1"/>
    <xf numFmtId="0" fontId="61" fillId="0" borderId="40" xfId="0" applyFont="1" applyBorder="1"/>
    <xf numFmtId="0" fontId="61" fillId="0" borderId="3" xfId="0" applyFont="1" applyBorder="1" applyAlignment="1">
      <alignment horizontal="left"/>
    </xf>
    <xf numFmtId="0" fontId="61" fillId="0" borderId="13" xfId="0" applyFont="1" applyBorder="1" applyAlignment="1">
      <alignment horizontal="left"/>
    </xf>
    <xf numFmtId="0" fontId="61" fillId="0" borderId="7" xfId="0" applyFont="1" applyBorder="1"/>
    <xf numFmtId="0" fontId="61" fillId="0" borderId="17" xfId="0" applyFont="1" applyBorder="1"/>
    <xf numFmtId="0" fontId="62" fillId="0" borderId="7" xfId="0" applyFont="1" applyBorder="1" applyAlignment="1">
      <alignment horizontal="left"/>
    </xf>
    <xf numFmtId="0" fontId="60" fillId="0" borderId="5" xfId="0" applyFont="1" applyBorder="1"/>
    <xf numFmtId="0" fontId="59" fillId="0" borderId="5" xfId="0" applyFont="1" applyBorder="1"/>
    <xf numFmtId="0" fontId="59" fillId="7" borderId="19" xfId="0" applyFont="1" applyFill="1" applyBorder="1"/>
    <xf numFmtId="0" fontId="59" fillId="7" borderId="20" xfId="0" applyFont="1" applyFill="1" applyBorder="1" applyAlignment="1">
      <alignment horizontal="left"/>
    </xf>
    <xf numFmtId="167" fontId="60" fillId="7" borderId="5" xfId="36" applyNumberFormat="1" applyFont="1" applyFill="1" applyBorder="1" applyAlignment="1" applyProtection="1">
      <alignment horizontal="right"/>
    </xf>
    <xf numFmtId="0" fontId="60" fillId="5" borderId="5" xfId="0" applyFont="1" applyFill="1" applyBorder="1" applyAlignment="1">
      <alignment horizontal="center"/>
    </xf>
    <xf numFmtId="0" fontId="59" fillId="5" borderId="2" xfId="0" applyFont="1" applyFill="1" applyBorder="1" applyAlignment="1">
      <alignment horizontal="left"/>
    </xf>
    <xf numFmtId="0" fontId="59" fillId="5" borderId="2" xfId="0" applyFont="1" applyFill="1" applyBorder="1"/>
    <xf numFmtId="0" fontId="59" fillId="3" borderId="6" xfId="0" applyFont="1" applyFill="1" applyBorder="1" applyAlignment="1">
      <alignment vertical="center"/>
    </xf>
    <xf numFmtId="0" fontId="59" fillId="3" borderId="8" xfId="0" applyFont="1" applyFill="1" applyBorder="1" applyAlignment="1">
      <alignment vertical="center"/>
    </xf>
    <xf numFmtId="167" fontId="60" fillId="3" borderId="2" xfId="36" applyNumberFormat="1" applyFont="1" applyFill="1" applyBorder="1" applyAlignment="1" applyProtection="1">
      <alignment horizontal="center" vertical="center"/>
    </xf>
    <xf numFmtId="0" fontId="64" fillId="5" borderId="2" xfId="37" applyFont="1" applyFill="1" applyBorder="1" applyAlignment="1">
      <alignment horizontal="left" vertical="center" wrapText="1"/>
    </xf>
    <xf numFmtId="0" fontId="6" fillId="0" borderId="4" xfId="37" applyFont="1" applyBorder="1" applyAlignment="1">
      <alignment horizontal="center" vertical="center"/>
    </xf>
    <xf numFmtId="0" fontId="6" fillId="0" borderId="3" xfId="37" applyFont="1" applyBorder="1" applyAlignment="1">
      <alignment horizontal="center" vertical="center"/>
    </xf>
    <xf numFmtId="0" fontId="4" fillId="0" borderId="0" xfId="37" applyFont="1" applyAlignment="1">
      <alignment vertical="center"/>
    </xf>
    <xf numFmtId="0" fontId="4" fillId="10" borderId="2" xfId="37" applyFont="1" applyFill="1" applyBorder="1" applyAlignment="1">
      <alignment horizontal="left"/>
    </xf>
    <xf numFmtId="0" fontId="4" fillId="10" borderId="2" xfId="37" applyFont="1" applyFill="1" applyBorder="1" applyAlignment="1">
      <alignment horizontal="left" vertical="center"/>
    </xf>
    <xf numFmtId="166" fontId="4" fillId="10" borderId="2" xfId="42" applyFont="1" applyFill="1" applyBorder="1" applyAlignment="1">
      <alignment horizontal="right"/>
    </xf>
    <xf numFmtId="166" fontId="10" fillId="10" borderId="5" xfId="42" applyFont="1" applyFill="1" applyBorder="1" applyAlignment="1">
      <alignment horizontal="right"/>
    </xf>
    <xf numFmtId="0" fontId="9" fillId="2" borderId="2" xfId="37" applyFont="1" applyFill="1" applyBorder="1" applyAlignment="1">
      <alignment horizontal="left" vertical="top"/>
    </xf>
    <xf numFmtId="0" fontId="23" fillId="0" borderId="30" xfId="37" applyFont="1" applyBorder="1" applyAlignment="1">
      <alignment horizontal="left" vertical="center" wrapText="1"/>
    </xf>
    <xf numFmtId="166" fontId="9" fillId="13" borderId="24" xfId="42" applyFont="1" applyFill="1" applyBorder="1" applyAlignment="1">
      <alignment horizontal="right"/>
    </xf>
    <xf numFmtId="167" fontId="9" fillId="0" borderId="24" xfId="42" applyNumberFormat="1" applyFont="1" applyBorder="1" applyAlignment="1">
      <alignment horizontal="right"/>
    </xf>
    <xf numFmtId="0" fontId="10" fillId="20" borderId="2" xfId="9" applyFont="1" applyFill="1" applyBorder="1">
      <alignment vertical="center"/>
    </xf>
    <xf numFmtId="0" fontId="25" fillId="20" borderId="2" xfId="9" applyFont="1" applyFill="1" applyBorder="1" applyAlignment="1">
      <alignment horizontal="left" vertical="center"/>
    </xf>
    <xf numFmtId="0" fontId="22" fillId="20" borderId="8" xfId="9" applyFont="1" applyFill="1" applyBorder="1" applyAlignment="1">
      <alignment horizontal="left" vertical="center"/>
    </xf>
    <xf numFmtId="165" fontId="10" fillId="2" borderId="7" xfId="41" applyFont="1" applyFill="1" applyBorder="1" applyAlignment="1" applyProtection="1">
      <alignment horizontal="left" vertical="center"/>
    </xf>
    <xf numFmtId="166" fontId="10" fillId="2" borderId="2" xfId="42" applyFont="1" applyFill="1" applyBorder="1" applyAlignment="1" applyProtection="1">
      <alignment horizontal="right" vertical="center"/>
    </xf>
    <xf numFmtId="167" fontId="10" fillId="2" borderId="5" xfId="42" applyNumberFormat="1" applyFont="1" applyFill="1" applyBorder="1" applyAlignment="1" applyProtection="1">
      <alignment horizontal="right" vertical="center"/>
    </xf>
    <xf numFmtId="0" fontId="26" fillId="0" borderId="2" xfId="9" applyFont="1" applyBorder="1">
      <alignment vertical="center"/>
    </xf>
    <xf numFmtId="0" fontId="9" fillId="0" borderId="2" xfId="37" applyFont="1" applyBorder="1" applyAlignment="1">
      <alignment horizontal="left"/>
    </xf>
    <xf numFmtId="0" fontId="68" fillId="2" borderId="2" xfId="37" applyFont="1" applyFill="1" applyBorder="1" applyAlignment="1">
      <alignment vertical="top"/>
    </xf>
    <xf numFmtId="0" fontId="4" fillId="2" borderId="2" xfId="37" applyFont="1" applyFill="1" applyBorder="1" applyAlignment="1">
      <alignment vertical="top"/>
    </xf>
    <xf numFmtId="0" fontId="7" fillId="0" borderId="0" xfId="37" applyFont="1"/>
    <xf numFmtId="0" fontId="64" fillId="4" borderId="2" xfId="37" applyFont="1" applyFill="1" applyBorder="1" applyAlignment="1">
      <alignment horizontal="left" vertical="center"/>
    </xf>
    <xf numFmtId="0" fontId="7" fillId="4" borderId="2" xfId="37" applyFont="1" applyFill="1" applyBorder="1" applyAlignment="1">
      <alignment horizontal="left" vertical="center"/>
    </xf>
    <xf numFmtId="165" fontId="6" fillId="4" borderId="2" xfId="44" applyFont="1" applyFill="1" applyBorder="1" applyAlignment="1" applyProtection="1">
      <alignment horizontal="center"/>
    </xf>
    <xf numFmtId="166" fontId="6" fillId="4" borderId="2" xfId="47" applyFont="1" applyFill="1" applyBorder="1" applyAlignment="1" applyProtection="1">
      <alignment horizontal="center"/>
    </xf>
    <xf numFmtId="166" fontId="6" fillId="4" borderId="2" xfId="47" applyFont="1" applyFill="1" applyBorder="1" applyAlignment="1">
      <alignment horizontal="right"/>
    </xf>
    <xf numFmtId="166" fontId="64" fillId="4" borderId="2" xfId="47" applyFont="1" applyFill="1" applyBorder="1" applyAlignment="1">
      <alignment horizontal="left"/>
    </xf>
    <xf numFmtId="0" fontId="64" fillId="4" borderId="2" xfId="37" applyFont="1" applyFill="1" applyBorder="1" applyAlignment="1">
      <alignment horizontal="left"/>
    </xf>
    <xf numFmtId="0" fontId="64" fillId="5" borderId="2" xfId="37" applyFont="1" applyFill="1" applyBorder="1" applyAlignment="1">
      <alignment horizontal="center" vertical="center"/>
    </xf>
    <xf numFmtId="0" fontId="64" fillId="5" borderId="2" xfId="37" applyFont="1" applyFill="1" applyBorder="1" applyAlignment="1">
      <alignment horizontal="left" vertical="center"/>
    </xf>
    <xf numFmtId="0" fontId="7" fillId="5" borderId="6" xfId="37" applyFont="1" applyFill="1" applyBorder="1" applyAlignment="1">
      <alignment horizontal="left" vertical="center"/>
    </xf>
    <xf numFmtId="0" fontId="6" fillId="5" borderId="2" xfId="37" applyFont="1" applyFill="1" applyBorder="1" applyAlignment="1">
      <alignment horizontal="left" vertical="center"/>
    </xf>
    <xf numFmtId="166" fontId="6" fillId="0" borderId="2" xfId="47" applyFont="1" applyBorder="1" applyProtection="1"/>
    <xf numFmtId="166" fontId="6" fillId="0" borderId="2" xfId="47" applyFont="1" applyBorder="1" applyAlignment="1" applyProtection="1">
      <alignment horizontal="center"/>
    </xf>
    <xf numFmtId="166" fontId="6" fillId="0" borderId="2" xfId="47" applyFont="1" applyBorder="1" applyAlignment="1" applyProtection="1">
      <alignment horizontal="right"/>
    </xf>
    <xf numFmtId="0" fontId="64" fillId="0" borderId="2" xfId="37" applyFont="1" applyBorder="1"/>
    <xf numFmtId="0" fontId="7" fillId="5" borderId="2" xfId="37" applyFont="1" applyFill="1" applyBorder="1" applyAlignment="1">
      <alignment horizontal="center" vertical="center"/>
    </xf>
    <xf numFmtId="0" fontId="7" fillId="7" borderId="2" xfId="37" applyFont="1" applyFill="1" applyBorder="1" applyAlignment="1">
      <alignment horizontal="left"/>
    </xf>
    <xf numFmtId="165" fontId="5" fillId="7" borderId="6" xfId="40" applyFont="1" applyFill="1" applyBorder="1" applyAlignment="1" applyProtection="1">
      <alignment horizontal="left" vertical="center"/>
    </xf>
    <xf numFmtId="166" fontId="5" fillId="7" borderId="2" xfId="47" applyFont="1" applyFill="1" applyBorder="1" applyProtection="1"/>
    <xf numFmtId="166" fontId="5" fillId="7" borderId="2" xfId="47" applyFont="1" applyFill="1" applyBorder="1" applyAlignment="1" applyProtection="1">
      <alignment horizontal="right"/>
    </xf>
    <xf numFmtId="0" fontId="5" fillId="0" borderId="2" xfId="37" applyFont="1" applyBorder="1" applyAlignment="1">
      <alignment vertical="center"/>
    </xf>
    <xf numFmtId="0" fontId="7" fillId="9" borderId="2" xfId="37" applyFont="1" applyFill="1" applyBorder="1" applyAlignment="1">
      <alignment horizontal="center" vertical="center"/>
    </xf>
    <xf numFmtId="0" fontId="7" fillId="9" borderId="0" xfId="37" applyFont="1" applyFill="1"/>
    <xf numFmtId="0" fontId="7" fillId="2" borderId="6" xfId="37" applyFont="1" applyFill="1" applyBorder="1" applyAlignment="1">
      <alignment horizontal="left"/>
    </xf>
    <xf numFmtId="165" fontId="5" fillId="2" borderId="6" xfId="40" applyFont="1" applyFill="1" applyBorder="1" applyAlignment="1" applyProtection="1">
      <alignment horizontal="left" vertical="center"/>
    </xf>
    <xf numFmtId="166" fontId="5" fillId="2" borderId="2" xfId="47" applyFont="1" applyFill="1" applyBorder="1" applyProtection="1"/>
    <xf numFmtId="166" fontId="5" fillId="2" borderId="2" xfId="47" applyFont="1" applyFill="1" applyBorder="1" applyAlignment="1" applyProtection="1">
      <alignment horizontal="right"/>
    </xf>
    <xf numFmtId="0" fontId="5" fillId="2" borderId="3" xfId="37" applyFont="1" applyFill="1" applyBorder="1" applyAlignment="1">
      <alignment vertical="center"/>
    </xf>
    <xf numFmtId="0" fontId="6" fillId="0" borderId="2" xfId="37" applyFont="1" applyBorder="1" applyAlignment="1">
      <alignment vertical="center"/>
    </xf>
    <xf numFmtId="166" fontId="64" fillId="5" borderId="2" xfId="47" applyFont="1" applyFill="1" applyBorder="1" applyAlignment="1">
      <alignment vertical="center"/>
    </xf>
    <xf numFmtId="166" fontId="6" fillId="5" borderId="2" xfId="47" applyFont="1" applyFill="1" applyBorder="1" applyAlignment="1" applyProtection="1">
      <alignment horizontal="right" vertical="center"/>
    </xf>
    <xf numFmtId="166" fontId="6" fillId="5" borderId="2" xfId="47" applyFont="1" applyFill="1" applyBorder="1" applyAlignment="1" applyProtection="1">
      <alignment vertical="center" wrapText="1"/>
    </xf>
    <xf numFmtId="0" fontId="5" fillId="0" borderId="5" xfId="37" applyFont="1" applyBorder="1" applyAlignment="1">
      <alignment horizontal="center" vertical="center"/>
    </xf>
    <xf numFmtId="0" fontId="64" fillId="8" borderId="2" xfId="37" applyFont="1" applyFill="1" applyBorder="1" applyAlignment="1">
      <alignment horizontal="center" vertical="center"/>
    </xf>
    <xf numFmtId="0" fontId="7" fillId="8" borderId="2" xfId="37" applyFont="1" applyFill="1" applyBorder="1" applyAlignment="1">
      <alignment horizontal="left" vertical="center"/>
    </xf>
    <xf numFmtId="0" fontId="64" fillId="5" borderId="2" xfId="37" applyFont="1" applyFill="1" applyBorder="1" applyAlignment="1">
      <alignment horizontal="right" vertical="center"/>
    </xf>
    <xf numFmtId="166" fontId="6" fillId="0" borderId="2" xfId="47" applyFont="1" applyBorder="1" applyAlignment="1"/>
    <xf numFmtId="0" fontId="65" fillId="0" borderId="2" xfId="37" applyFont="1" applyBorder="1" applyAlignment="1">
      <alignment vertical="center"/>
    </xf>
    <xf numFmtId="0" fontId="6" fillId="0" borderId="2" xfId="37" applyFont="1" applyBorder="1" applyAlignment="1">
      <alignment horizontal="left" vertical="center"/>
    </xf>
    <xf numFmtId="0" fontId="7" fillId="0" borderId="2" xfId="37" applyFont="1" applyBorder="1"/>
    <xf numFmtId="0" fontId="64" fillId="9" borderId="2" xfId="37" applyFont="1" applyFill="1" applyBorder="1" applyAlignment="1">
      <alignment horizontal="center" vertical="center"/>
    </xf>
    <xf numFmtId="0" fontId="7" fillId="9" borderId="2" xfId="37" applyFont="1" applyFill="1" applyBorder="1" applyAlignment="1">
      <alignment vertical="center"/>
    </xf>
    <xf numFmtId="0" fontId="7" fillId="5" borderId="8" xfId="37" applyFont="1" applyFill="1" applyBorder="1" applyAlignment="1">
      <alignment vertical="center"/>
    </xf>
    <xf numFmtId="0" fontId="6" fillId="0" borderId="2" xfId="37" applyFont="1" applyBorder="1" applyAlignment="1">
      <alignment horizontal="center" vertical="center"/>
    </xf>
    <xf numFmtId="0" fontId="64" fillId="5" borderId="8" xfId="37" applyFont="1" applyFill="1" applyBorder="1" applyAlignment="1">
      <alignment vertical="center"/>
    </xf>
    <xf numFmtId="0" fontId="5" fillId="0" borderId="2" xfId="37" applyFont="1" applyBorder="1"/>
    <xf numFmtId="166" fontId="64" fillId="0" borderId="2" xfId="47" applyFont="1" applyBorder="1" applyAlignment="1"/>
    <xf numFmtId="166" fontId="6" fillId="0" borderId="2" xfId="47" applyFont="1" applyBorder="1" applyAlignment="1">
      <alignment horizontal="center"/>
    </xf>
    <xf numFmtId="0" fontId="7" fillId="2" borderId="2" xfId="37" applyFont="1" applyFill="1" applyBorder="1"/>
    <xf numFmtId="0" fontId="66" fillId="0" borderId="23" xfId="37" applyFont="1" applyBorder="1"/>
    <xf numFmtId="0" fontId="7" fillId="5" borderId="2" xfId="37" applyFont="1" applyFill="1" applyBorder="1" applyAlignment="1">
      <alignment vertical="center"/>
    </xf>
    <xf numFmtId="166" fontId="6" fillId="5" borderId="2" xfId="47" applyFont="1" applyFill="1" applyBorder="1" applyAlignment="1" applyProtection="1">
      <alignment horizontal="center"/>
    </xf>
    <xf numFmtId="0" fontId="5" fillId="0" borderId="2" xfId="37" applyFont="1" applyBorder="1" applyAlignment="1">
      <alignment horizontal="center" vertical="center"/>
    </xf>
    <xf numFmtId="0" fontId="7" fillId="9" borderId="2" xfId="37" applyFont="1" applyFill="1" applyBorder="1" applyAlignment="1">
      <alignment horizontal="left" vertical="center"/>
    </xf>
    <xf numFmtId="166" fontId="64" fillId="0" borderId="2" xfId="47" applyFont="1" applyBorder="1" applyAlignment="1">
      <alignment horizontal="left"/>
    </xf>
    <xf numFmtId="0" fontId="7" fillId="5" borderId="2" xfId="37" applyFont="1" applyFill="1" applyBorder="1" applyAlignment="1">
      <alignment horizontal="left" vertical="center" wrapText="1"/>
    </xf>
    <xf numFmtId="0" fontId="6" fillId="5" borderId="2" xfId="37" applyFont="1" applyFill="1" applyBorder="1" applyAlignment="1">
      <alignment horizontal="left"/>
    </xf>
    <xf numFmtId="166" fontId="6" fillId="5" borderId="2" xfId="47" applyFont="1" applyFill="1" applyBorder="1" applyAlignment="1" applyProtection="1">
      <alignment horizontal="right"/>
    </xf>
    <xf numFmtId="0" fontId="6" fillId="0" borderId="4" xfId="37" applyFont="1" applyBorder="1" applyAlignment="1">
      <alignment vertical="center"/>
    </xf>
    <xf numFmtId="0" fontId="6" fillId="0" borderId="23" xfId="37" applyFont="1" applyBorder="1" applyAlignment="1">
      <alignment vertical="center"/>
    </xf>
    <xf numFmtId="166" fontId="6" fillId="2" borderId="2" xfId="47" applyFont="1" applyFill="1" applyBorder="1" applyAlignment="1" applyProtection="1">
      <alignment horizontal="left" vertical="center"/>
    </xf>
    <xf numFmtId="166" fontId="6" fillId="5" borderId="2" xfId="47" applyFont="1" applyFill="1" applyBorder="1" applyAlignment="1" applyProtection="1">
      <alignment horizontal="center" vertical="center" wrapText="1"/>
    </xf>
    <xf numFmtId="166" fontId="6" fillId="5" borderId="2" xfId="47" applyFont="1" applyFill="1" applyBorder="1" applyAlignment="1" applyProtection="1">
      <alignment vertical="center"/>
    </xf>
    <xf numFmtId="0" fontId="6" fillId="0" borderId="5" xfId="37" applyFont="1" applyBorder="1" applyAlignment="1">
      <alignment vertical="center"/>
    </xf>
    <xf numFmtId="0" fontId="6" fillId="0" borderId="2" xfId="37" applyFont="1" applyBorder="1"/>
    <xf numFmtId="166" fontId="64" fillId="0" borderId="2" xfId="37" applyNumberFormat="1" applyFont="1" applyBorder="1"/>
    <xf numFmtId="166" fontId="5" fillId="7" borderId="2" xfId="47" applyFont="1" applyFill="1" applyBorder="1" applyAlignment="1" applyProtection="1">
      <alignment horizontal="center"/>
    </xf>
    <xf numFmtId="0" fontId="67" fillId="9" borderId="2" xfId="37" applyFont="1" applyFill="1" applyBorder="1" applyAlignment="1">
      <alignment horizontal="center" vertical="center"/>
    </xf>
    <xf numFmtId="0" fontId="5" fillId="9" borderId="2" xfId="37" applyFont="1" applyFill="1" applyBorder="1"/>
    <xf numFmtId="165" fontId="6" fillId="2" borderId="8" xfId="40" applyFont="1" applyFill="1" applyBorder="1" applyAlignment="1" applyProtection="1">
      <alignment horizontal="left" vertical="center"/>
    </xf>
    <xf numFmtId="166" fontId="6" fillId="2" borderId="2" xfId="47" applyFont="1" applyFill="1" applyBorder="1" applyProtection="1"/>
    <xf numFmtId="0" fontId="6" fillId="2" borderId="2" xfId="37" applyFont="1" applyFill="1" applyBorder="1" applyAlignment="1">
      <alignment vertical="center"/>
    </xf>
    <xf numFmtId="0" fontId="64" fillId="2" borderId="2" xfId="37" applyFont="1" applyFill="1" applyBorder="1" applyAlignment="1">
      <alignment horizontal="center" vertical="center"/>
    </xf>
    <xf numFmtId="0" fontId="64" fillId="2" borderId="2" xfId="37" applyFont="1" applyFill="1" applyBorder="1"/>
    <xf numFmtId="0" fontId="7" fillId="2" borderId="2" xfId="37" applyFont="1" applyFill="1" applyBorder="1" applyAlignment="1">
      <alignment horizontal="center" vertical="center"/>
    </xf>
    <xf numFmtId="166" fontId="5" fillId="10" borderId="2" xfId="47" applyFont="1" applyFill="1" applyBorder="1" applyAlignment="1">
      <alignment horizontal="right"/>
    </xf>
    <xf numFmtId="0" fontId="5" fillId="2" borderId="2" xfId="37" applyFont="1" applyFill="1" applyBorder="1" applyAlignment="1">
      <alignment vertical="center"/>
    </xf>
    <xf numFmtId="0" fontId="7" fillId="5" borderId="2" xfId="37" applyFont="1" applyFill="1" applyBorder="1" applyAlignment="1">
      <alignment horizontal="center"/>
    </xf>
    <xf numFmtId="0" fontId="7" fillId="3" borderId="6" xfId="37" applyFont="1" applyFill="1" applyBorder="1" applyAlignment="1">
      <alignment vertical="center"/>
    </xf>
    <xf numFmtId="0" fontId="7" fillId="3" borderId="8" xfId="37" applyFont="1" applyFill="1" applyBorder="1" applyAlignment="1">
      <alignment vertical="center"/>
    </xf>
    <xf numFmtId="166" fontId="5" fillId="3" borderId="2" xfId="47" applyFont="1" applyFill="1" applyBorder="1" applyAlignment="1" applyProtection="1">
      <alignment horizontal="right" vertical="center"/>
    </xf>
    <xf numFmtId="0" fontId="5" fillId="5" borderId="2" xfId="37" applyFont="1" applyFill="1" applyBorder="1" applyAlignment="1">
      <alignment horizontal="center"/>
    </xf>
    <xf numFmtId="0" fontId="5" fillId="4" borderId="2" xfId="37" applyFont="1" applyFill="1" applyBorder="1" applyAlignment="1">
      <alignment horizontal="left" vertical="center"/>
    </xf>
    <xf numFmtId="0" fontId="7" fillId="2" borderId="6" xfId="37" applyFont="1" applyFill="1" applyBorder="1" applyAlignment="1">
      <alignment horizontal="left" vertical="center"/>
    </xf>
    <xf numFmtId="166" fontId="6" fillId="0" borderId="2" xfId="47" applyFont="1" applyBorder="1" applyAlignment="1">
      <alignment horizontal="right"/>
    </xf>
    <xf numFmtId="0" fontId="64" fillId="0" borderId="2" xfId="37" applyFont="1" applyBorder="1" applyAlignment="1">
      <alignment horizontal="left"/>
    </xf>
    <xf numFmtId="0" fontId="6" fillId="0" borderId="2" xfId="37" applyFont="1" applyBorder="1" applyAlignment="1">
      <alignment horizontal="center"/>
    </xf>
    <xf numFmtId="0" fontId="64" fillId="5" borderId="2" xfId="37" applyFont="1" applyFill="1" applyBorder="1" applyAlignment="1">
      <alignment horizontal="center"/>
    </xf>
    <xf numFmtId="0" fontId="5" fillId="0" borderId="2" xfId="37" applyFont="1" applyBorder="1" applyAlignment="1">
      <alignment horizontal="center"/>
    </xf>
    <xf numFmtId="0" fontId="7" fillId="5" borderId="2" xfId="37" applyFont="1" applyFill="1" applyBorder="1" applyAlignment="1">
      <alignment horizontal="left"/>
    </xf>
    <xf numFmtId="0" fontId="64" fillId="5" borderId="2" xfId="37" applyFont="1" applyFill="1" applyBorder="1" applyAlignment="1">
      <alignment horizontal="left"/>
    </xf>
    <xf numFmtId="0" fontId="7" fillId="5" borderId="6" xfId="37" applyFont="1" applyFill="1" applyBorder="1" applyAlignment="1">
      <alignment horizontal="left"/>
    </xf>
    <xf numFmtId="0" fontId="7" fillId="0" borderId="2" xfId="37" applyFont="1" applyBorder="1" applyAlignment="1">
      <alignment horizontal="left"/>
    </xf>
    <xf numFmtId="165" fontId="6" fillId="5" borderId="2" xfId="44" applyFont="1" applyFill="1" applyBorder="1" applyAlignment="1" applyProtection="1">
      <alignment vertical="center" wrapText="1"/>
    </xf>
    <xf numFmtId="165" fontId="6" fillId="5" borderId="2" xfId="37" applyNumberFormat="1" applyFont="1" applyFill="1" applyBorder="1" applyAlignment="1">
      <alignment horizontal="left" vertical="center"/>
    </xf>
    <xf numFmtId="0" fontId="65" fillId="0" borderId="2" xfId="37" applyFont="1" applyBorder="1"/>
    <xf numFmtId="0" fontId="65" fillId="0" borderId="2" xfId="37" applyFont="1" applyBorder="1" applyAlignment="1">
      <alignment horizontal="left"/>
    </xf>
    <xf numFmtId="0" fontId="65" fillId="0" borderId="0" xfId="37" applyFont="1" applyAlignment="1">
      <alignment horizontal="left"/>
    </xf>
    <xf numFmtId="0" fontId="65" fillId="0" borderId="0" xfId="37" applyFont="1" applyAlignment="1">
      <alignment horizontal="left" vertical="top"/>
    </xf>
    <xf numFmtId="0" fontId="65" fillId="0" borderId="0" xfId="37" applyFont="1" applyAlignment="1">
      <alignment vertical="top" wrapText="1"/>
    </xf>
    <xf numFmtId="0" fontId="65" fillId="0" borderId="0" xfId="37" applyFont="1" applyAlignment="1">
      <alignment vertical="top"/>
    </xf>
    <xf numFmtId="0" fontId="65" fillId="0" borderId="0" xfId="37" applyFont="1" applyAlignment="1">
      <alignment horizontal="left" wrapText="1"/>
    </xf>
    <xf numFmtId="0" fontId="65" fillId="0" borderId="0" xfId="37" applyFont="1" applyAlignment="1">
      <alignment horizontal="left" vertical="top" wrapText="1"/>
    </xf>
    <xf numFmtId="0" fontId="70" fillId="30" borderId="57" xfId="37" applyFont="1" applyFill="1" applyBorder="1" applyAlignment="1">
      <alignment horizontal="center" vertical="center"/>
    </xf>
    <xf numFmtId="0" fontId="65" fillId="0" borderId="51" xfId="37" applyFont="1" applyBorder="1"/>
    <xf numFmtId="171" fontId="65" fillId="0" borderId="2" xfId="37" applyNumberFormat="1" applyFont="1" applyBorder="1" applyAlignment="1">
      <alignment horizontal="left"/>
    </xf>
    <xf numFmtId="171" fontId="65" fillId="0" borderId="2" xfId="37" applyNumberFormat="1" applyFont="1" applyBorder="1" applyAlignment="1">
      <alignment horizontal="left" vertical="top"/>
    </xf>
    <xf numFmtId="171" fontId="65" fillId="0" borderId="0" xfId="37" applyNumberFormat="1" applyFont="1" applyAlignment="1">
      <alignment vertical="center" wrapText="1"/>
    </xf>
    <xf numFmtId="0" fontId="65" fillId="0" borderId="57" xfId="37" applyFont="1" applyBorder="1" applyAlignment="1">
      <alignment horizontal="left"/>
    </xf>
    <xf numFmtId="171" fontId="65" fillId="0" borderId="57" xfId="37" applyNumberFormat="1" applyFont="1" applyBorder="1" applyAlignment="1">
      <alignment horizontal="left"/>
    </xf>
    <xf numFmtId="0" fontId="65" fillId="0" borderId="57" xfId="37" applyFont="1" applyBorder="1"/>
    <xf numFmtId="0" fontId="65" fillId="0" borderId="55" xfId="37" applyFont="1" applyBorder="1"/>
    <xf numFmtId="0" fontId="65" fillId="0" borderId="66" xfId="37" applyFont="1" applyBorder="1" applyAlignment="1">
      <alignment horizontal="left"/>
    </xf>
    <xf numFmtId="0" fontId="65" fillId="0" borderId="66" xfId="37" applyFont="1" applyBorder="1"/>
    <xf numFmtId="171" fontId="65" fillId="0" borderId="66" xfId="37" applyNumberFormat="1" applyFont="1" applyBorder="1" applyAlignment="1">
      <alignment horizontal="left"/>
    </xf>
    <xf numFmtId="0" fontId="65" fillId="0" borderId="67" xfId="37" applyFont="1" applyBorder="1"/>
    <xf numFmtId="0" fontId="65" fillId="0" borderId="2" xfId="37" applyFont="1" applyBorder="1" applyAlignment="1">
      <alignment horizontal="left" vertical="top"/>
    </xf>
    <xf numFmtId="0" fontId="65" fillId="0" borderId="2" xfId="37" applyFont="1" applyBorder="1" applyAlignment="1">
      <alignment vertical="top"/>
    </xf>
    <xf numFmtId="0" fontId="65" fillId="0" borderId="51" xfId="37" applyFont="1" applyBorder="1" applyAlignment="1">
      <alignment vertical="top"/>
    </xf>
    <xf numFmtId="171" fontId="65" fillId="0" borderId="2" xfId="37" applyNumberFormat="1" applyFont="1" applyBorder="1"/>
    <xf numFmtId="0" fontId="65" fillId="0" borderId="68" xfId="37" applyFont="1" applyBorder="1" applyAlignment="1">
      <alignment horizontal="left"/>
    </xf>
    <xf numFmtId="171" fontId="65" fillId="0" borderId="57" xfId="37" applyNumberFormat="1" applyFont="1" applyBorder="1" applyAlignment="1">
      <alignment horizontal="left" vertical="top"/>
    </xf>
    <xf numFmtId="171" fontId="65" fillId="0" borderId="53" xfId="49" applyNumberFormat="1" applyFont="1" applyBorder="1" applyAlignment="1">
      <alignment horizontal="left" vertical="top"/>
    </xf>
    <xf numFmtId="171" fontId="65" fillId="0" borderId="57" xfId="37" applyNumberFormat="1" applyFont="1" applyBorder="1"/>
    <xf numFmtId="0" fontId="65" fillId="0" borderId="70" xfId="37" applyFont="1" applyBorder="1" applyAlignment="1">
      <alignment horizontal="left"/>
    </xf>
    <xf numFmtId="0" fontId="65" fillId="0" borderId="66" xfId="37" applyFont="1" applyBorder="1" applyAlignment="1">
      <alignment vertical="top" wrapText="1"/>
    </xf>
    <xf numFmtId="171" fontId="65" fillId="0" borderId="53" xfId="37" applyNumberFormat="1" applyFont="1" applyBorder="1" applyAlignment="1">
      <alignment horizontal="left" vertical="top"/>
    </xf>
    <xf numFmtId="0" fontId="65" fillId="0" borderId="53" xfId="37" applyFont="1" applyBorder="1" applyAlignment="1">
      <alignment vertical="top"/>
    </xf>
    <xf numFmtId="0" fontId="65" fillId="0" borderId="57" xfId="37" applyFont="1" applyBorder="1" applyAlignment="1">
      <alignment vertical="top"/>
    </xf>
    <xf numFmtId="0" fontId="65" fillId="0" borderId="53" xfId="37" applyFont="1" applyBorder="1" applyAlignment="1">
      <alignment vertical="top" wrapText="1"/>
    </xf>
    <xf numFmtId="0" fontId="65" fillId="0" borderId="53" xfId="37" applyFont="1" applyBorder="1" applyAlignment="1">
      <alignment horizontal="left" vertical="top"/>
    </xf>
    <xf numFmtId="0" fontId="65" fillId="0" borderId="53" xfId="37" applyFont="1" applyBorder="1" applyAlignment="1">
      <alignment horizontal="right" vertical="top"/>
    </xf>
    <xf numFmtId="0" fontId="65" fillId="0" borderId="54" xfId="37" applyFont="1" applyBorder="1" applyAlignment="1">
      <alignment vertical="top"/>
    </xf>
    <xf numFmtId="0" fontId="65" fillId="0" borderId="60" xfId="37" applyFont="1" applyBorder="1"/>
    <xf numFmtId="0" fontId="65" fillId="0" borderId="16" xfId="37" applyFont="1" applyBorder="1" applyAlignment="1">
      <alignment horizontal="right" vertical="center"/>
    </xf>
    <xf numFmtId="0" fontId="65" fillId="0" borderId="50" xfId="37" applyFont="1" applyBorder="1" applyAlignment="1">
      <alignment horizontal="right" vertical="center"/>
    </xf>
    <xf numFmtId="0" fontId="65" fillId="0" borderId="71" xfId="49" applyFont="1" applyBorder="1"/>
    <xf numFmtId="0" fontId="65" fillId="0" borderId="71" xfId="49" applyFont="1" applyBorder="1" applyAlignment="1">
      <alignment horizontal="left"/>
    </xf>
    <xf numFmtId="0" fontId="65" fillId="0" borderId="0" xfId="49" applyFont="1" applyAlignment="1">
      <alignment horizontal="left" wrapText="1"/>
    </xf>
    <xf numFmtId="0" fontId="65" fillId="0" borderId="0" xfId="49" applyFont="1" applyAlignment="1">
      <alignment horizontal="left" vertical="top" wrapText="1"/>
    </xf>
    <xf numFmtId="0" fontId="65" fillId="0" borderId="71" xfId="49" applyFont="1" applyBorder="1" applyAlignment="1">
      <alignment horizontal="right"/>
    </xf>
    <xf numFmtId="0" fontId="70" fillId="29" borderId="57" xfId="49" applyFont="1" applyFill="1" applyBorder="1" applyAlignment="1">
      <alignment horizontal="center" vertical="center"/>
    </xf>
    <xf numFmtId="0" fontId="70" fillId="29" borderId="64" xfId="49" applyFont="1" applyFill="1" applyBorder="1" applyAlignment="1">
      <alignment horizontal="center" vertical="center"/>
    </xf>
    <xf numFmtId="0" fontId="65" fillId="0" borderId="53" xfId="49" applyFont="1" applyBorder="1" applyAlignment="1">
      <alignment horizontal="left"/>
    </xf>
    <xf numFmtId="0" fontId="65" fillId="0" borderId="51" xfId="49" applyFont="1" applyBorder="1"/>
    <xf numFmtId="0" fontId="65" fillId="0" borderId="71" xfId="49" applyFont="1" applyBorder="1" applyAlignment="1">
      <alignment wrapText="1"/>
    </xf>
    <xf numFmtId="0" fontId="70" fillId="29" borderId="64" xfId="49" applyFont="1" applyFill="1" applyBorder="1" applyAlignment="1">
      <alignment vertical="center"/>
    </xf>
    <xf numFmtId="171" fontId="65" fillId="0" borderId="0" xfId="49" applyNumberFormat="1" applyFont="1" applyAlignment="1">
      <alignment vertical="center" wrapText="1"/>
    </xf>
    <xf numFmtId="171" fontId="65" fillId="0" borderId="71" xfId="49" applyNumberFormat="1" applyFont="1" applyBorder="1" applyAlignment="1">
      <alignment horizontal="left" vertical="top"/>
    </xf>
    <xf numFmtId="0" fontId="65" fillId="0" borderId="53" xfId="49" applyFont="1" applyBorder="1"/>
    <xf numFmtId="0" fontId="65" fillId="0" borderId="53" xfId="49" applyFont="1" applyBorder="1" applyAlignment="1">
      <alignment horizontal="right"/>
    </xf>
    <xf numFmtId="0" fontId="65" fillId="0" borderId="54" xfId="49" applyFont="1" applyBorder="1"/>
    <xf numFmtId="0" fontId="65" fillId="2" borderId="50" xfId="49" applyFont="1" applyFill="1" applyBorder="1" applyAlignment="1">
      <alignment horizontal="right"/>
    </xf>
    <xf numFmtId="0" fontId="65" fillId="0" borderId="53" xfId="49" applyFont="1" applyBorder="1" applyAlignment="1">
      <alignment wrapText="1"/>
    </xf>
    <xf numFmtId="0" fontId="65" fillId="2" borderId="50" xfId="49" applyFont="1" applyFill="1" applyBorder="1" applyAlignment="1">
      <alignment horizontal="right" vertical="top"/>
    </xf>
    <xf numFmtId="0" fontId="70" fillId="27" borderId="57" xfId="49" applyFont="1" applyFill="1" applyBorder="1" applyAlignment="1">
      <alignment horizontal="center" vertical="center" wrapText="1"/>
    </xf>
    <xf numFmtId="0" fontId="65" fillId="0" borderId="71" xfId="49" applyFont="1" applyBorder="1" applyAlignment="1">
      <alignment horizontal="center"/>
    </xf>
    <xf numFmtId="0" fontId="65" fillId="0" borderId="71" xfId="49" applyFont="1" applyBorder="1" applyAlignment="1">
      <alignment horizontal="left" indent="1"/>
    </xf>
    <xf numFmtId="171" fontId="65" fillId="0" borderId="71" xfId="49" applyNumberFormat="1" applyFont="1" applyBorder="1" applyAlignment="1">
      <alignment horizontal="left"/>
    </xf>
    <xf numFmtId="0" fontId="65" fillId="0" borderId="51" xfId="49" applyFont="1" applyBorder="1" applyAlignment="1">
      <alignment horizontal="left"/>
    </xf>
    <xf numFmtId="171" fontId="65" fillId="0" borderId="53" xfId="49" applyNumberFormat="1" applyFont="1" applyBorder="1" applyAlignment="1">
      <alignment horizontal="left"/>
    </xf>
    <xf numFmtId="0" fontId="65" fillId="0" borderId="54" xfId="49" applyFont="1" applyBorder="1" applyAlignment="1">
      <alignment horizontal="left"/>
    </xf>
    <xf numFmtId="0" fontId="65" fillId="0" borderId="53" xfId="49" applyFont="1" applyBorder="1" applyAlignment="1">
      <alignment horizontal="left" indent="1"/>
    </xf>
    <xf numFmtId="0" fontId="65" fillId="0" borderId="57" xfId="49" applyFont="1" applyBorder="1" applyAlignment="1">
      <alignment horizontal="left"/>
    </xf>
    <xf numFmtId="171" fontId="65" fillId="0" borderId="57" xfId="49" applyNumberFormat="1" applyFont="1" applyBorder="1" applyAlignment="1">
      <alignment horizontal="left"/>
    </xf>
    <xf numFmtId="0" fontId="65" fillId="0" borderId="66" xfId="49" applyFont="1" applyBorder="1" applyAlignment="1">
      <alignment horizontal="left"/>
    </xf>
    <xf numFmtId="0" fontId="65" fillId="0" borderId="57" xfId="49" applyFont="1" applyBorder="1" applyAlignment="1">
      <alignment horizontal="center"/>
    </xf>
    <xf numFmtId="0" fontId="65" fillId="0" borderId="57" xfId="49" applyFont="1" applyBorder="1" applyAlignment="1">
      <alignment horizontal="left" indent="1"/>
    </xf>
    <xf numFmtId="0" fontId="65" fillId="0" borderId="55" xfId="49" applyFont="1" applyBorder="1" applyAlignment="1">
      <alignment horizontal="left"/>
    </xf>
    <xf numFmtId="0" fontId="65" fillId="0" borderId="66" xfId="49" applyFont="1" applyBorder="1" applyAlignment="1">
      <alignment horizontal="left" indent="1"/>
    </xf>
    <xf numFmtId="0" fontId="65" fillId="0" borderId="67" xfId="49" applyFont="1" applyBorder="1" applyAlignment="1">
      <alignment horizontal="left"/>
    </xf>
    <xf numFmtId="0" fontId="65" fillId="0" borderId="53" xfId="49" applyFont="1" applyBorder="1" applyAlignment="1">
      <alignment horizontal="center"/>
    </xf>
    <xf numFmtId="0" fontId="1" fillId="0" borderId="0" xfId="49"/>
    <xf numFmtId="0" fontId="6" fillId="0" borderId="71" xfId="49" applyFont="1" applyBorder="1" applyAlignment="1">
      <alignment wrapText="1"/>
    </xf>
    <xf numFmtId="0" fontId="6" fillId="0" borderId="71" xfId="49" applyFont="1" applyBorder="1" applyAlignment="1">
      <alignment horizontal="center"/>
    </xf>
    <xf numFmtId="0" fontId="64" fillId="0" borderId="71" xfId="49" applyFont="1" applyBorder="1" applyAlignment="1">
      <alignment wrapText="1"/>
    </xf>
    <xf numFmtId="0" fontId="6" fillId="0" borderId="57" xfId="49" applyFont="1" applyBorder="1" applyAlignment="1">
      <alignment wrapText="1"/>
    </xf>
    <xf numFmtId="0" fontId="6" fillId="0" borderId="57" xfId="49" applyFont="1" applyBorder="1" applyAlignment="1">
      <alignment horizontal="center"/>
    </xf>
    <xf numFmtId="0" fontId="6" fillId="0" borderId="71" xfId="49" applyFont="1" applyBorder="1" applyAlignment="1">
      <alignment horizontal="center" vertical="center"/>
    </xf>
    <xf numFmtId="0" fontId="65" fillId="0" borderId="57" xfId="49" applyFont="1" applyBorder="1"/>
    <xf numFmtId="0" fontId="65" fillId="0" borderId="66" xfId="49" applyFont="1" applyBorder="1"/>
    <xf numFmtId="0" fontId="65" fillId="0" borderId="51" xfId="49" applyFont="1" applyBorder="1" applyAlignment="1">
      <alignment horizontal="left" vertical="top"/>
    </xf>
    <xf numFmtId="0" fontId="6" fillId="0" borderId="66" xfId="49" applyFont="1" applyBorder="1" applyAlignment="1">
      <alignment wrapText="1"/>
    </xf>
    <xf numFmtId="0" fontId="6" fillId="0" borderId="66" xfId="49" applyFont="1" applyBorder="1" applyAlignment="1">
      <alignment horizontal="center"/>
    </xf>
    <xf numFmtId="0" fontId="64" fillId="0" borderId="71" xfId="49" applyFont="1" applyBorder="1" applyAlignment="1">
      <alignment vertical="top" wrapText="1"/>
    </xf>
    <xf numFmtId="0" fontId="64" fillId="0" borderId="66" xfId="49" applyFont="1" applyBorder="1" applyAlignment="1">
      <alignment vertical="top" wrapText="1"/>
    </xf>
    <xf numFmtId="0" fontId="65" fillId="2" borderId="50" xfId="49" applyFont="1" applyFill="1" applyBorder="1" applyAlignment="1">
      <alignment vertical="top"/>
    </xf>
    <xf numFmtId="0" fontId="6" fillId="0" borderId="71" xfId="49" applyFont="1" applyBorder="1"/>
    <xf numFmtId="15" fontId="6" fillId="0" borderId="71" xfId="49" applyNumberFormat="1" applyFont="1" applyBorder="1" applyAlignment="1">
      <alignment horizontal="left"/>
    </xf>
    <xf numFmtId="0" fontId="6" fillId="0" borderId="71" xfId="49" applyFont="1" applyBorder="1" applyAlignment="1">
      <alignment horizontal="right"/>
    </xf>
    <xf numFmtId="0" fontId="6" fillId="0" borderId="57" xfId="49" applyFont="1" applyBorder="1"/>
    <xf numFmtId="0" fontId="6" fillId="0" borderId="0" xfId="49" applyFont="1"/>
    <xf numFmtId="15" fontId="6" fillId="0" borderId="57" xfId="49" applyNumberFormat="1" applyFont="1" applyBorder="1" applyAlignment="1">
      <alignment horizontal="left"/>
    </xf>
    <xf numFmtId="0" fontId="6" fillId="0" borderId="57" xfId="49" applyFont="1" applyBorder="1" applyAlignment="1">
      <alignment horizontal="right"/>
    </xf>
    <xf numFmtId="0" fontId="64" fillId="0" borderId="71" xfId="49" applyFont="1" applyBorder="1"/>
    <xf numFmtId="171" fontId="64" fillId="0" borderId="71" xfId="49" applyNumberFormat="1" applyFont="1" applyBorder="1" applyAlignment="1">
      <alignment horizontal="left" vertical="center"/>
    </xf>
    <xf numFmtId="0" fontId="64" fillId="0" borderId="71" xfId="49" applyFont="1" applyBorder="1" applyAlignment="1">
      <alignment horizontal="left"/>
    </xf>
    <xf numFmtId="0" fontId="64" fillId="0" borderId="71" xfId="49" applyFont="1" applyBorder="1" applyAlignment="1">
      <alignment horizontal="center" vertical="center"/>
    </xf>
    <xf numFmtId="0" fontId="6" fillId="0" borderId="66" xfId="49" applyFont="1" applyBorder="1"/>
    <xf numFmtId="15" fontId="6" fillId="0" borderId="66" xfId="49" applyNumberFormat="1" applyFont="1" applyBorder="1" applyAlignment="1">
      <alignment horizontal="left"/>
    </xf>
    <xf numFmtId="0" fontId="6" fillId="0" borderId="66" xfId="49" applyFont="1" applyBorder="1" applyAlignment="1">
      <alignment horizontal="right"/>
    </xf>
    <xf numFmtId="0" fontId="6" fillId="0" borderId="51" xfId="49" applyFont="1" applyBorder="1"/>
    <xf numFmtId="0" fontId="65" fillId="2" borderId="52" xfId="49" applyFont="1" applyFill="1" applyBorder="1" applyAlignment="1">
      <alignment vertical="top"/>
    </xf>
    <xf numFmtId="0" fontId="6" fillId="0" borderId="54" xfId="49" applyFont="1" applyBorder="1"/>
    <xf numFmtId="0" fontId="65" fillId="2" borderId="16" xfId="49" applyFont="1" applyFill="1" applyBorder="1" applyAlignment="1">
      <alignment vertical="top"/>
    </xf>
    <xf numFmtId="15" fontId="6" fillId="0" borderId="60" xfId="49" applyNumberFormat="1" applyFont="1" applyBorder="1" applyAlignment="1">
      <alignment horizontal="left"/>
    </xf>
    <xf numFmtId="0" fontId="6" fillId="0" borderId="60" xfId="49" applyFont="1" applyBorder="1"/>
    <xf numFmtId="0" fontId="6" fillId="0" borderId="60" xfId="49" applyFont="1" applyBorder="1" applyAlignment="1">
      <alignment horizontal="right"/>
    </xf>
    <xf numFmtId="0" fontId="6" fillId="0" borderId="67" xfId="49" applyFont="1" applyBorder="1"/>
    <xf numFmtId="171" fontId="64" fillId="0" borderId="71" xfId="49" applyNumberFormat="1" applyFont="1" applyBorder="1" applyAlignment="1">
      <alignment horizontal="left" vertical="top"/>
    </xf>
    <xf numFmtId="0" fontId="64" fillId="0" borderId="71" xfId="49" applyFont="1" applyBorder="1" applyAlignment="1">
      <alignment horizontal="left" vertical="top"/>
    </xf>
    <xf numFmtId="0" fontId="64" fillId="0" borderId="71" xfId="49" applyFont="1" applyBorder="1" applyAlignment="1">
      <alignment horizontal="center" vertical="top"/>
    </xf>
    <xf numFmtId="0" fontId="64" fillId="0" borderId="71" xfId="49" applyFont="1" applyBorder="1" applyAlignment="1">
      <alignment vertical="top"/>
    </xf>
    <xf numFmtId="171" fontId="64" fillId="0" borderId="66" xfId="49" applyNumberFormat="1" applyFont="1" applyBorder="1" applyAlignment="1">
      <alignment horizontal="left" vertical="top"/>
    </xf>
    <xf numFmtId="0" fontId="64" fillId="0" borderId="66" xfId="49" applyFont="1" applyBorder="1" applyAlignment="1">
      <alignment horizontal="left" vertical="top"/>
    </xf>
    <xf numFmtId="0" fontId="64" fillId="0" borderId="66" xfId="49" applyFont="1" applyBorder="1" applyAlignment="1">
      <alignment horizontal="center" vertical="top"/>
    </xf>
    <xf numFmtId="0" fontId="64" fillId="0" borderId="66" xfId="49" applyFont="1" applyBorder="1" applyAlignment="1">
      <alignment vertical="top"/>
    </xf>
    <xf numFmtId="171" fontId="64" fillId="0" borderId="53" xfId="49" applyNumberFormat="1" applyFont="1" applyBorder="1" applyAlignment="1">
      <alignment horizontal="left" vertical="top"/>
    </xf>
    <xf numFmtId="0" fontId="64" fillId="0" borderId="53" xfId="49" applyFont="1" applyBorder="1" applyAlignment="1">
      <alignment horizontal="left" vertical="top"/>
    </xf>
    <xf numFmtId="0" fontId="64" fillId="0" borderId="53" xfId="49" applyFont="1" applyBorder="1" applyAlignment="1">
      <alignment vertical="top" wrapText="1"/>
    </xf>
    <xf numFmtId="0" fontId="64" fillId="0" borderId="53" xfId="49" applyFont="1" applyBorder="1" applyAlignment="1">
      <alignment horizontal="center" vertical="top"/>
    </xf>
    <xf numFmtId="0" fontId="64" fillId="0" borderId="53" xfId="49" applyFont="1" applyBorder="1" applyAlignment="1">
      <alignment vertical="top"/>
    </xf>
    <xf numFmtId="0" fontId="64" fillId="0" borderId="0" xfId="49" applyFont="1"/>
    <xf numFmtId="0" fontId="64" fillId="0" borderId="0" xfId="49" applyFont="1" applyAlignment="1">
      <alignment wrapText="1"/>
    </xf>
    <xf numFmtId="0" fontId="1" fillId="0" borderId="0" xfId="49" applyAlignment="1">
      <alignment horizontal="center" vertical="center"/>
    </xf>
    <xf numFmtId="0" fontId="7" fillId="30" borderId="46" xfId="49" applyFont="1" applyFill="1" applyBorder="1" applyAlignment="1">
      <alignment horizontal="center" vertical="center"/>
    </xf>
    <xf numFmtId="0" fontId="7" fillId="30" borderId="47" xfId="49" applyFont="1" applyFill="1" applyBorder="1" applyAlignment="1">
      <alignment horizontal="center" vertical="center"/>
    </xf>
    <xf numFmtId="0" fontId="64" fillId="0" borderId="69" xfId="49" applyFont="1" applyBorder="1" applyAlignment="1">
      <alignment vertical="top"/>
    </xf>
    <xf numFmtId="0" fontId="64" fillId="0" borderId="71" xfId="49" applyFont="1" applyBorder="1" applyAlignment="1">
      <alignment horizontal="left" vertical="center"/>
    </xf>
    <xf numFmtId="0" fontId="64" fillId="0" borderId="51" xfId="49" applyFont="1" applyBorder="1"/>
    <xf numFmtId="171" fontId="64" fillId="0" borderId="57" xfId="49" applyNumberFormat="1" applyFont="1" applyBorder="1" applyAlignment="1">
      <alignment horizontal="left" vertical="center"/>
    </xf>
    <xf numFmtId="0" fontId="64" fillId="0" borderId="57" xfId="49" applyFont="1" applyBorder="1" applyAlignment="1">
      <alignment horizontal="left" vertical="center"/>
    </xf>
    <xf numFmtId="0" fontId="64" fillId="0" borderId="57" xfId="49" applyFont="1" applyBorder="1" applyAlignment="1">
      <alignment horizontal="left"/>
    </xf>
    <xf numFmtId="0" fontId="64" fillId="0" borderId="57" xfId="49" applyFont="1" applyBorder="1" applyAlignment="1">
      <alignment wrapText="1"/>
    </xf>
    <xf numFmtId="0" fontId="64" fillId="0" borderId="57" xfId="49" applyFont="1" applyBorder="1" applyAlignment="1">
      <alignment horizontal="center" vertical="center"/>
    </xf>
    <xf numFmtId="0" fontId="64" fillId="0" borderId="57" xfId="49" applyFont="1" applyBorder="1"/>
    <xf numFmtId="0" fontId="64" fillId="0" borderId="55" xfId="49" applyFont="1" applyBorder="1"/>
    <xf numFmtId="0" fontId="64" fillId="0" borderId="66" xfId="49" applyFont="1" applyBorder="1"/>
    <xf numFmtId="171" fontId="64" fillId="0" borderId="66" xfId="49" applyNumberFormat="1" applyFont="1" applyBorder="1" applyAlignment="1">
      <alignment horizontal="left" vertical="center"/>
    </xf>
    <xf numFmtId="0" fontId="64" fillId="0" borderId="66" xfId="49" applyFont="1" applyBorder="1" applyAlignment="1">
      <alignment horizontal="left" vertical="center"/>
    </xf>
    <xf numFmtId="0" fontId="64" fillId="0" borderId="66" xfId="49" applyFont="1" applyBorder="1" applyAlignment="1">
      <alignment horizontal="left"/>
    </xf>
    <xf numFmtId="0" fontId="64" fillId="0" borderId="66" xfId="49" applyFont="1" applyBorder="1" applyAlignment="1">
      <alignment wrapText="1"/>
    </xf>
    <xf numFmtId="0" fontId="64" fillId="0" borderId="66" xfId="49" applyFont="1" applyBorder="1" applyAlignment="1">
      <alignment horizontal="center" vertical="center"/>
    </xf>
    <xf numFmtId="0" fontId="64" fillId="0" borderId="67" xfId="49" applyFont="1" applyBorder="1"/>
    <xf numFmtId="0" fontId="65" fillId="0" borderId="66" xfId="37" applyFont="1" applyBorder="1" applyAlignment="1">
      <alignment horizontal="center" vertical="center"/>
    </xf>
    <xf numFmtId="0" fontId="65" fillId="0" borderId="2" xfId="37" applyFont="1" applyBorder="1" applyAlignment="1">
      <alignment horizontal="center" vertical="center"/>
    </xf>
    <xf numFmtId="0" fontId="65" fillId="0" borderId="57" xfId="37" applyFont="1" applyBorder="1" applyAlignment="1">
      <alignment horizontal="center" vertical="center"/>
    </xf>
    <xf numFmtId="0" fontId="1" fillId="0" borderId="2" xfId="37" applyBorder="1" applyAlignment="1">
      <alignment horizontal="center" vertical="center"/>
    </xf>
    <xf numFmtId="0" fontId="65" fillId="0" borderId="53" xfId="49" applyFont="1" applyBorder="1" applyAlignment="1">
      <alignment horizontal="center" vertical="center"/>
    </xf>
    <xf numFmtId="0" fontId="65" fillId="0" borderId="71" xfId="49" applyFont="1" applyBorder="1" applyAlignment="1">
      <alignment horizontal="center" vertical="center"/>
    </xf>
    <xf numFmtId="0" fontId="65" fillId="0" borderId="57" xfId="49" applyFont="1" applyBorder="1" applyAlignment="1">
      <alignment horizontal="center" vertical="center"/>
    </xf>
    <xf numFmtId="0" fontId="65" fillId="0" borderId="66" xfId="49" applyFont="1" applyBorder="1" applyAlignment="1">
      <alignment horizontal="center" vertical="center"/>
    </xf>
    <xf numFmtId="0" fontId="6" fillId="0" borderId="57" xfId="49" applyFont="1" applyBorder="1" applyAlignment="1">
      <alignment horizontal="center" vertical="center"/>
    </xf>
    <xf numFmtId="0" fontId="6" fillId="0" borderId="66" xfId="49" applyFont="1" applyBorder="1" applyAlignment="1">
      <alignment horizontal="center" vertical="center"/>
    </xf>
    <xf numFmtId="0" fontId="6" fillId="0" borderId="60" xfId="49" applyFont="1" applyBorder="1" applyAlignment="1">
      <alignment horizontal="center" vertical="center"/>
    </xf>
    <xf numFmtId="0" fontId="64" fillId="0" borderId="53" xfId="49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31" borderId="71" xfId="0" applyFont="1" applyFill="1" applyBorder="1" applyAlignment="1">
      <alignment horizontal="center"/>
    </xf>
    <xf numFmtId="0" fontId="0" fillId="0" borderId="71" xfId="0" applyBorder="1"/>
    <xf numFmtId="164" fontId="41" fillId="0" borderId="71" xfId="0" applyNumberFormat="1" applyFont="1" applyBorder="1"/>
    <xf numFmtId="164" fontId="0" fillId="0" borderId="71" xfId="0" applyNumberFormat="1" applyBorder="1"/>
    <xf numFmtId="0" fontId="4" fillId="0" borderId="71" xfId="0" applyFont="1" applyBorder="1"/>
    <xf numFmtId="164" fontId="41" fillId="32" borderId="71" xfId="0" applyNumberFormat="1" applyFont="1" applyFill="1" applyBorder="1"/>
    <xf numFmtId="164" fontId="41" fillId="33" borderId="71" xfId="0" applyNumberFormat="1" applyFont="1" applyFill="1" applyBorder="1"/>
    <xf numFmtId="0" fontId="41" fillId="21" borderId="71" xfId="0" applyFont="1" applyFill="1" applyBorder="1"/>
    <xf numFmtId="0" fontId="4" fillId="32" borderId="71" xfId="0" applyFont="1" applyFill="1" applyBorder="1"/>
    <xf numFmtId="0" fontId="41" fillId="28" borderId="71" xfId="0" applyFont="1" applyFill="1" applyBorder="1"/>
    <xf numFmtId="0" fontId="4" fillId="33" borderId="71" xfId="0" applyFont="1" applyFill="1" applyBorder="1"/>
    <xf numFmtId="0" fontId="41" fillId="22" borderId="71" xfId="0" applyFont="1" applyFill="1" applyBorder="1"/>
    <xf numFmtId="0" fontId="41" fillId="0" borderId="71" xfId="0" applyFont="1" applyBorder="1"/>
    <xf numFmtId="0" fontId="1" fillId="34" borderId="71" xfId="0" applyFont="1" applyFill="1" applyBorder="1"/>
    <xf numFmtId="164" fontId="24" fillId="34" borderId="71" xfId="0" applyNumberFormat="1" applyFont="1" applyFill="1" applyBorder="1"/>
    <xf numFmtId="164" fontId="1" fillId="34" borderId="71" xfId="0" applyNumberFormat="1" applyFont="1" applyFill="1" applyBorder="1"/>
    <xf numFmtId="0" fontId="4" fillId="35" borderId="71" xfId="0" applyFont="1" applyFill="1" applyBorder="1"/>
    <xf numFmtId="164" fontId="41" fillId="35" borderId="71" xfId="0" applyNumberFormat="1" applyFont="1" applyFill="1" applyBorder="1"/>
    <xf numFmtId="0" fontId="41" fillId="9" borderId="71" xfId="0" applyFont="1" applyFill="1" applyBorder="1"/>
    <xf numFmtId="0" fontId="4" fillId="9" borderId="71" xfId="0" applyFont="1" applyFill="1" applyBorder="1"/>
    <xf numFmtId="164" fontId="41" fillId="9" borderId="71" xfId="0" applyNumberFormat="1" applyFont="1" applyFill="1" applyBorder="1"/>
    <xf numFmtId="0" fontId="0" fillId="3" borderId="71" xfId="0" applyFill="1" applyBorder="1"/>
    <xf numFmtId="0" fontId="41" fillId="31" borderId="71" xfId="0" applyFont="1" applyFill="1" applyBorder="1"/>
    <xf numFmtId="164" fontId="41" fillId="31" borderId="71" xfId="0" applyNumberFormat="1" applyFont="1" applyFill="1" applyBorder="1"/>
    <xf numFmtId="164" fontId="0" fillId="0" borderId="0" xfId="0" applyNumberFormat="1"/>
    <xf numFmtId="0" fontId="4" fillId="36" borderId="71" xfId="0" applyFont="1" applyFill="1" applyBorder="1"/>
    <xf numFmtId="164" fontId="41" fillId="36" borderId="71" xfId="0" applyNumberFormat="1" applyFont="1" applyFill="1" applyBorder="1"/>
    <xf numFmtId="0" fontId="4" fillId="28" borderId="71" xfId="0" applyFont="1" applyFill="1" applyBorder="1"/>
    <xf numFmtId="164" fontId="41" fillId="28" borderId="71" xfId="0" applyNumberFormat="1" applyFont="1" applyFill="1" applyBorder="1"/>
    <xf numFmtId="3" fontId="0" fillId="0" borderId="0" xfId="0" applyNumberFormat="1"/>
    <xf numFmtId="0" fontId="35" fillId="0" borderId="0" xfId="0" applyFont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45" fillId="28" borderId="71" xfId="49" applyFont="1" applyFill="1" applyBorder="1" applyAlignment="1">
      <alignment horizontal="center" vertical="center"/>
    </xf>
    <xf numFmtId="172" fontId="45" fillId="28" borderId="71" xfId="49" applyNumberFormat="1" applyFont="1" applyFill="1" applyBorder="1" applyAlignment="1">
      <alignment horizontal="center" vertical="center"/>
    </xf>
    <xf numFmtId="172" fontId="45" fillId="28" borderId="71" xfId="49" applyNumberFormat="1" applyFont="1" applyFill="1" applyBorder="1" applyAlignment="1">
      <alignment horizontal="center" vertical="center" wrapText="1"/>
    </xf>
    <xf numFmtId="1" fontId="72" fillId="28" borderId="71" xfId="52" applyNumberFormat="1" applyFont="1" applyFill="1" applyBorder="1" applyAlignment="1">
      <alignment horizontal="center" vertical="center"/>
    </xf>
    <xf numFmtId="0" fontId="72" fillId="28" borderId="71" xfId="49" applyFont="1" applyFill="1" applyBorder="1" applyAlignment="1">
      <alignment horizontal="center" vertical="center" wrapText="1"/>
    </xf>
    <xf numFmtId="0" fontId="45" fillId="37" borderId="71" xfId="49" applyFont="1" applyFill="1" applyBorder="1" applyAlignment="1">
      <alignment horizontal="center" vertical="center" wrapText="1"/>
    </xf>
    <xf numFmtId="165" fontId="45" fillId="37" borderId="71" xfId="52" applyFont="1" applyFill="1" applyBorder="1" applyAlignment="1">
      <alignment horizontal="center" vertical="center" wrapText="1"/>
    </xf>
    <xf numFmtId="0" fontId="73" fillId="37" borderId="71" xfId="49" applyFont="1" applyFill="1" applyBorder="1" applyAlignment="1">
      <alignment horizontal="center" vertical="center" wrapText="1"/>
    </xf>
    <xf numFmtId="173" fontId="27" fillId="0" borderId="71" xfId="49" applyNumberFormat="1" applyFont="1" applyBorder="1" applyAlignment="1">
      <alignment horizontal="left" vertical="center"/>
    </xf>
    <xf numFmtId="0" fontId="27" fillId="0" borderId="71" xfId="49" applyFont="1" applyBorder="1" applyAlignment="1">
      <alignment horizontal="left" vertical="center"/>
    </xf>
    <xf numFmtId="0" fontId="19" fillId="0" borderId="71" xfId="49" applyFont="1" applyBorder="1" applyAlignment="1">
      <alignment horizontal="left" vertical="center"/>
    </xf>
    <xf numFmtId="172" fontId="27" fillId="0" borderId="71" xfId="49" applyNumberFormat="1" applyFont="1" applyBorder="1" applyAlignment="1">
      <alignment horizontal="left" vertical="center"/>
    </xf>
    <xf numFmtId="1" fontId="27" fillId="0" borderId="71" xfId="49" applyNumberFormat="1" applyFont="1" applyBorder="1" applyAlignment="1">
      <alignment horizontal="left" vertical="center"/>
    </xf>
    <xf numFmtId="2" fontId="27" fillId="0" borderId="71" xfId="49" applyNumberFormat="1" applyFont="1" applyBorder="1" applyAlignment="1">
      <alignment horizontal="left" vertical="center"/>
    </xf>
    <xf numFmtId="166" fontId="27" fillId="0" borderId="71" xfId="51" applyFont="1" applyBorder="1" applyAlignment="1" applyProtection="1">
      <alignment horizontal="left" vertical="center"/>
    </xf>
    <xf numFmtId="2" fontId="27" fillId="0" borderId="71" xfId="51" applyNumberFormat="1" applyFont="1" applyBorder="1" applyAlignment="1">
      <alignment horizontal="left" vertical="center"/>
    </xf>
    <xf numFmtId="165" fontId="27" fillId="0" borderId="71" xfId="52" applyFont="1" applyBorder="1" applyAlignment="1">
      <alignment horizontal="left" vertical="center"/>
    </xf>
    <xf numFmtId="1" fontId="27" fillId="0" borderId="71" xfId="52" applyNumberFormat="1" applyFont="1" applyBorder="1" applyAlignment="1">
      <alignment horizontal="left" vertical="center"/>
    </xf>
    <xf numFmtId="0" fontId="1" fillId="0" borderId="71" xfId="49" applyBorder="1" applyAlignment="1">
      <alignment horizontal="left" vertical="center"/>
    </xf>
    <xf numFmtId="1" fontId="1" fillId="0" borderId="71" xfId="52" applyNumberFormat="1" applyFont="1" applyBorder="1" applyAlignment="1">
      <alignment horizontal="left" vertical="center"/>
    </xf>
    <xf numFmtId="165" fontId="1" fillId="0" borderId="71" xfId="52" applyFont="1" applyBorder="1" applyAlignment="1">
      <alignment horizontal="left" vertical="center"/>
    </xf>
    <xf numFmtId="0" fontId="1" fillId="0" borderId="68" xfId="49" applyBorder="1" applyAlignment="1">
      <alignment horizontal="left" vertical="center"/>
    </xf>
    <xf numFmtId="0" fontId="1" fillId="0" borderId="57" xfId="49" applyBorder="1" applyAlignment="1">
      <alignment horizontal="left" vertical="center"/>
    </xf>
    <xf numFmtId="172" fontId="27" fillId="0" borderId="57" xfId="49" applyNumberFormat="1" applyFont="1" applyBorder="1" applyAlignment="1">
      <alignment horizontal="left" vertical="center"/>
    </xf>
    <xf numFmtId="1" fontId="27" fillId="0" borderId="57" xfId="49" applyNumberFormat="1" applyFont="1" applyBorder="1" applyAlignment="1">
      <alignment horizontal="left" vertical="center"/>
    </xf>
    <xf numFmtId="0" fontId="27" fillId="0" borderId="57" xfId="49" applyFont="1" applyBorder="1" applyAlignment="1">
      <alignment horizontal="left" vertical="center"/>
    </xf>
    <xf numFmtId="2" fontId="27" fillId="0" borderId="57" xfId="49" applyNumberFormat="1" applyFont="1" applyBorder="1" applyAlignment="1">
      <alignment horizontal="left" vertical="center"/>
    </xf>
    <xf numFmtId="166" fontId="27" fillId="0" borderId="57" xfId="51" applyFont="1" applyBorder="1" applyAlignment="1" applyProtection="1">
      <alignment horizontal="left" vertical="center"/>
    </xf>
    <xf numFmtId="1" fontId="1" fillId="0" borderId="57" xfId="52" applyNumberFormat="1" applyFont="1" applyBorder="1" applyAlignment="1">
      <alignment horizontal="left" vertical="center"/>
    </xf>
    <xf numFmtId="165" fontId="1" fillId="0" borderId="57" xfId="52" applyFont="1" applyBorder="1" applyAlignment="1">
      <alignment horizontal="left" vertical="center"/>
    </xf>
    <xf numFmtId="1" fontId="27" fillId="0" borderId="57" xfId="52" applyNumberFormat="1" applyFont="1" applyBorder="1" applyAlignment="1">
      <alignment horizontal="left" vertical="center"/>
    </xf>
    <xf numFmtId="165" fontId="27" fillId="0" borderId="57" xfId="52" applyFont="1" applyBorder="1" applyAlignment="1">
      <alignment horizontal="left" vertical="center"/>
    </xf>
    <xf numFmtId="0" fontId="1" fillId="0" borderId="71" xfId="49" applyBorder="1"/>
    <xf numFmtId="1" fontId="1" fillId="0" borderId="71" xfId="52" applyNumberFormat="1" applyFont="1" applyBorder="1"/>
    <xf numFmtId="165" fontId="1" fillId="0" borderId="71" xfId="52" applyFont="1" applyBorder="1"/>
    <xf numFmtId="0" fontId="4" fillId="3" borderId="71" xfId="49" applyFont="1" applyFill="1" applyBorder="1"/>
    <xf numFmtId="0" fontId="1" fillId="3" borderId="71" xfId="49" applyFill="1" applyBorder="1"/>
    <xf numFmtId="0" fontId="1" fillId="0" borderId="0" xfId="0" applyFont="1"/>
    <xf numFmtId="166" fontId="4" fillId="15" borderId="2" xfId="1" applyFont="1" applyFill="1" applyBorder="1" applyAlignment="1">
      <alignment horizontal="right" vertical="center"/>
    </xf>
    <xf numFmtId="0" fontId="9" fillId="13" borderId="1" xfId="9" applyFont="1" applyFill="1" applyBorder="1" applyAlignment="1">
      <alignment horizontal="center" vertical="center"/>
    </xf>
    <xf numFmtId="0" fontId="9" fillId="0" borderId="71" xfId="0" applyFont="1" applyBorder="1" applyAlignment="1">
      <alignment horizontal="left"/>
    </xf>
    <xf numFmtId="0" fontId="11" fillId="17" borderId="28" xfId="0" applyFont="1" applyFill="1" applyBorder="1" applyAlignment="1">
      <alignment horizontal="left" vertical="center"/>
    </xf>
    <xf numFmtId="0" fontId="25" fillId="0" borderId="24" xfId="9" applyFont="1" applyBorder="1" applyAlignment="1">
      <alignment horizontal="justify" vertical="center" wrapText="1"/>
    </xf>
    <xf numFmtId="0" fontId="25" fillId="19" borderId="7" xfId="9" applyFont="1" applyFill="1" applyBorder="1" applyAlignment="1">
      <alignment horizontal="left" vertical="center"/>
    </xf>
    <xf numFmtId="0" fontId="25" fillId="20" borderId="8" xfId="9" applyFont="1" applyFill="1" applyBorder="1" applyAlignment="1">
      <alignment horizontal="left" vertical="center"/>
    </xf>
    <xf numFmtId="166" fontId="12" fillId="13" borderId="24" xfId="1" applyFont="1" applyFill="1" applyBorder="1" applyAlignment="1">
      <alignment horizontal="right"/>
    </xf>
    <xf numFmtId="0" fontId="50" fillId="24" borderId="6" xfId="0" applyFont="1" applyFill="1" applyBorder="1" applyAlignment="1">
      <alignment horizontal="center" vertical="center"/>
    </xf>
    <xf numFmtId="0" fontId="50" fillId="24" borderId="8" xfId="0" applyFont="1" applyFill="1" applyBorder="1" applyAlignment="1">
      <alignment horizontal="center" vertical="center"/>
    </xf>
    <xf numFmtId="0" fontId="50" fillId="24" borderId="7" xfId="0" applyFont="1" applyFill="1" applyBorder="1" applyAlignment="1">
      <alignment horizontal="center" vertical="center"/>
    </xf>
    <xf numFmtId="0" fontId="6" fillId="2" borderId="3" xfId="37" applyFont="1" applyFill="1" applyBorder="1" applyAlignment="1">
      <alignment horizontal="center" vertical="center"/>
    </xf>
    <xf numFmtId="0" fontId="6" fillId="2" borderId="4" xfId="37" applyFont="1" applyFill="1" applyBorder="1" applyAlignment="1">
      <alignment horizontal="center" vertical="center"/>
    </xf>
    <xf numFmtId="0" fontId="6" fillId="2" borderId="5" xfId="37" applyFont="1" applyFill="1" applyBorder="1" applyAlignment="1">
      <alignment horizontal="center" vertical="center"/>
    </xf>
    <xf numFmtId="0" fontId="6" fillId="0" borderId="3" xfId="37" applyFont="1" applyBorder="1" applyAlignment="1">
      <alignment horizontal="center" vertical="center"/>
    </xf>
    <xf numFmtId="0" fontId="6" fillId="0" borderId="5" xfId="37" applyFont="1" applyBorder="1" applyAlignment="1">
      <alignment horizontal="center" vertical="center"/>
    </xf>
    <xf numFmtId="0" fontId="6" fillId="0" borderId="4" xfId="37" applyFont="1" applyBorder="1" applyAlignment="1">
      <alignment horizontal="center" vertical="center"/>
    </xf>
    <xf numFmtId="0" fontId="6" fillId="0" borderId="41" xfId="37" applyFont="1" applyBorder="1" applyAlignment="1">
      <alignment horizontal="center" vertical="center"/>
    </xf>
    <xf numFmtId="0" fontId="6" fillId="0" borderId="42" xfId="37" applyFont="1" applyBorder="1" applyAlignment="1">
      <alignment horizontal="center" vertical="center"/>
    </xf>
    <xf numFmtId="0" fontId="6" fillId="0" borderId="43" xfId="37" applyFont="1" applyBorder="1" applyAlignment="1">
      <alignment horizontal="center" vertical="center"/>
    </xf>
    <xf numFmtId="167" fontId="61" fillId="0" borderId="2" xfId="36" applyNumberFormat="1" applyFont="1" applyBorder="1" applyAlignment="1">
      <alignment horizontal="center" vertical="center"/>
    </xf>
    <xf numFmtId="167" fontId="61" fillId="0" borderId="3" xfId="36" applyNumberFormat="1" applyFont="1" applyBorder="1" applyAlignment="1" applyProtection="1">
      <alignment horizontal="right" vertical="center"/>
    </xf>
    <xf numFmtId="167" fontId="61" fillId="0" borderId="18" xfId="36" applyNumberFormat="1" applyFont="1" applyBorder="1" applyAlignment="1" applyProtection="1">
      <alignment horizontal="right" vertical="center"/>
    </xf>
    <xf numFmtId="0" fontId="61" fillId="0" borderId="14" xfId="0" applyFont="1" applyBorder="1" applyAlignment="1">
      <alignment horizontal="center" vertical="center"/>
    </xf>
    <xf numFmtId="0" fontId="61" fillId="0" borderId="1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9" fillId="0" borderId="30" xfId="0" applyFont="1" applyBorder="1"/>
    <xf numFmtId="0" fontId="10" fillId="0" borderId="1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26" xfId="0" applyFont="1" applyBorder="1"/>
    <xf numFmtId="0" fontId="12" fillId="0" borderId="5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left" vertical="center" wrapText="1"/>
    </xf>
    <xf numFmtId="0" fontId="35" fillId="3" borderId="7" xfId="0" applyFont="1" applyFill="1" applyBorder="1" applyAlignment="1">
      <alignment horizontal="left" vertical="center" wrapText="1"/>
    </xf>
    <xf numFmtId="0" fontId="34" fillId="23" borderId="21" xfId="0" applyFont="1" applyFill="1" applyBorder="1" applyAlignment="1">
      <alignment horizontal="left" vertical="center" wrapText="1"/>
    </xf>
    <xf numFmtId="0" fontId="34" fillId="23" borderId="22" xfId="0" applyFont="1" applyFill="1" applyBorder="1" applyAlignment="1">
      <alignment horizontal="left" vertical="center" wrapText="1"/>
    </xf>
    <xf numFmtId="0" fontId="34" fillId="23" borderId="19" xfId="0" applyFont="1" applyFill="1" applyBorder="1" applyAlignment="1">
      <alignment horizontal="left" vertical="center" wrapText="1"/>
    </xf>
    <xf numFmtId="0" fontId="35" fillId="2" borderId="21" xfId="0" applyFont="1" applyFill="1" applyBorder="1" applyAlignment="1">
      <alignment horizontal="center" vertical="center" wrapText="1"/>
    </xf>
    <xf numFmtId="0" fontId="35" fillId="2" borderId="22" xfId="0" applyFont="1" applyFill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 wrapText="1"/>
    </xf>
    <xf numFmtId="0" fontId="49" fillId="2" borderId="21" xfId="9" applyFont="1" applyFill="1" applyBorder="1">
      <alignment vertical="center"/>
    </xf>
    <xf numFmtId="0" fontId="49" fillId="2" borderId="22" xfId="9" applyFont="1" applyFill="1" applyBorder="1">
      <alignment vertical="center"/>
    </xf>
    <xf numFmtId="0" fontId="34" fillId="23" borderId="21" xfId="0" applyFont="1" applyFill="1" applyBorder="1" applyAlignment="1">
      <alignment horizontal="center" vertical="center" wrapText="1"/>
    </xf>
    <xf numFmtId="0" fontId="34" fillId="23" borderId="22" xfId="0" applyFont="1" applyFill="1" applyBorder="1" applyAlignment="1">
      <alignment horizontal="center" vertical="center" wrapText="1"/>
    </xf>
    <xf numFmtId="0" fontId="34" fillId="23" borderId="19" xfId="0" applyFont="1" applyFill="1" applyBorder="1" applyAlignment="1">
      <alignment horizontal="center" vertical="center" wrapText="1"/>
    </xf>
    <xf numFmtId="0" fontId="49" fillId="2" borderId="21" xfId="9" applyFont="1" applyFill="1" applyBorder="1" applyAlignment="1">
      <alignment horizontal="center" vertical="center"/>
    </xf>
    <xf numFmtId="0" fontId="49" fillId="2" borderId="22" xfId="9" applyFont="1" applyFill="1" applyBorder="1" applyAlignment="1">
      <alignment horizontal="center" vertical="center"/>
    </xf>
    <xf numFmtId="0" fontId="44" fillId="0" borderId="0" xfId="25" applyFont="1" applyAlignment="1">
      <alignment horizontal="center"/>
    </xf>
    <xf numFmtId="0" fontId="47" fillId="3" borderId="3" xfId="0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center" vertical="center"/>
    </xf>
    <xf numFmtId="0" fontId="47" fillId="3" borderId="6" xfId="0" applyFont="1" applyFill="1" applyBorder="1" applyAlignment="1">
      <alignment horizontal="distributed" vertical="center"/>
    </xf>
    <xf numFmtId="0" fontId="47" fillId="3" borderId="8" xfId="0" applyFont="1" applyFill="1" applyBorder="1" applyAlignment="1">
      <alignment horizontal="distributed" vertical="center"/>
    </xf>
    <xf numFmtId="0" fontId="47" fillId="3" borderId="7" xfId="0" applyFont="1" applyFill="1" applyBorder="1" applyAlignment="1">
      <alignment horizontal="distributed" vertical="center"/>
    </xf>
    <xf numFmtId="0" fontId="47" fillId="3" borderId="4" xfId="0" applyFont="1" applyFill="1" applyBorder="1" applyAlignment="1">
      <alignment horizontal="center" vertical="center"/>
    </xf>
    <xf numFmtId="0" fontId="70" fillId="0" borderId="65" xfId="49" applyFont="1" applyBorder="1" applyAlignment="1">
      <alignment horizontal="left" vertical="center" wrapText="1"/>
    </xf>
    <xf numFmtId="0" fontId="7" fillId="30" borderId="62" xfId="49" applyFont="1" applyFill="1" applyBorder="1" applyAlignment="1">
      <alignment horizontal="center" vertical="center"/>
    </xf>
    <xf numFmtId="0" fontId="7" fillId="30" borderId="54" xfId="49" applyFont="1" applyFill="1" applyBorder="1" applyAlignment="1">
      <alignment horizontal="center" vertical="center"/>
    </xf>
    <xf numFmtId="0" fontId="7" fillId="30" borderId="58" xfId="49" applyFont="1" applyFill="1" applyBorder="1" applyAlignment="1">
      <alignment horizontal="center" vertical="center"/>
    </xf>
    <xf numFmtId="0" fontId="7" fillId="30" borderId="45" xfId="49" applyFont="1" applyFill="1" applyBorder="1" applyAlignment="1">
      <alignment horizontal="center" vertical="center"/>
    </xf>
    <xf numFmtId="0" fontId="7" fillId="30" borderId="59" xfId="49" applyFont="1" applyFill="1" applyBorder="1" applyAlignment="1">
      <alignment horizontal="center" vertical="center"/>
    </xf>
    <xf numFmtId="0" fontId="7" fillId="30" borderId="46" xfId="49" applyFont="1" applyFill="1" applyBorder="1" applyAlignment="1">
      <alignment horizontal="center" vertical="center"/>
    </xf>
    <xf numFmtId="0" fontId="7" fillId="30" borderId="59" xfId="49" applyFont="1" applyFill="1" applyBorder="1" applyAlignment="1">
      <alignment horizontal="center" vertical="center" wrapText="1"/>
    </xf>
    <xf numFmtId="0" fontId="7" fillId="30" borderId="46" xfId="49" applyFont="1" applyFill="1" applyBorder="1" applyAlignment="1">
      <alignment horizontal="center" vertical="center" wrapText="1"/>
    </xf>
    <xf numFmtId="171" fontId="7" fillId="30" borderId="59" xfId="49" applyNumberFormat="1" applyFont="1" applyFill="1" applyBorder="1" applyAlignment="1">
      <alignment horizontal="center" vertical="center" wrapText="1"/>
    </xf>
    <xf numFmtId="171" fontId="7" fillId="30" borderId="46" xfId="49" applyNumberFormat="1" applyFont="1" applyFill="1" applyBorder="1" applyAlignment="1">
      <alignment horizontal="center" vertical="center" wrapText="1"/>
    </xf>
    <xf numFmtId="0" fontId="7" fillId="30" borderId="44" xfId="49" applyFont="1" applyFill="1" applyBorder="1" applyAlignment="1">
      <alignment horizontal="center" vertical="center"/>
    </xf>
    <xf numFmtId="0" fontId="70" fillId="27" borderId="71" xfId="49" applyFont="1" applyFill="1" applyBorder="1" applyAlignment="1">
      <alignment horizontal="center" vertical="center" wrapText="1"/>
    </xf>
    <xf numFmtId="0" fontId="70" fillId="29" borderId="71" xfId="49" applyFont="1" applyFill="1" applyBorder="1" applyAlignment="1">
      <alignment horizontal="center" vertical="center"/>
    </xf>
    <xf numFmtId="0" fontId="70" fillId="29" borderId="57" xfId="49" applyFont="1" applyFill="1" applyBorder="1" applyAlignment="1">
      <alignment horizontal="center" vertical="center"/>
    </xf>
    <xf numFmtId="171" fontId="70" fillId="29" borderId="71" xfId="49" applyNumberFormat="1" applyFont="1" applyFill="1" applyBorder="1" applyAlignment="1">
      <alignment horizontal="center" vertical="center" wrapText="1"/>
    </xf>
    <xf numFmtId="171" fontId="70" fillId="29" borderId="57" xfId="49" applyNumberFormat="1" applyFont="1" applyFill="1" applyBorder="1" applyAlignment="1">
      <alignment horizontal="center" vertical="center" wrapText="1"/>
    </xf>
    <xf numFmtId="171" fontId="70" fillId="29" borderId="71" xfId="49" applyNumberFormat="1" applyFont="1" applyFill="1" applyBorder="1" applyAlignment="1">
      <alignment horizontal="center" vertical="center"/>
    </xf>
    <xf numFmtId="171" fontId="70" fillId="29" borderId="57" xfId="49" applyNumberFormat="1" applyFont="1" applyFill="1" applyBorder="1" applyAlignment="1">
      <alignment horizontal="center" vertical="center"/>
    </xf>
    <xf numFmtId="0" fontId="70" fillId="29" borderId="71" xfId="49" applyFont="1" applyFill="1" applyBorder="1" applyAlignment="1">
      <alignment horizontal="center" vertical="center" wrapText="1"/>
    </xf>
    <xf numFmtId="0" fontId="70" fillId="29" borderId="57" xfId="49" applyFont="1" applyFill="1" applyBorder="1" applyAlignment="1">
      <alignment horizontal="center" vertical="center" wrapText="1"/>
    </xf>
    <xf numFmtId="0" fontId="70" fillId="29" borderId="71" xfId="49" applyFont="1" applyFill="1" applyBorder="1" applyAlignment="1">
      <alignment horizontal="center"/>
    </xf>
    <xf numFmtId="0" fontId="70" fillId="0" borderId="0" xfId="49" applyFont="1" applyAlignment="1">
      <alignment horizontal="left" vertical="center" wrapText="1"/>
    </xf>
    <xf numFmtId="0" fontId="70" fillId="27" borderId="57" xfId="49" applyFont="1" applyFill="1" applyBorder="1" applyAlignment="1">
      <alignment horizontal="center" vertical="center" wrapText="1"/>
    </xf>
    <xf numFmtId="171" fontId="70" fillId="27" borderId="71" xfId="49" applyNumberFormat="1" applyFont="1" applyFill="1" applyBorder="1" applyAlignment="1">
      <alignment horizontal="left" vertical="center" wrapText="1"/>
    </xf>
    <xf numFmtId="171" fontId="70" fillId="27" borderId="57" xfId="49" applyNumberFormat="1" applyFont="1" applyFill="1" applyBorder="1" applyAlignment="1">
      <alignment horizontal="left" vertical="center" wrapText="1"/>
    </xf>
    <xf numFmtId="0" fontId="70" fillId="29" borderId="14" xfId="49" applyFont="1" applyFill="1" applyBorder="1" applyAlignment="1">
      <alignment horizontal="center" vertical="center"/>
    </xf>
    <xf numFmtId="0" fontId="70" fillId="29" borderId="15" xfId="49" applyFont="1" applyFill="1" applyBorder="1" applyAlignment="1">
      <alignment horizontal="center" vertical="center"/>
    </xf>
    <xf numFmtId="0" fontId="70" fillId="29" borderId="61" xfId="49" applyFont="1" applyFill="1" applyBorder="1" applyAlignment="1">
      <alignment horizontal="center" vertical="center"/>
    </xf>
    <xf numFmtId="0" fontId="70" fillId="29" borderId="63" xfId="49" applyFont="1" applyFill="1" applyBorder="1" applyAlignment="1">
      <alignment horizontal="center" vertical="center"/>
    </xf>
    <xf numFmtId="171" fontId="70" fillId="29" borderId="12" xfId="49" applyNumberFormat="1" applyFont="1" applyFill="1" applyBorder="1" applyAlignment="1">
      <alignment horizontal="center" vertical="center"/>
    </xf>
    <xf numFmtId="171" fontId="70" fillId="29" borderId="56" xfId="49" applyNumberFormat="1" applyFont="1" applyFill="1" applyBorder="1" applyAlignment="1">
      <alignment horizontal="center" vertical="center"/>
    </xf>
    <xf numFmtId="0" fontId="70" fillId="29" borderId="13" xfId="49" applyFont="1" applyFill="1" applyBorder="1" applyAlignment="1">
      <alignment horizontal="center" vertical="center"/>
    </xf>
    <xf numFmtId="0" fontId="70" fillId="29" borderId="13" xfId="49" applyFont="1" applyFill="1" applyBorder="1" applyAlignment="1">
      <alignment horizontal="center" vertical="center" wrapText="1"/>
    </xf>
    <xf numFmtId="0" fontId="70" fillId="29" borderId="13" xfId="49" applyFont="1" applyFill="1" applyBorder="1" applyAlignment="1">
      <alignment horizontal="center"/>
    </xf>
    <xf numFmtId="171" fontId="70" fillId="29" borderId="13" xfId="49" applyNumberFormat="1" applyFont="1" applyFill="1" applyBorder="1" applyAlignment="1">
      <alignment horizontal="center" vertical="center" wrapText="1"/>
    </xf>
    <xf numFmtId="0" fontId="70" fillId="29" borderId="48" xfId="49" applyFont="1" applyFill="1" applyBorder="1" applyAlignment="1">
      <alignment horizontal="center" vertical="center"/>
    </xf>
    <xf numFmtId="0" fontId="70" fillId="29" borderId="49" xfId="49" applyFont="1" applyFill="1" applyBorder="1" applyAlignment="1">
      <alignment horizontal="center" vertical="center"/>
    </xf>
    <xf numFmtId="0" fontId="70" fillId="30" borderId="62" xfId="37" applyFont="1" applyFill="1" applyBorder="1" applyAlignment="1">
      <alignment horizontal="center" vertical="center" wrapText="1"/>
    </xf>
    <xf numFmtId="0" fontId="28" fillId="0" borderId="55" xfId="37" applyFont="1" applyBorder="1" applyAlignment="1">
      <alignment vertical="center"/>
    </xf>
    <xf numFmtId="0" fontId="69" fillId="0" borderId="0" xfId="37" applyFont="1" applyAlignment="1">
      <alignment horizontal="center" vertical="center"/>
    </xf>
    <xf numFmtId="0" fontId="71" fillId="0" borderId="0" xfId="37" applyFont="1"/>
    <xf numFmtId="0" fontId="70" fillId="30" borderId="61" xfId="37" applyFont="1" applyFill="1" applyBorder="1" applyAlignment="1">
      <alignment horizontal="center" vertical="center"/>
    </xf>
    <xf numFmtId="0" fontId="28" fillId="0" borderId="63" xfId="37" applyFont="1" applyBorder="1" applyAlignment="1">
      <alignment horizontal="center"/>
    </xf>
    <xf numFmtId="171" fontId="70" fillId="30" borderId="13" xfId="37" applyNumberFormat="1" applyFont="1" applyFill="1" applyBorder="1" applyAlignment="1">
      <alignment horizontal="center" vertical="center"/>
    </xf>
    <xf numFmtId="171" fontId="28" fillId="0" borderId="57" xfId="37" applyNumberFormat="1" applyFont="1" applyBorder="1" applyAlignment="1">
      <alignment horizontal="center" vertical="center"/>
    </xf>
    <xf numFmtId="0" fontId="70" fillId="30" borderId="13" xfId="37" applyFont="1" applyFill="1" applyBorder="1" applyAlignment="1">
      <alignment horizontal="center" vertical="center"/>
    </xf>
    <xf numFmtId="0" fontId="28" fillId="0" borderId="57" xfId="37" applyFont="1" applyBorder="1" applyAlignment="1">
      <alignment horizontal="center" vertical="center"/>
    </xf>
    <xf numFmtId="0" fontId="70" fillId="30" borderId="13" xfId="37" applyFont="1" applyFill="1" applyBorder="1" applyAlignment="1">
      <alignment horizontal="center" vertical="center" wrapText="1"/>
    </xf>
    <xf numFmtId="0" fontId="28" fillId="0" borderId="57" xfId="37" applyFont="1" applyBorder="1" applyAlignment="1">
      <alignment vertical="center"/>
    </xf>
    <xf numFmtId="0" fontId="70" fillId="29" borderId="13" xfId="37" applyFont="1" applyFill="1" applyBorder="1" applyAlignment="1">
      <alignment horizontal="center" vertical="center"/>
    </xf>
    <xf numFmtId="171" fontId="70" fillId="30" borderId="13" xfId="37" applyNumberFormat="1" applyFont="1" applyFill="1" applyBorder="1" applyAlignment="1">
      <alignment horizontal="center" vertical="center" wrapText="1"/>
    </xf>
    <xf numFmtId="0" fontId="28" fillId="0" borderId="13" xfId="37" applyFont="1" applyBorder="1" applyAlignment="1">
      <alignment vertical="center"/>
    </xf>
    <xf numFmtId="0" fontId="70" fillId="0" borderId="65" xfId="37" applyFont="1" applyBorder="1" applyAlignment="1">
      <alignment horizontal="left" vertical="center" wrapText="1"/>
    </xf>
    <xf numFmtId="0" fontId="41" fillId="31" borderId="71" xfId="0" applyFont="1" applyFill="1" applyBorder="1" applyAlignment="1">
      <alignment horizontal="center" vertical="center" wrapText="1"/>
    </xf>
    <xf numFmtId="0" fontId="41" fillId="31" borderId="71" xfId="0" applyFont="1" applyFill="1" applyBorder="1" applyAlignment="1">
      <alignment horizontal="center"/>
    </xf>
  </cellXfs>
  <cellStyles count="53">
    <cellStyle name="Comma" xfId="1" builtinId="3"/>
    <cellStyle name="Comma [0]" xfId="2" builtinId="6"/>
    <cellStyle name="Comma [0] 2" xfId="3" xr:uid="{00000000-0005-0000-0000-000031000000}"/>
    <cellStyle name="Comma [0] 2 2" xfId="14" xr:uid="{0B91C3C7-DA25-4427-BA03-C414B08EE99D}"/>
    <cellStyle name="Comma [0] 2 3" xfId="33" xr:uid="{F9A72AB8-0087-46E7-AA9B-1A6F90EA2D19}"/>
    <cellStyle name="Comma [0] 2 4" xfId="44" xr:uid="{2EBBF9AD-C867-4D81-8D86-76B0A381E083}"/>
    <cellStyle name="Comma [0] 3" xfId="13" xr:uid="{91C2215C-A8D6-4112-A3D9-B41FB993397E}"/>
    <cellStyle name="Comma [0] 4" xfId="27" xr:uid="{866EA5A1-0CD7-485C-9448-84D99A05BE1A}"/>
    <cellStyle name="Comma [0] 5" xfId="4" xr:uid="{00000000-0005-0000-0000-000032000000}"/>
    <cellStyle name="Comma [0] 5 2" xfId="15" xr:uid="{968A0D8C-9694-44EA-BCFC-E8806FEAF674}"/>
    <cellStyle name="Comma [0] 5 3" xfId="34" xr:uid="{CA537A0A-A5AA-4C9E-846E-1AA47F81B22D}"/>
    <cellStyle name="Comma [0] 5 4" xfId="45" xr:uid="{97A52B87-8EAB-4596-BFF1-9231FAA98E74}"/>
    <cellStyle name="Comma [0] 6" xfId="5" xr:uid="{00000000-0005-0000-0000-000033000000}"/>
    <cellStyle name="Comma [0] 6 2" xfId="16" xr:uid="{A8FA4213-9762-40AA-A932-10FE83CBC9E1}"/>
    <cellStyle name="Comma [0] 6 3" xfId="29" xr:uid="{65D84CC9-F8EF-41E3-BC64-88DAF8F50597}"/>
    <cellStyle name="Comma [0] 6 4" xfId="41" xr:uid="{395AE3A6-2D41-42C4-8A59-BD6E32A8B961}"/>
    <cellStyle name="Comma [0] 7" xfId="6" xr:uid="{00000000-0005-0000-0000-000034000000}"/>
    <cellStyle name="Comma [0] 7 2" xfId="7" xr:uid="{00000000-0005-0000-0000-000035000000}"/>
    <cellStyle name="Comma [0] 7 2 2" xfId="8" xr:uid="{00000000-0005-0000-0000-000036000000}"/>
    <cellStyle name="Comma [0] 7 2 2 2" xfId="19" xr:uid="{6919C044-37BE-43DD-962B-36272CB7AF3F}"/>
    <cellStyle name="Comma [0] 7 2 2 3" xfId="31" xr:uid="{486530AE-2E7F-4185-9912-70A39A620DE4}"/>
    <cellStyle name="Comma [0] 7 2 2 4" xfId="43" xr:uid="{67841156-CE12-4E14-B721-A34C1C189EA4}"/>
    <cellStyle name="Comma [0] 7 2 3" xfId="18" xr:uid="{9C2E541E-E9DE-4E60-BD5E-171B99FC83AF}"/>
    <cellStyle name="Comma [0] 7 2 4" xfId="28" xr:uid="{973FB021-8DD6-492B-9FBD-32BA801802BA}"/>
    <cellStyle name="Comma [0] 7 2 5" xfId="40" xr:uid="{15FFFC05-C4E9-4A41-8747-C43B5A61274B}"/>
    <cellStyle name="Comma [0] 7 3" xfId="17" xr:uid="{88929B47-A0DF-4716-8261-3E55366A347C}"/>
    <cellStyle name="Comma [0] 7 4" xfId="35" xr:uid="{963CB2E9-9657-45FC-B872-C23B314BF218}"/>
    <cellStyle name="Comma [0] 7 5" xfId="46" xr:uid="{940AB8E0-31C1-4E2D-8EB0-FA5616F10521}"/>
    <cellStyle name="Comma [0] 8" xfId="39" xr:uid="{FA5959BC-DC85-4B51-95B8-9B9C72D00205}"/>
    <cellStyle name="Comma [0] 9" xfId="52" xr:uid="{6D2AA31E-7382-4200-834A-0EAB7F8D3483}"/>
    <cellStyle name="Comma 10" xfId="47" xr:uid="{5F8AE6A8-EC96-479F-9A2E-7C227C298E7E}"/>
    <cellStyle name="Comma 11" xfId="51" xr:uid="{9A5FC6AB-0867-4386-8DA8-91BF9EC467E5}"/>
    <cellStyle name="Comma 2" xfId="12" xr:uid="{8E13CA11-E936-41C8-ACEF-7B57D781F1E0}"/>
    <cellStyle name="Comma 3" xfId="22" xr:uid="{225CF32E-E844-4FBA-B380-AA517A2603D7}"/>
    <cellStyle name="Comma 4" xfId="23" xr:uid="{8A6A751D-49F4-4DCB-B068-4618069A8533}"/>
    <cellStyle name="Comma 5" xfId="24" xr:uid="{E377CE3B-6A72-49A0-B28C-CA44069D5643}"/>
    <cellStyle name="Comma 6" xfId="26" xr:uid="{0C1FEBDF-2E82-47AC-9562-E7CA254B6584}"/>
    <cellStyle name="Comma 7" xfId="36" xr:uid="{2F234BFD-7C00-4FF4-AE2F-22DAB138355A}"/>
    <cellStyle name="Comma 8" xfId="38" xr:uid="{A7A8700E-CE07-49F2-BBD6-68519BFE7423}"/>
    <cellStyle name="Comma 9" xfId="42" xr:uid="{5C33FA0A-D862-422C-A0F2-F6F34A328C3D}"/>
    <cellStyle name="Normal" xfId="0" builtinId="0"/>
    <cellStyle name="Normal 2" xfId="9" xr:uid="{00000000-0005-0000-0000-000037000000}"/>
    <cellStyle name="Normal 2 2" xfId="20" xr:uid="{1CDF01B8-D940-4710-8741-AC43B2F523FF}"/>
    <cellStyle name="Normal 2 2 2" xfId="50" xr:uid="{23BF882E-12B5-49E5-BAEE-22330B6A7963}"/>
    <cellStyle name="Normal 2 3" xfId="25" xr:uid="{FE68F2E2-1DC8-4835-8D1C-B3208AF30E4B}"/>
    <cellStyle name="Normal 2 4" xfId="30" xr:uid="{4FFDD25D-29C2-412A-97B4-9D29E3B3BAAD}"/>
    <cellStyle name="Normal 2 5" xfId="48" xr:uid="{7383475C-99AA-4E13-8318-3546A26A361A}"/>
    <cellStyle name="Normal 3" xfId="10" xr:uid="{00000000-0005-0000-0000-000038000000}"/>
    <cellStyle name="Normal 3 2" xfId="21" xr:uid="{4D871913-8E7E-44D8-9700-6EDB2143C63F}"/>
    <cellStyle name="Normal 3 3" xfId="32" xr:uid="{E411EEFE-DCAF-4514-AE69-287ADD8EBB97}"/>
    <cellStyle name="Normal 3 4" xfId="49" xr:uid="{07E0D72A-CF7E-45E6-A95D-42116437A7A9}"/>
    <cellStyle name="Normal 4" xfId="11" xr:uid="{AE6F9424-92EB-4F9A-98E8-C5B2AB17F6EA}"/>
    <cellStyle name="Normal 5" xfId="37" xr:uid="{CF2BA4F6-F0A2-42FC-8E37-D02D3D7F7C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nfomediacoid.sharepoint.com\DOKUMENT%20Thn%202024\Luasan%20Layanan%20Masing2%20Gedung\DATA%20SEAT%20LAY%20JABODETABEK%2003%20SEPT%202024%20Final%20to%20NCH%20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mediacoid.sharepoint.com/sites/SiteArea/Shared%20Documents/Area%202%20-%20Jabodetabek/SECURITY/DAFTAR_PEK._OS_(SECURITI_ME_OB_DAN_DREVER_NASIONAL%20Bln%20Juli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Back Office"/>
      <sheetName val="Summy Office"/>
      <sheetName val="OS Suport"/>
      <sheetName val="Summary F"/>
    </sheetNames>
    <sheetDataSet>
      <sheetData sheetId="0"/>
      <sheetData sheetId="1">
        <row r="19">
          <cell r="B19" t="str">
            <v>ANDI TEGUH IMAWAN</v>
          </cell>
          <cell r="C19" t="str">
            <v>GROUP OF BUSDEV &amp; INNOVATION CENTER</v>
          </cell>
        </row>
        <row r="22">
          <cell r="C22" t="str">
            <v>DEPARTEMEN OPERATION ENTERPRISE 1 SEGMENT 4</v>
          </cell>
        </row>
        <row r="27">
          <cell r="C27" t="str">
            <v>GROUP OF INTERNAL AUDIT</v>
          </cell>
        </row>
        <row r="32">
          <cell r="C32" t="str">
            <v>DEPARTEMEN FACILITY &amp; ASSET MANAGEMENT</v>
          </cell>
        </row>
        <row r="38">
          <cell r="C38" t="str">
            <v>INVOICE TO PAY SSO</v>
          </cell>
        </row>
        <row r="49">
          <cell r="C49" t="str">
            <v>DEPARTEMEN LEAD TO CASH SSO</v>
          </cell>
        </row>
        <row r="57">
          <cell r="C57" t="str">
            <v>DEPARTEMEN IOC &amp; DIGITAL OPERATION</v>
          </cell>
        </row>
        <row r="68">
          <cell r="C68" t="str">
            <v>DEPARTEMEN SOURCE TO INVOICE SSO</v>
          </cell>
        </row>
        <row r="85">
          <cell r="C85" t="str">
            <v>DEPARTEMEN DIGITAL SALES</v>
          </cell>
        </row>
        <row r="96">
          <cell r="C96" t="str">
            <v>DEPARTEMEN PROJECT PLANNING &amp; CONTROLLING</v>
          </cell>
        </row>
        <row r="103">
          <cell r="C103" t="str">
            <v>GROUP OF PROJECT MANAGEMENT</v>
          </cell>
        </row>
        <row r="135">
          <cell r="C135" t="str">
            <v>DEPARTEMEN CRM PRODUCT LIFECYCLE &amp; ROADMAP</v>
          </cell>
        </row>
        <row r="144">
          <cell r="C144" t="str">
            <v>DEPARTEMEN PARTNERSHIP MANAGEMENT</v>
          </cell>
        </row>
        <row r="149">
          <cell r="C149" t="str">
            <v>DEPARTEMEN IT SECURITY OPERATION</v>
          </cell>
        </row>
        <row r="153">
          <cell r="C153" t="str">
            <v>DEPARTEMEN IT SYSTEM OPERATION SERVICES</v>
          </cell>
        </row>
        <row r="160">
          <cell r="C160" t="str">
            <v>DEPARTEMEN CORPORATE COMMUNICATION</v>
          </cell>
        </row>
        <row r="170">
          <cell r="C170" t="str">
            <v>DEPARTEMEN LEGAL CONSULT &amp; SETTLEMENT</v>
          </cell>
        </row>
        <row r="174">
          <cell r="C174" t="str">
            <v>DEPARTEMEN LEGAL CORPORATE</v>
          </cell>
        </row>
        <row r="186">
          <cell r="B186" t="str">
            <v>DIDIN SARIPUDIN</v>
          </cell>
          <cell r="C186" t="str">
            <v>DEPARTEMEN IT DIGITIZATION</v>
          </cell>
        </row>
        <row r="194">
          <cell r="C194" t="str">
            <v>DEPARTEMEN ACCOUNTING &amp; TAX</v>
          </cell>
        </row>
        <row r="201">
          <cell r="C201" t="str">
            <v>DEPARTEMEN BILLING MANAGEMENT</v>
          </cell>
        </row>
        <row r="207">
          <cell r="C207" t="str">
            <v>DEPARTEMEN COLLECTION 1</v>
          </cell>
        </row>
        <row r="216">
          <cell r="C216" t="str">
            <v>DEPARTEMEN COLLECTION 2</v>
          </cell>
        </row>
        <row r="226">
          <cell r="C226" t="str">
            <v>DEPARTEMEN CORPORATE PLANNING</v>
          </cell>
        </row>
        <row r="230">
          <cell r="C230" t="str">
            <v>DEPARTEMEN STRATEGIC EVALUATION &amp; CONTROL</v>
          </cell>
        </row>
        <row r="235">
          <cell r="C235" t="str">
            <v>DEPARTEMEN STRATEGIC INVESTMENT &amp; PORTFOLIO</v>
          </cell>
        </row>
        <row r="249">
          <cell r="C249" t="str">
            <v>DEPARTEMEN REVENUE, COST CONTROL &amp; BUDGETING</v>
          </cell>
        </row>
        <row r="258">
          <cell r="C258" t="str">
            <v>DEPARTEMEN TREASURY MANAGEMENT</v>
          </cell>
        </row>
        <row r="269">
          <cell r="C269" t="str">
            <v>DEPARTEMEN FACILITY &amp; ASSET MANAGEMENT</v>
          </cell>
        </row>
        <row r="279">
          <cell r="C279" t="str">
            <v>DEPARTEMEN STRATEGIC PROCUREMENT</v>
          </cell>
        </row>
        <row r="292">
          <cell r="C292" t="str">
            <v>DEPARTEMEN GOVERNANCE &amp; BUSINESS EFFECTIVENESS</v>
          </cell>
        </row>
        <row r="297">
          <cell r="C297" t="str">
            <v>DEPARTEMEN RISK MANAGEMENT &amp; CORPORATE TRANSFORMATION</v>
          </cell>
        </row>
        <row r="303">
          <cell r="C303" t="str">
            <v>DEPARTEMEN OPERATION TGNT SEGMENT 4</v>
          </cell>
        </row>
        <row r="309">
          <cell r="C309" t="str">
            <v>DEPARTEMEN HC ENABLER &amp; INDUSTRIAL RELATION</v>
          </cell>
        </row>
        <row r="316">
          <cell r="C316" t="str">
            <v>DEPARTEMEN HC STRATEGY &amp; OD</v>
          </cell>
        </row>
        <row r="320">
          <cell r="C320" t="str">
            <v>DEPARTEMEN TALENT MANAGEMENT</v>
          </cell>
        </row>
        <row r="329">
          <cell r="C329" t="str">
            <v>GROUP OF IT CRM PRODUCT DEVELOPMENT</v>
          </cell>
        </row>
        <row r="338">
          <cell r="C338" t="str">
            <v>GROUP OF IT CRM PROJECT DELIVERY</v>
          </cell>
        </row>
        <row r="351">
          <cell r="C351" t="str">
            <v>GROUP OF IT SSO PRODUCT DEVELOPMENT</v>
          </cell>
        </row>
        <row r="370">
          <cell r="C370" t="str">
            <v>GROUP OF IT SSO PROJECT DELIVERY</v>
          </cell>
        </row>
        <row r="389">
          <cell r="C389" t="str">
            <v>DEPARTEMEN IT GOVERNANCE &amp; SECURITY MANAGEMENT</v>
          </cell>
        </row>
        <row r="398">
          <cell r="C398" t="str">
            <v>DEPARTEMEN IT NETWORK DEVELOPMENT</v>
          </cell>
        </row>
        <row r="403">
          <cell r="C403" t="str">
            <v>DEPARTEMEN IT SYSTEM INTEGRATION</v>
          </cell>
        </row>
        <row r="430">
          <cell r="C430" t="str">
            <v>DEPARTEMEN CORPORATE OFFICE SUPPORT</v>
          </cell>
        </row>
        <row r="436">
          <cell r="C436" t="str">
            <v>TIM SUPPORT</v>
          </cell>
        </row>
        <row r="444">
          <cell r="C444" t="str">
            <v>GROUP OF CRM BUSINESS SOLUTION</v>
          </cell>
        </row>
        <row r="465">
          <cell r="C465" t="str">
            <v>DEPARTEMEN BIDDING MANAGEMENT</v>
          </cell>
        </row>
        <row r="475">
          <cell r="C475" t="str">
            <v>DEPARTEMEN MARKETING STRATEGY &amp; DIGITAL CAMPAIGN</v>
          </cell>
        </row>
        <row r="489">
          <cell r="C489" t="str">
            <v>GROUP OF SALES PRIVATE SERVICES</v>
          </cell>
        </row>
        <row r="501">
          <cell r="C501" t="str">
            <v>GROUP OF SALES GOVERNMENT &amp; AREA</v>
          </cell>
        </row>
        <row r="518">
          <cell r="C518" t="str">
            <v>GROUP OF SALES SOE SERVICES</v>
          </cell>
        </row>
        <row r="531">
          <cell r="C531" t="str">
            <v>GROUP OF SALES TELKOM GROUP</v>
          </cell>
        </row>
        <row r="544">
          <cell r="C544" t="str">
            <v>GROUP OF DIGITAL PRODUCT ENABLER</v>
          </cell>
        </row>
        <row r="556">
          <cell r="C556" t="str">
            <v>DEPARTEMEN OPERATION ENTERPRISE 1 SEGMENT 1</v>
          </cell>
        </row>
        <row r="564">
          <cell r="C564" t="str">
            <v>DEPARTEMEN OPERATION ENTERPRISE 1 SEGMENT 2</v>
          </cell>
        </row>
        <row r="567">
          <cell r="C567" t="str">
            <v>DEPARTEMEN OPERATION ENTERPRISE 1 SEGMENT 3</v>
          </cell>
        </row>
        <row r="571">
          <cell r="C571" t="str">
            <v>DEPARTEMEN OPERATION ENTERPRISE 1 SEGMENT 5</v>
          </cell>
        </row>
        <row r="578">
          <cell r="C578" t="str">
            <v>DEPARTEMEN OPERATION ENTERPRISE 2 SEGMENT 1</v>
          </cell>
        </row>
        <row r="581">
          <cell r="C581" t="str">
            <v>DEPARTEMEN OPERATION ENTERPRISE 2 SEGMENT 2</v>
          </cell>
        </row>
        <row r="585">
          <cell r="C585" t="str">
            <v>DEPARTEMEN OPERATION ENTERPRISE 2 SEGMENT 3</v>
          </cell>
        </row>
        <row r="588">
          <cell r="C588" t="str">
            <v>DEPARTEMEN OPERATION ENTERPRISE 2 SEGMENT 4</v>
          </cell>
        </row>
        <row r="591">
          <cell r="C591" t="str">
            <v>DEPARTEMEN OPERATION ENTERPRISE 2 SEGMENT 5</v>
          </cell>
        </row>
        <row r="593">
          <cell r="C593" t="str">
            <v>DEPARTEMEN OPERATION ENTERPRISE 2 SEGMENT 6</v>
          </cell>
        </row>
        <row r="598">
          <cell r="C598" t="str">
            <v>DEPARTEMEN DIGITAL CHANNEL &amp; B2B SOLUTION</v>
          </cell>
        </row>
        <row r="600">
          <cell r="C600" t="str">
            <v>DEPARTEMEN IBC OPERATION</v>
          </cell>
        </row>
        <row r="603">
          <cell r="C603" t="str">
            <v>DEPARTEMEN OBC &amp; COLLECTION</v>
          </cell>
        </row>
        <row r="605">
          <cell r="C605" t="str">
            <v>DEPARTEMEN OPERATION CUSTOMER ENGAGEMENT TELKOMSEL</v>
          </cell>
        </row>
        <row r="607">
          <cell r="C607" t="str">
            <v>DEPARTEMEN WALK IN &amp; GRAPARI OPERATION</v>
          </cell>
        </row>
        <row r="616">
          <cell r="C616" t="str">
            <v>DEPARTEMEN OPERATION TGNT SEGMENT 1</v>
          </cell>
        </row>
        <row r="619">
          <cell r="C619" t="str">
            <v>DEPARTEMEN OPERATION TGNT SEGMENT 2</v>
          </cell>
        </row>
        <row r="622">
          <cell r="C622" t="str">
            <v>DEPARTEMEN OPERATION TGNT SEGMENT 3</v>
          </cell>
        </row>
        <row r="628">
          <cell r="C628" t="str">
            <v>DEPARTEMEN CX &amp; QUALITY MANAGEMENT</v>
          </cell>
        </row>
        <row r="630">
          <cell r="C630" t="str">
            <v>DEPARTEMEN CX &amp; QUALITY MANAGEMENT</v>
          </cell>
        </row>
        <row r="633">
          <cell r="C633" t="str">
            <v>DEPARTEMEN OPERATION DATA MANAGEMENT ANALYTIC</v>
          </cell>
        </row>
        <row r="638">
          <cell r="C638" t="str">
            <v>DEPARTEMEN OPERATION PLANNING &amp; CONTROLLING</v>
          </cell>
        </row>
        <row r="641">
          <cell r="C641" t="str">
            <v>DEPARTEMEN IT INTERNAL CONTROL &amp; PLANNING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ATMAWATI"/>
      <sheetName val="GRAPARI AREA 2"/>
      <sheetName val="TENDEAN"/>
      <sheetName val="MAMPANG"/>
      <sheetName val="GIF"/>
      <sheetName val="BSD"/>
      <sheetName val="OPMC BOGOR"/>
      <sheetName val="CIAWI"/>
      <sheetName val="BANDUNG"/>
      <sheetName val="SMG"/>
      <sheetName val="JOGYA"/>
      <sheetName val="SBY"/>
      <sheetName val="MALANG "/>
      <sheetName val="MEDAN"/>
    </sheetNames>
    <sheetDataSet>
      <sheetData sheetId="0"/>
      <sheetData sheetId="1">
        <row r="66">
          <cell r="B66">
            <v>27</v>
          </cell>
        </row>
        <row r="76">
          <cell r="B76">
            <v>4</v>
          </cell>
        </row>
        <row r="85">
          <cell r="B85">
            <v>4</v>
          </cell>
        </row>
        <row r="107">
          <cell r="B107">
            <v>16</v>
          </cell>
        </row>
      </sheetData>
      <sheetData sheetId="2">
        <row r="65">
          <cell r="B65" t="str">
            <v>BINTARO XCHANGE</v>
          </cell>
          <cell r="C65">
            <v>2</v>
          </cell>
          <cell r="D65">
            <v>2</v>
          </cell>
        </row>
        <row r="66">
          <cell r="B66" t="str">
            <v>ITC DEPOK</v>
          </cell>
          <cell r="C66">
            <v>1</v>
          </cell>
          <cell r="D66">
            <v>2</v>
          </cell>
        </row>
        <row r="67">
          <cell r="B67" t="str">
            <v>EMPORIUM PLUIT</v>
          </cell>
          <cell r="C67">
            <v>2</v>
          </cell>
          <cell r="D67">
            <v>2</v>
          </cell>
        </row>
        <row r="68">
          <cell r="B68" t="str">
            <v>BASSURA</v>
          </cell>
          <cell r="C68">
            <v>2</v>
          </cell>
          <cell r="D68">
            <v>2</v>
          </cell>
        </row>
        <row r="69">
          <cell r="B69" t="str">
            <v>CIKUPA</v>
          </cell>
          <cell r="C69">
            <v>1</v>
          </cell>
          <cell r="D69">
            <v>1</v>
          </cell>
        </row>
        <row r="70">
          <cell r="B70" t="str">
            <v xml:space="preserve"> KARAWACI</v>
          </cell>
          <cell r="C70">
            <v>2</v>
          </cell>
          <cell r="D70">
            <v>1</v>
          </cell>
        </row>
      </sheetData>
      <sheetData sheetId="3">
        <row r="16">
          <cell r="B16">
            <v>7</v>
          </cell>
        </row>
        <row r="31">
          <cell r="B31">
            <v>8</v>
          </cell>
        </row>
        <row r="38">
          <cell r="B38">
            <v>1</v>
          </cell>
        </row>
        <row r="44">
          <cell r="B44">
            <v>1</v>
          </cell>
        </row>
      </sheetData>
      <sheetData sheetId="4">
        <row r="17">
          <cell r="B17">
            <v>8</v>
          </cell>
        </row>
        <row r="32">
          <cell r="B32">
            <v>9</v>
          </cell>
        </row>
        <row r="41">
          <cell r="B41">
            <v>2</v>
          </cell>
        </row>
      </sheetData>
      <sheetData sheetId="5">
        <row r="13">
          <cell r="B13">
            <v>3</v>
          </cell>
        </row>
        <row r="24">
          <cell r="B24">
            <v>4</v>
          </cell>
        </row>
      </sheetData>
      <sheetData sheetId="6">
        <row r="28">
          <cell r="B28">
            <v>6</v>
          </cell>
        </row>
        <row r="35">
          <cell r="B35">
            <v>1</v>
          </cell>
        </row>
      </sheetData>
      <sheetData sheetId="7">
        <row r="15">
          <cell r="B15">
            <v>6</v>
          </cell>
        </row>
        <row r="27">
          <cell r="B27">
            <v>6</v>
          </cell>
        </row>
        <row r="33">
          <cell r="B33">
            <v>1</v>
          </cell>
        </row>
      </sheetData>
      <sheetData sheetId="8">
        <row r="16">
          <cell r="B16">
            <v>7</v>
          </cell>
        </row>
        <row r="26">
          <cell r="B26">
            <v>4</v>
          </cell>
        </row>
        <row r="32">
          <cell r="B32">
            <v>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79"/>
  <sheetViews>
    <sheetView showGridLines="0" tabSelected="1" topLeftCell="A268" zoomScale="115" zoomScaleNormal="115" workbookViewId="0">
      <selection activeCell="B265" sqref="B265:D265"/>
    </sheetView>
  </sheetViews>
  <sheetFormatPr defaultColWidth="9" defaultRowHeight="15"/>
  <cols>
    <col min="1" max="1" width="2.26953125" customWidth="1"/>
    <col min="2" max="2" width="6" style="10" customWidth="1"/>
    <col min="3" max="3" width="47.7265625" style="12" customWidth="1"/>
    <col min="4" max="4" width="62.26953125" style="10" customWidth="1"/>
    <col min="5" max="5" width="29.1796875" style="13" customWidth="1"/>
    <col min="6" max="6" width="14.1796875" style="14" customWidth="1"/>
    <col min="7" max="7" width="10.08984375" style="15" customWidth="1"/>
    <col min="8" max="8" width="11.36328125" style="233" customWidth="1"/>
    <col min="9" max="9" width="9.453125" style="10" customWidth="1"/>
    <col min="10" max="10" width="65.54296875" customWidth="1"/>
  </cols>
  <sheetData>
    <row r="2" spans="2:10" ht="23.5">
      <c r="B2" s="759" t="s">
        <v>218</v>
      </c>
      <c r="C2" s="759"/>
      <c r="D2" s="759"/>
      <c r="E2" s="759"/>
      <c r="F2" s="759"/>
      <c r="G2" s="759"/>
      <c r="H2" s="759"/>
      <c r="I2" s="759"/>
      <c r="J2" s="759"/>
    </row>
    <row r="3" spans="2:10">
      <c r="B3" s="755" t="s">
        <v>1253</v>
      </c>
      <c r="C3" s="755"/>
      <c r="D3" s="755"/>
    </row>
    <row r="4" spans="2:10" s="1" customFormat="1" ht="14.5">
      <c r="B4" s="16" t="s">
        <v>0</v>
      </c>
      <c r="C4" s="16" t="s">
        <v>1</v>
      </c>
      <c r="D4" s="16" t="s">
        <v>2</v>
      </c>
      <c r="E4" s="16" t="s">
        <v>3</v>
      </c>
      <c r="F4" s="17" t="s">
        <v>4</v>
      </c>
      <c r="G4" s="18" t="s">
        <v>5</v>
      </c>
      <c r="H4" s="222" t="s">
        <v>6</v>
      </c>
      <c r="I4" s="16" t="s">
        <v>7</v>
      </c>
      <c r="J4" s="19" t="s">
        <v>8</v>
      </c>
    </row>
    <row r="5" spans="2:10" s="1" customFormat="1" ht="14.5">
      <c r="B5" s="20" t="s">
        <v>9</v>
      </c>
      <c r="C5" s="20" t="s">
        <v>10</v>
      </c>
      <c r="D5" s="20"/>
      <c r="E5" s="21"/>
      <c r="F5" s="22"/>
      <c r="G5" s="23"/>
      <c r="H5" s="223"/>
      <c r="I5" s="24"/>
      <c r="J5" s="25"/>
    </row>
    <row r="6" spans="2:10" s="1" customFormat="1" ht="14.5">
      <c r="B6" s="26" t="s">
        <v>11</v>
      </c>
      <c r="C6" s="27" t="s">
        <v>12</v>
      </c>
      <c r="D6" s="27"/>
      <c r="E6" s="21"/>
      <c r="F6" s="22"/>
      <c r="G6" s="23"/>
      <c r="H6" s="223"/>
      <c r="I6" s="24"/>
      <c r="J6" s="25"/>
    </row>
    <row r="7" spans="2:10" s="1" customFormat="1" ht="14.5">
      <c r="B7" s="28">
        <v>1</v>
      </c>
      <c r="C7" s="20" t="s">
        <v>13</v>
      </c>
      <c r="D7" s="20" t="s">
        <v>14</v>
      </c>
      <c r="E7" s="21"/>
      <c r="F7" s="22"/>
      <c r="G7" s="23"/>
      <c r="H7" s="223"/>
      <c r="I7" s="24"/>
      <c r="J7" s="25"/>
    </row>
    <row r="8" spans="2:10" s="2" customFormat="1" ht="14.5">
      <c r="B8" s="29"/>
      <c r="C8" s="30" t="s">
        <v>15</v>
      </c>
      <c r="D8" s="21" t="s">
        <v>16</v>
      </c>
      <c r="E8" s="30"/>
      <c r="F8" s="31"/>
      <c r="G8" s="32"/>
      <c r="H8" s="223">
        <v>22</v>
      </c>
      <c r="I8" s="756" t="s">
        <v>17</v>
      </c>
      <c r="J8" s="33"/>
    </row>
    <row r="9" spans="2:10" s="2" customFormat="1" ht="14.5">
      <c r="B9" s="29"/>
      <c r="C9" s="30" t="s">
        <v>15</v>
      </c>
      <c r="D9" s="21" t="s">
        <v>18</v>
      </c>
      <c r="E9" s="30"/>
      <c r="F9" s="31"/>
      <c r="G9" s="32"/>
      <c r="H9" s="223">
        <v>4</v>
      </c>
      <c r="I9" s="757"/>
      <c r="J9" s="33"/>
    </row>
    <row r="10" spans="2:10" s="2" customFormat="1" ht="14.5">
      <c r="B10" s="29"/>
      <c r="C10" s="30" t="s">
        <v>15</v>
      </c>
      <c r="D10" s="21" t="s">
        <v>19</v>
      </c>
      <c r="E10" s="30"/>
      <c r="F10" s="31"/>
      <c r="G10" s="32"/>
      <c r="H10" s="223">
        <v>18</v>
      </c>
      <c r="I10" s="757"/>
      <c r="J10" s="33"/>
    </row>
    <row r="11" spans="2:10" s="2" customFormat="1" ht="14.5">
      <c r="B11" s="29"/>
      <c r="C11" s="30" t="s">
        <v>15</v>
      </c>
      <c r="D11" s="21" t="s">
        <v>20</v>
      </c>
      <c r="E11" s="30"/>
      <c r="F11" s="31"/>
      <c r="G11" s="32"/>
      <c r="H11" s="223">
        <v>32</v>
      </c>
      <c r="I11" s="757"/>
      <c r="J11" s="33"/>
    </row>
    <row r="12" spans="2:10" s="2" customFormat="1" ht="14.5">
      <c r="B12" s="29"/>
      <c r="C12" s="30" t="s">
        <v>15</v>
      </c>
      <c r="D12" s="21" t="s">
        <v>21</v>
      </c>
      <c r="E12" s="30"/>
      <c r="F12" s="31"/>
      <c r="G12" s="32"/>
      <c r="H12" s="223">
        <v>1</v>
      </c>
      <c r="I12" s="757"/>
      <c r="J12" s="33"/>
    </row>
    <row r="13" spans="2:10" s="1" customFormat="1" ht="14.5">
      <c r="B13" s="34"/>
      <c r="C13" s="21"/>
      <c r="D13" s="35" t="s">
        <v>22</v>
      </c>
      <c r="E13" s="36"/>
      <c r="F13" s="37">
        <f>SUM(F8:F12)</f>
        <v>0</v>
      </c>
      <c r="G13" s="37">
        <f>SUM(G8:G12)</f>
        <v>0</v>
      </c>
      <c r="H13" s="224">
        <f>SUM(H8:H12)</f>
        <v>77</v>
      </c>
      <c r="I13" s="758"/>
      <c r="J13" s="25"/>
    </row>
    <row r="14" spans="2:10" s="2" customFormat="1" ht="14.5">
      <c r="B14" s="29">
        <v>1</v>
      </c>
      <c r="C14" s="30" t="s">
        <v>23</v>
      </c>
      <c r="D14" s="21" t="str">
        <f>'[1]Data Back Office'!C22</f>
        <v>DEPARTEMEN OPERATION ENTERPRISE 1 SEGMENT 4</v>
      </c>
      <c r="E14" s="30"/>
      <c r="F14" s="31"/>
      <c r="G14" s="32"/>
      <c r="H14" s="223">
        <v>4</v>
      </c>
      <c r="I14" s="756">
        <v>1</v>
      </c>
      <c r="J14" s="33"/>
    </row>
    <row r="15" spans="2:10" s="2" customFormat="1" ht="14.5">
      <c r="B15" s="29">
        <v>2</v>
      </c>
      <c r="C15" s="218" t="s">
        <v>24</v>
      </c>
      <c r="D15" s="21" t="str">
        <f>'[1]Data Back Office'!C27</f>
        <v>GROUP OF INTERNAL AUDIT</v>
      </c>
      <c r="E15" s="30"/>
      <c r="F15" s="31"/>
      <c r="G15" s="32"/>
      <c r="H15" s="223">
        <v>4</v>
      </c>
      <c r="I15" s="757"/>
      <c r="J15" s="33"/>
    </row>
    <row r="16" spans="2:10" s="2" customFormat="1" ht="14.5">
      <c r="B16" s="29">
        <v>3</v>
      </c>
      <c r="C16" s="30" t="s">
        <v>15</v>
      </c>
      <c r="D16" s="21" t="str">
        <f>'[1]Data Back Office'!C32</f>
        <v>DEPARTEMEN FACILITY &amp; ASSET MANAGEMENT</v>
      </c>
      <c r="E16" s="30"/>
      <c r="F16" s="31"/>
      <c r="G16" s="32"/>
      <c r="H16" s="223">
        <v>4</v>
      </c>
      <c r="I16" s="757"/>
      <c r="J16" s="33"/>
    </row>
    <row r="17" spans="2:10" s="2" customFormat="1" ht="14.5">
      <c r="B17" s="29">
        <v>4</v>
      </c>
      <c r="C17" s="30" t="s">
        <v>25</v>
      </c>
      <c r="D17" s="21" t="str">
        <f>'[1]Data Back Office'!C38</f>
        <v>INVOICE TO PAY SSO</v>
      </c>
      <c r="E17" s="30"/>
      <c r="F17" s="31"/>
      <c r="G17" s="32"/>
      <c r="H17" s="223">
        <v>10</v>
      </c>
      <c r="I17" s="757"/>
      <c r="J17" s="33"/>
    </row>
    <row r="18" spans="2:10" s="2" customFormat="1" ht="14.5">
      <c r="B18" s="29">
        <v>5</v>
      </c>
      <c r="C18" s="30" t="s">
        <v>26</v>
      </c>
      <c r="D18" s="21" t="str">
        <f>'[1]Data Back Office'!C49</f>
        <v>DEPARTEMEN LEAD TO CASH SSO</v>
      </c>
      <c r="E18" s="30"/>
      <c r="F18" s="31"/>
      <c r="G18" s="32"/>
      <c r="H18" s="223">
        <v>7</v>
      </c>
      <c r="I18" s="757"/>
      <c r="J18" s="33"/>
    </row>
    <row r="19" spans="2:10" s="2" customFormat="1" ht="14.5">
      <c r="B19" s="29">
        <v>6</v>
      </c>
      <c r="C19" s="30" t="s">
        <v>27</v>
      </c>
      <c r="D19" s="21" t="str">
        <f>'[1]Data Back Office'!C57</f>
        <v>DEPARTEMEN IOC &amp; DIGITAL OPERATION</v>
      </c>
      <c r="E19" s="30"/>
      <c r="F19" s="31"/>
      <c r="G19" s="32"/>
      <c r="H19" s="223">
        <v>6</v>
      </c>
      <c r="I19" s="757"/>
      <c r="J19" s="33"/>
    </row>
    <row r="20" spans="2:10" s="1" customFormat="1" ht="14.5">
      <c r="B20" s="34"/>
      <c r="C20" s="21"/>
      <c r="D20" s="35" t="s">
        <v>22</v>
      </c>
      <c r="E20" s="36"/>
      <c r="F20" s="37">
        <f>SUM(F14:F19)</f>
        <v>0</v>
      </c>
      <c r="G20" s="37">
        <f>SUM(G15:G19)</f>
        <v>0</v>
      </c>
      <c r="H20" s="224">
        <f>SUM(H14:H19)</f>
        <v>35</v>
      </c>
      <c r="I20" s="758"/>
      <c r="J20" s="25"/>
    </row>
    <row r="21" spans="2:10" s="2" customFormat="1" ht="14.5">
      <c r="B21" s="29">
        <v>1</v>
      </c>
      <c r="C21" s="30" t="s">
        <v>28</v>
      </c>
      <c r="D21" s="21" t="str">
        <f>'[1]Data Back Office'!C68</f>
        <v>DEPARTEMEN SOURCE TO INVOICE SSO</v>
      </c>
      <c r="E21" s="30"/>
      <c r="F21" s="31"/>
      <c r="G21" s="32"/>
      <c r="H21" s="223">
        <v>15</v>
      </c>
      <c r="I21" s="756">
        <v>2</v>
      </c>
      <c r="J21" s="33"/>
    </row>
    <row r="22" spans="2:10" s="2" customFormat="1" ht="14.5">
      <c r="B22" s="29">
        <v>2</v>
      </c>
      <c r="C22" s="30" t="s">
        <v>29</v>
      </c>
      <c r="D22" s="21" t="str">
        <f>'[1]Data Back Office'!C85</f>
        <v>DEPARTEMEN DIGITAL SALES</v>
      </c>
      <c r="E22" s="30"/>
      <c r="F22" s="31"/>
      <c r="G22" s="32"/>
      <c r="H22" s="223">
        <v>9</v>
      </c>
      <c r="I22" s="757"/>
      <c r="J22" s="33"/>
    </row>
    <row r="23" spans="2:10" s="2" customFormat="1" ht="14.5">
      <c r="B23" s="29">
        <v>3</v>
      </c>
      <c r="C23" s="30" t="s">
        <v>30</v>
      </c>
      <c r="D23" s="21" t="str">
        <f>'[1]Data Back Office'!C135</f>
        <v>DEPARTEMEN CRM PRODUCT LIFECYCLE &amp; ROADMAP</v>
      </c>
      <c r="E23" s="30"/>
      <c r="F23" s="31"/>
      <c r="G23" s="32"/>
      <c r="H23" s="223">
        <v>9</v>
      </c>
      <c r="I23" s="757"/>
      <c r="J23" s="33"/>
    </row>
    <row r="24" spans="2:10" s="2" customFormat="1" ht="14.5">
      <c r="B24" s="29">
        <v>4</v>
      </c>
      <c r="C24" s="30" t="s">
        <v>30</v>
      </c>
      <c r="D24" s="21" t="str">
        <f>'[1]Data Back Office'!C144</f>
        <v>DEPARTEMEN PARTNERSHIP MANAGEMENT</v>
      </c>
      <c r="E24" s="30"/>
      <c r="F24" s="31"/>
      <c r="G24" s="32"/>
      <c r="H24" s="223">
        <v>4</v>
      </c>
      <c r="I24" s="757"/>
      <c r="J24" s="33"/>
    </row>
    <row r="25" spans="2:10" s="2" customFormat="1" ht="14.5">
      <c r="B25" s="29">
        <v>5</v>
      </c>
      <c r="C25" s="30" t="s">
        <v>31</v>
      </c>
      <c r="D25" s="21" t="str">
        <f>'[1]Data Back Office'!C96</f>
        <v>DEPARTEMEN PROJECT PLANNING &amp; CONTROLLING</v>
      </c>
      <c r="E25" s="30"/>
      <c r="F25" s="31"/>
      <c r="G25" s="32"/>
      <c r="H25" s="223">
        <v>7</v>
      </c>
      <c r="I25" s="757"/>
      <c r="J25" s="33"/>
    </row>
    <row r="26" spans="2:10" s="2" customFormat="1" ht="14.5">
      <c r="B26" s="29">
        <v>6</v>
      </c>
      <c r="C26" s="30" t="s">
        <v>31</v>
      </c>
      <c r="D26" s="21" t="str">
        <f>'[1]Data Back Office'!C103</f>
        <v>GROUP OF PROJECT MANAGEMENT</v>
      </c>
      <c r="E26" s="30"/>
      <c r="F26" s="31"/>
      <c r="G26" s="32"/>
      <c r="H26" s="223">
        <v>27</v>
      </c>
      <c r="I26" s="757"/>
      <c r="J26" s="33"/>
    </row>
    <row r="27" spans="2:10" s="1" customFormat="1" ht="14.5">
      <c r="B27" s="34"/>
      <c r="C27" s="21"/>
      <c r="D27" s="35" t="s">
        <v>22</v>
      </c>
      <c r="E27" s="36"/>
      <c r="F27" s="37">
        <f>SUM(F21:F26)</f>
        <v>0</v>
      </c>
      <c r="G27" s="37">
        <f>SUM(G22:G26)</f>
        <v>0</v>
      </c>
      <c r="H27" s="224">
        <f>SUM(H21:H26)</f>
        <v>71</v>
      </c>
      <c r="I27" s="758"/>
      <c r="J27" s="25"/>
    </row>
    <row r="28" spans="2:10" s="2" customFormat="1" ht="14.5">
      <c r="B28" s="29">
        <v>1</v>
      </c>
      <c r="C28" s="38" t="s">
        <v>27</v>
      </c>
      <c r="D28" s="760" t="str">
        <f>'[1]Data Back Office'!C153</f>
        <v>DEPARTEMEN IT SYSTEM OPERATION SERVICES</v>
      </c>
      <c r="E28" s="761"/>
      <c r="F28" s="31"/>
      <c r="G28" s="32"/>
      <c r="H28" s="223">
        <v>6</v>
      </c>
      <c r="I28" s="756">
        <v>3</v>
      </c>
      <c r="J28" s="33"/>
    </row>
    <row r="29" spans="2:10" s="2" customFormat="1" ht="14.5">
      <c r="B29" s="29">
        <v>2</v>
      </c>
      <c r="C29" s="30" t="s">
        <v>32</v>
      </c>
      <c r="D29" s="21" t="str">
        <f>'[1]Data Back Office'!C160</f>
        <v>DEPARTEMEN CORPORATE COMMUNICATION</v>
      </c>
      <c r="E29" s="30"/>
      <c r="F29" s="31"/>
      <c r="G29" s="32"/>
      <c r="H29" s="223">
        <v>8</v>
      </c>
      <c r="I29" s="757"/>
      <c r="J29" s="33"/>
    </row>
    <row r="30" spans="2:10" s="2" customFormat="1" ht="14.5">
      <c r="B30" s="29">
        <v>3</v>
      </c>
      <c r="C30" s="30" t="s">
        <v>33</v>
      </c>
      <c r="D30" s="21" t="str">
        <f>'[1]Data Back Office'!C430</f>
        <v>DEPARTEMEN CORPORATE OFFICE SUPPORT</v>
      </c>
      <c r="E30" s="30"/>
      <c r="F30" s="31"/>
      <c r="G30" s="32"/>
      <c r="H30" s="223">
        <v>3</v>
      </c>
      <c r="I30" s="757"/>
      <c r="J30" s="33"/>
    </row>
    <row r="31" spans="2:10" s="2" customFormat="1" ht="14.5">
      <c r="B31" s="29">
        <v>4</v>
      </c>
      <c r="C31" s="30" t="s">
        <v>33</v>
      </c>
      <c r="D31" s="21" t="str">
        <f>'[1]Data Back Office'!C170</f>
        <v>DEPARTEMEN LEGAL CONSULT &amp; SETTLEMENT</v>
      </c>
      <c r="E31" s="30"/>
      <c r="F31" s="31"/>
      <c r="G31" s="32"/>
      <c r="H31" s="223">
        <v>3</v>
      </c>
      <c r="I31" s="757"/>
      <c r="J31" s="33"/>
    </row>
    <row r="32" spans="2:10" s="2" customFormat="1" ht="14.5">
      <c r="B32" s="29">
        <v>5</v>
      </c>
      <c r="C32" s="30" t="s">
        <v>33</v>
      </c>
      <c r="D32" s="21" t="str">
        <f>'[1]Data Back Office'!C174</f>
        <v>DEPARTEMEN LEGAL CORPORATE</v>
      </c>
      <c r="E32" s="30"/>
      <c r="F32" s="31"/>
      <c r="G32" s="32"/>
      <c r="H32" s="223">
        <v>8</v>
      </c>
      <c r="I32" s="757"/>
      <c r="J32" s="33"/>
    </row>
    <row r="33" spans="2:10" s="2" customFormat="1" ht="14.5">
      <c r="B33" s="29">
        <v>6</v>
      </c>
      <c r="C33" s="30" t="str">
        <f>'[1]Data Back Office'!B186</f>
        <v>DIDIN SARIPUDIN</v>
      </c>
      <c r="D33" s="21" t="str">
        <f>'[1]Data Back Office'!C186</f>
        <v>DEPARTEMEN IT DIGITIZATION</v>
      </c>
      <c r="E33" s="30"/>
      <c r="F33" s="31"/>
      <c r="G33" s="32"/>
      <c r="H33" s="223">
        <v>8</v>
      </c>
      <c r="I33" s="757"/>
      <c r="J33" s="33"/>
    </row>
    <row r="34" spans="2:10" s="2" customFormat="1" ht="14.5">
      <c r="B34" s="29">
        <v>7</v>
      </c>
      <c r="C34" s="30" t="str">
        <f>'[1]Data Back Office'!B19</f>
        <v>ANDI TEGUH IMAWAN</v>
      </c>
      <c r="D34" s="21" t="str">
        <f>'[1]Data Back Office'!C19</f>
        <v>GROUP OF BUSDEV &amp; INNOVATION CENTER</v>
      </c>
      <c r="E34" s="30"/>
      <c r="F34" s="31"/>
      <c r="G34" s="32"/>
      <c r="H34" s="223">
        <v>2</v>
      </c>
      <c r="I34" s="757"/>
      <c r="J34" s="33"/>
    </row>
    <row r="35" spans="2:10" s="2" customFormat="1" ht="14.5">
      <c r="B35" s="29">
        <v>8</v>
      </c>
      <c r="C35" s="30" t="s">
        <v>34</v>
      </c>
      <c r="D35" s="21" t="str">
        <f>'[1]Data Back Office'!C194</f>
        <v>DEPARTEMEN ACCOUNTING &amp; TAX</v>
      </c>
      <c r="E35" s="30"/>
      <c r="F35" s="31"/>
      <c r="G35" s="32"/>
      <c r="H35" s="223">
        <v>7</v>
      </c>
      <c r="I35" s="757"/>
      <c r="J35" s="33"/>
    </row>
    <row r="36" spans="2:10" s="2" customFormat="1" ht="14.5">
      <c r="B36" s="29">
        <v>9</v>
      </c>
      <c r="C36" s="30" t="s">
        <v>35</v>
      </c>
      <c r="D36" s="21" t="str">
        <f>'[1]Data Back Office'!C201</f>
        <v>DEPARTEMEN BILLING MANAGEMENT</v>
      </c>
      <c r="E36" s="30"/>
      <c r="F36" s="31"/>
      <c r="G36" s="32"/>
      <c r="H36" s="223">
        <v>5</v>
      </c>
      <c r="I36" s="757"/>
      <c r="J36" s="33"/>
    </row>
    <row r="37" spans="2:10" s="2" customFormat="1" ht="14.5">
      <c r="B37" s="29">
        <v>10</v>
      </c>
      <c r="C37" s="30" t="s">
        <v>35</v>
      </c>
      <c r="D37" s="21" t="str">
        <f>'[1]Data Back Office'!C207</f>
        <v>DEPARTEMEN COLLECTION 1</v>
      </c>
      <c r="E37" s="30"/>
      <c r="F37" s="31"/>
      <c r="G37" s="32"/>
      <c r="H37" s="223">
        <v>8</v>
      </c>
      <c r="I37" s="757"/>
      <c r="J37" s="33"/>
    </row>
    <row r="38" spans="2:10" s="2" customFormat="1" ht="14.5">
      <c r="B38" s="29">
        <v>11</v>
      </c>
      <c r="C38" s="30" t="s">
        <v>35</v>
      </c>
      <c r="D38" s="21" t="str">
        <f>'[1]Data Back Office'!C216</f>
        <v>DEPARTEMEN COLLECTION 2</v>
      </c>
      <c r="E38" s="30"/>
      <c r="F38" s="31"/>
      <c r="G38" s="32"/>
      <c r="H38" s="223">
        <v>7</v>
      </c>
      <c r="I38" s="757"/>
      <c r="J38" s="33"/>
    </row>
    <row r="39" spans="2:10" s="2" customFormat="1" ht="14.5">
      <c r="B39" s="29">
        <v>12</v>
      </c>
      <c r="C39" s="30" t="s">
        <v>36</v>
      </c>
      <c r="D39" s="21" t="str">
        <f>'[1]Data Back Office'!C226</f>
        <v>DEPARTEMEN CORPORATE PLANNING</v>
      </c>
      <c r="E39" s="30"/>
      <c r="F39" s="31"/>
      <c r="G39" s="32"/>
      <c r="H39" s="223">
        <v>4</v>
      </c>
      <c r="I39" s="757"/>
      <c r="J39" s="33"/>
    </row>
    <row r="40" spans="2:10" s="2" customFormat="1" ht="14.5">
      <c r="B40" s="29">
        <v>13</v>
      </c>
      <c r="C40" s="30" t="s">
        <v>36</v>
      </c>
      <c r="D40" s="21" t="str">
        <f>'[1]Data Back Office'!C230</f>
        <v>DEPARTEMEN STRATEGIC EVALUATION &amp; CONTROL</v>
      </c>
      <c r="E40" s="30"/>
      <c r="F40" s="31"/>
      <c r="G40" s="32"/>
      <c r="H40" s="223">
        <v>4</v>
      </c>
      <c r="I40" s="757"/>
      <c r="J40" s="33"/>
    </row>
    <row r="41" spans="2:10" s="2" customFormat="1" ht="14.5">
      <c r="B41" s="29">
        <v>14</v>
      </c>
      <c r="C41" s="30" t="s">
        <v>36</v>
      </c>
      <c r="D41" s="21" t="str">
        <f>'[1]Data Back Office'!C235</f>
        <v>DEPARTEMEN STRATEGIC INVESTMENT &amp; PORTFOLIO</v>
      </c>
      <c r="E41" s="30"/>
      <c r="F41" s="31"/>
      <c r="G41" s="32"/>
      <c r="H41" s="223">
        <v>4</v>
      </c>
      <c r="I41" s="757"/>
      <c r="J41" s="33"/>
    </row>
    <row r="42" spans="2:10" s="2" customFormat="1" ht="14.5">
      <c r="B42" s="29">
        <v>15</v>
      </c>
      <c r="C42" s="30" t="s">
        <v>34</v>
      </c>
      <c r="D42" s="21" t="str">
        <f>'[1]Data Back Office'!C249</f>
        <v>DEPARTEMEN REVENUE, COST CONTROL &amp; BUDGETING</v>
      </c>
      <c r="E42" s="30"/>
      <c r="F42" s="31"/>
      <c r="G42" s="32"/>
      <c r="H42" s="223">
        <v>8</v>
      </c>
      <c r="I42" s="757"/>
      <c r="J42" s="33"/>
    </row>
    <row r="43" spans="2:10" s="2" customFormat="1" ht="14.5">
      <c r="B43" s="29">
        <v>16</v>
      </c>
      <c r="C43" s="30" t="s">
        <v>34</v>
      </c>
      <c r="D43" s="21" t="str">
        <f>'[1]Data Back Office'!C258</f>
        <v>DEPARTEMEN TREASURY MANAGEMENT</v>
      </c>
      <c r="E43" s="30"/>
      <c r="F43" s="31"/>
      <c r="G43" s="32"/>
      <c r="H43" s="223">
        <v>8</v>
      </c>
      <c r="I43" s="757"/>
      <c r="J43" s="33"/>
    </row>
    <row r="44" spans="2:10" s="2" customFormat="1" ht="14.5">
      <c r="B44" s="29">
        <v>17</v>
      </c>
      <c r="C44" s="30" t="s">
        <v>15</v>
      </c>
      <c r="D44" s="21" t="str">
        <f>'[1]Data Back Office'!C269</f>
        <v>DEPARTEMEN FACILITY &amp; ASSET MANAGEMENT</v>
      </c>
      <c r="E44" s="30"/>
      <c r="F44" s="31"/>
      <c r="G44" s="32"/>
      <c r="H44" s="223">
        <v>10</v>
      </c>
      <c r="I44" s="757"/>
      <c r="J44" s="33"/>
    </row>
    <row r="45" spans="2:10" s="2" customFormat="1" ht="14.5">
      <c r="B45" s="29">
        <v>18</v>
      </c>
      <c r="C45" s="30" t="s">
        <v>15</v>
      </c>
      <c r="D45" s="21" t="str">
        <f>'[1]Data Back Office'!C279</f>
        <v>DEPARTEMEN STRATEGIC PROCUREMENT</v>
      </c>
      <c r="E45" s="30"/>
      <c r="F45" s="31"/>
      <c r="G45" s="32"/>
      <c r="H45" s="223">
        <v>10</v>
      </c>
      <c r="I45" s="757"/>
      <c r="J45" s="33"/>
    </row>
    <row r="46" spans="2:10" s="2" customFormat="1" ht="14.5">
      <c r="B46" s="29">
        <v>19</v>
      </c>
      <c r="C46" s="30" t="s">
        <v>37</v>
      </c>
      <c r="D46" s="21" t="str">
        <f>'[1]Data Back Office'!C292</f>
        <v>DEPARTEMEN GOVERNANCE &amp; BUSINESS EFFECTIVENESS</v>
      </c>
      <c r="E46" s="30"/>
      <c r="F46" s="31"/>
      <c r="G46" s="32"/>
      <c r="H46" s="223">
        <v>5</v>
      </c>
      <c r="I46" s="757"/>
      <c r="J46" s="33"/>
    </row>
    <row r="47" spans="2:10" s="2" customFormat="1" ht="14.5">
      <c r="B47" s="29">
        <v>20</v>
      </c>
      <c r="C47" s="30" t="s">
        <v>37</v>
      </c>
      <c r="D47" s="21" t="str">
        <f>'[1]Data Back Office'!C297</f>
        <v>DEPARTEMEN RISK MANAGEMENT &amp; CORPORATE TRANSFORMATION</v>
      </c>
      <c r="E47" s="30"/>
      <c r="F47" s="31"/>
      <c r="G47" s="32"/>
      <c r="H47" s="223">
        <v>5</v>
      </c>
      <c r="I47" s="757"/>
      <c r="J47" s="33"/>
    </row>
    <row r="48" spans="2:10" s="2" customFormat="1" ht="14.5">
      <c r="B48" s="29">
        <v>21</v>
      </c>
      <c r="C48" s="30" t="s">
        <v>38</v>
      </c>
      <c r="D48" s="21" t="str">
        <f>'[1]Data Back Office'!C303</f>
        <v>DEPARTEMEN OPERATION TGNT SEGMENT 4</v>
      </c>
      <c r="E48" s="30"/>
      <c r="F48" s="31"/>
      <c r="G48" s="32"/>
      <c r="H48" s="223">
        <v>3</v>
      </c>
      <c r="I48" s="757"/>
      <c r="J48" s="33"/>
    </row>
    <row r="49" spans="2:10" s="2" customFormat="1" ht="14.5">
      <c r="B49" s="29">
        <v>22</v>
      </c>
      <c r="C49" s="30" t="s">
        <v>39</v>
      </c>
      <c r="D49" s="21" t="str">
        <f>'[1]Data Back Office'!C309</f>
        <v>DEPARTEMEN HC ENABLER &amp; INDUSTRIAL RELATION</v>
      </c>
      <c r="E49" s="30"/>
      <c r="F49" s="31"/>
      <c r="G49" s="32"/>
      <c r="H49" s="223">
        <v>7</v>
      </c>
      <c r="I49" s="757"/>
      <c r="J49" s="33"/>
    </row>
    <row r="50" spans="2:10" s="2" customFormat="1" ht="14.5">
      <c r="B50" s="29">
        <v>23</v>
      </c>
      <c r="C50" s="30" t="s">
        <v>40</v>
      </c>
      <c r="D50" s="21" t="str">
        <f>'[1]Data Back Office'!C316</f>
        <v>DEPARTEMEN HC STRATEGY &amp; OD</v>
      </c>
      <c r="E50" s="30"/>
      <c r="F50" s="31"/>
      <c r="G50" s="32"/>
      <c r="H50" s="223">
        <v>3</v>
      </c>
      <c r="I50" s="757"/>
      <c r="J50" s="33"/>
    </row>
    <row r="51" spans="2:10" s="2" customFormat="1" ht="14.5">
      <c r="B51" s="29">
        <v>24</v>
      </c>
      <c r="C51" s="30" t="s">
        <v>40</v>
      </c>
      <c r="D51" s="21" t="str">
        <f>'[1]Data Back Office'!C320</f>
        <v>DEPARTEMEN TALENT MANAGEMENT</v>
      </c>
      <c r="E51" s="30"/>
      <c r="F51" s="31"/>
      <c r="G51" s="32"/>
      <c r="H51" s="223">
        <v>6</v>
      </c>
      <c r="I51" s="757"/>
      <c r="J51" s="33"/>
    </row>
    <row r="52" spans="2:10" s="2" customFormat="1" ht="14.5">
      <c r="B52" s="29">
        <v>25</v>
      </c>
      <c r="C52" s="30" t="s">
        <v>41</v>
      </c>
      <c r="D52" s="21" t="str">
        <f>'[1]Data Back Office'!C329</f>
        <v>GROUP OF IT CRM PRODUCT DEVELOPMENT</v>
      </c>
      <c r="E52" s="30"/>
      <c r="F52" s="31"/>
      <c r="G52" s="32"/>
      <c r="H52" s="223">
        <v>8</v>
      </c>
      <c r="I52" s="757"/>
      <c r="J52" s="33"/>
    </row>
    <row r="53" spans="2:10" s="2" customFormat="1" ht="14.5">
      <c r="B53" s="29">
        <v>26</v>
      </c>
      <c r="C53" s="30" t="s">
        <v>41</v>
      </c>
      <c r="D53" s="21" t="str">
        <f>'[1]Data Back Office'!C338</f>
        <v>GROUP OF IT CRM PROJECT DELIVERY</v>
      </c>
      <c r="E53" s="30"/>
      <c r="F53" s="31"/>
      <c r="G53" s="32"/>
      <c r="H53" s="223">
        <v>11</v>
      </c>
      <c r="I53" s="757"/>
      <c r="J53" s="33"/>
    </row>
    <row r="54" spans="2:10" s="2" customFormat="1" ht="14.5">
      <c r="B54" s="29">
        <v>27</v>
      </c>
      <c r="C54" s="30" t="s">
        <v>41</v>
      </c>
      <c r="D54" s="21" t="str">
        <f>'[1]Data Back Office'!C351</f>
        <v>GROUP OF IT SSO PRODUCT DEVELOPMENT</v>
      </c>
      <c r="E54" s="30"/>
      <c r="F54" s="31"/>
      <c r="G54" s="32"/>
      <c r="H54" s="223">
        <v>18</v>
      </c>
      <c r="I54" s="757"/>
      <c r="J54" s="33"/>
    </row>
    <row r="55" spans="2:10" s="2" customFormat="1" ht="14.5">
      <c r="B55" s="29">
        <v>28</v>
      </c>
      <c r="C55" s="30" t="s">
        <v>41</v>
      </c>
      <c r="D55" s="21" t="str">
        <f>'[1]Data Back Office'!C370</f>
        <v>GROUP OF IT SSO PROJECT DELIVERY</v>
      </c>
      <c r="E55" s="30"/>
      <c r="F55" s="31"/>
      <c r="G55" s="32"/>
      <c r="H55" s="223">
        <v>16</v>
      </c>
      <c r="I55" s="757"/>
      <c r="J55" s="33"/>
    </row>
    <row r="56" spans="2:10" s="2" customFormat="1" ht="14.5">
      <c r="B56" s="29">
        <v>29</v>
      </c>
      <c r="C56" s="30" t="s">
        <v>42</v>
      </c>
      <c r="D56" s="21" t="str">
        <f>'[1]Data Back Office'!C389</f>
        <v>DEPARTEMEN IT GOVERNANCE &amp; SECURITY MANAGEMENT</v>
      </c>
      <c r="E56" s="30"/>
      <c r="F56" s="31"/>
      <c r="G56" s="32"/>
      <c r="H56" s="223">
        <v>9</v>
      </c>
      <c r="I56" s="757"/>
      <c r="J56" s="33"/>
    </row>
    <row r="57" spans="2:10" s="2" customFormat="1" ht="14.5">
      <c r="B57" s="29">
        <v>30</v>
      </c>
      <c r="C57" s="30" t="s">
        <v>42</v>
      </c>
      <c r="D57" s="21" t="str">
        <f>'[1]Data Back Office'!C398</f>
        <v>DEPARTEMEN IT NETWORK DEVELOPMENT</v>
      </c>
      <c r="E57" s="30"/>
      <c r="F57" s="31"/>
      <c r="G57" s="32"/>
      <c r="H57" s="223">
        <v>4</v>
      </c>
      <c r="I57" s="757"/>
      <c r="J57" s="33"/>
    </row>
    <row r="58" spans="2:10" s="2" customFormat="1" ht="14.5">
      <c r="B58" s="29">
        <v>31</v>
      </c>
      <c r="C58" s="30" t="s">
        <v>42</v>
      </c>
      <c r="D58" s="21" t="str">
        <f>'[1]Data Back Office'!C403</f>
        <v>DEPARTEMEN IT SYSTEM INTEGRATION</v>
      </c>
      <c r="E58" s="30"/>
      <c r="F58" s="31"/>
      <c r="G58" s="32"/>
      <c r="H58" s="223">
        <v>6</v>
      </c>
      <c r="I58" s="757"/>
      <c r="J58" s="33"/>
    </row>
    <row r="59" spans="2:10" s="1" customFormat="1" ht="14.5">
      <c r="B59" s="34"/>
      <c r="C59" s="21"/>
      <c r="D59" s="35" t="s">
        <v>22</v>
      </c>
      <c r="E59" s="36"/>
      <c r="F59" s="37">
        <f>SUM(F28:F58)</f>
        <v>0</v>
      </c>
      <c r="G59" s="37">
        <f>SUM(G44:G58)</f>
        <v>0</v>
      </c>
      <c r="H59" s="224">
        <f>SUM(H28:H58)</f>
        <v>214</v>
      </c>
      <c r="I59" s="758"/>
      <c r="J59" s="25"/>
    </row>
    <row r="60" spans="2:10" s="2" customFormat="1" ht="14.5">
      <c r="B60" s="29">
        <v>1</v>
      </c>
      <c r="C60" s="30" t="s">
        <v>43</v>
      </c>
      <c r="D60" s="21" t="s">
        <v>43</v>
      </c>
      <c r="E60" s="30"/>
      <c r="F60" s="31"/>
      <c r="G60" s="32"/>
      <c r="H60" s="223">
        <v>4</v>
      </c>
      <c r="I60" s="756">
        <v>4</v>
      </c>
      <c r="J60" s="33"/>
    </row>
    <row r="61" spans="2:10" s="2" customFormat="1" ht="14.5">
      <c r="B61" s="29">
        <v>2</v>
      </c>
      <c r="C61" s="30" t="s">
        <v>32</v>
      </c>
      <c r="D61" s="21" t="s">
        <v>44</v>
      </c>
      <c r="E61" s="30"/>
      <c r="F61" s="31"/>
      <c r="G61" s="32"/>
      <c r="H61" s="223">
        <v>8</v>
      </c>
      <c r="I61" s="758"/>
      <c r="J61" s="33"/>
    </row>
    <row r="62" spans="2:10" s="1" customFormat="1" ht="14.5">
      <c r="B62" s="34"/>
      <c r="C62" s="21"/>
      <c r="D62" s="35" t="s">
        <v>22</v>
      </c>
      <c r="E62" s="36"/>
      <c r="F62" s="37">
        <f>SUM(F47:F61)</f>
        <v>0</v>
      </c>
      <c r="G62" s="37">
        <f>SUM(G47:G61)</f>
        <v>0</v>
      </c>
      <c r="H62" s="224">
        <f>SUM(H60:H61)</f>
        <v>12</v>
      </c>
      <c r="I62" s="40"/>
      <c r="J62" s="25"/>
    </row>
    <row r="63" spans="2:10" s="2" customFormat="1" ht="14.5">
      <c r="B63" s="29">
        <v>1</v>
      </c>
      <c r="C63" s="30" t="s">
        <v>45</v>
      </c>
      <c r="D63" s="21" t="str">
        <f>'[1]Data Back Office'!C444</f>
        <v>GROUP OF CRM BUSINESS SOLUTION</v>
      </c>
      <c r="E63" s="30"/>
      <c r="F63" s="31"/>
      <c r="G63" s="32"/>
      <c r="H63" s="223">
        <v>18</v>
      </c>
      <c r="I63" s="756">
        <v>5</v>
      </c>
      <c r="J63" s="33"/>
    </row>
    <row r="64" spans="2:10" s="2" customFormat="1" ht="14.5">
      <c r="B64" s="29">
        <v>2</v>
      </c>
      <c r="C64" s="30" t="s">
        <v>46</v>
      </c>
      <c r="D64" s="21" t="str">
        <f>'[1]Data Back Office'!C465</f>
        <v>DEPARTEMEN BIDDING MANAGEMENT</v>
      </c>
      <c r="E64" s="30"/>
      <c r="F64" s="31"/>
      <c r="G64" s="32"/>
      <c r="H64" s="223">
        <v>10</v>
      </c>
      <c r="I64" s="757"/>
      <c r="J64" s="33"/>
    </row>
    <row r="65" spans="2:10" s="2" customFormat="1" ht="14.5">
      <c r="B65" s="29">
        <v>3</v>
      </c>
      <c r="C65" s="30" t="s">
        <v>46</v>
      </c>
      <c r="D65" s="21" t="str">
        <f>'[1]Data Back Office'!C475</f>
        <v>DEPARTEMEN MARKETING STRATEGY &amp; DIGITAL CAMPAIGN</v>
      </c>
      <c r="E65" s="30"/>
      <c r="F65" s="31"/>
      <c r="G65" s="32"/>
      <c r="H65" s="223">
        <v>5</v>
      </c>
      <c r="I65" s="757"/>
      <c r="J65" s="33"/>
    </row>
    <row r="66" spans="2:10" s="2" customFormat="1" ht="14.5">
      <c r="B66" s="29">
        <v>4</v>
      </c>
      <c r="C66" s="30" t="s">
        <v>46</v>
      </c>
      <c r="D66" s="21" t="s">
        <v>47</v>
      </c>
      <c r="E66" s="30"/>
      <c r="F66" s="31"/>
      <c r="G66" s="32"/>
      <c r="H66" s="223">
        <v>5</v>
      </c>
      <c r="I66" s="757"/>
      <c r="J66" s="33"/>
    </row>
    <row r="67" spans="2:10" s="2" customFormat="1" ht="14.5">
      <c r="B67" s="29">
        <v>5</v>
      </c>
      <c r="C67" s="30" t="s">
        <v>48</v>
      </c>
      <c r="D67" s="21" t="str">
        <f>'[1]Data Back Office'!C489</f>
        <v>GROUP OF SALES PRIVATE SERVICES</v>
      </c>
      <c r="E67" s="30"/>
      <c r="F67" s="31"/>
      <c r="G67" s="32"/>
      <c r="H67" s="223">
        <v>12</v>
      </c>
      <c r="I67" s="757"/>
      <c r="J67" s="33"/>
    </row>
    <row r="68" spans="2:10" s="2" customFormat="1" ht="14.5">
      <c r="B68" s="29">
        <v>6</v>
      </c>
      <c r="C68" s="30" t="s">
        <v>29</v>
      </c>
      <c r="D68" s="21" t="str">
        <f>'[1]Data Back Office'!C501</f>
        <v>GROUP OF SALES GOVERNMENT &amp; AREA</v>
      </c>
      <c r="E68" s="30"/>
      <c r="F68" s="31"/>
      <c r="G68" s="32"/>
      <c r="H68" s="223">
        <v>14</v>
      </c>
      <c r="I68" s="757"/>
      <c r="J68" s="33"/>
    </row>
    <row r="69" spans="2:10" s="2" customFormat="1" ht="14.5">
      <c r="B69" s="29">
        <v>7</v>
      </c>
      <c r="C69" s="30" t="s">
        <v>49</v>
      </c>
      <c r="D69" s="21" t="str">
        <f>'[1]Data Back Office'!C518</f>
        <v>GROUP OF SALES SOE SERVICES</v>
      </c>
      <c r="E69" s="30"/>
      <c r="F69" s="31"/>
      <c r="G69" s="32"/>
      <c r="H69" s="223">
        <v>11</v>
      </c>
      <c r="I69" s="757"/>
      <c r="J69" s="33"/>
    </row>
    <row r="70" spans="2:10" s="2" customFormat="1" ht="14.5">
      <c r="B70" s="29">
        <v>8</v>
      </c>
      <c r="C70" s="30" t="s">
        <v>50</v>
      </c>
      <c r="D70" s="21" t="str">
        <f>'[1]Data Back Office'!C531</f>
        <v>GROUP OF SALES TELKOM GROUP</v>
      </c>
      <c r="E70" s="30"/>
      <c r="F70" s="31"/>
      <c r="G70" s="32"/>
      <c r="H70" s="223">
        <v>13</v>
      </c>
      <c r="I70" s="757"/>
      <c r="J70" s="33"/>
    </row>
    <row r="71" spans="2:10" s="2" customFormat="1" ht="14.5">
      <c r="B71" s="29">
        <v>8</v>
      </c>
      <c r="C71" s="30" t="s">
        <v>39</v>
      </c>
      <c r="D71" s="21" t="str">
        <f>'[1]Data Back Office'!C544</f>
        <v>GROUP OF DIGITAL PRODUCT ENABLER</v>
      </c>
      <c r="E71" s="30"/>
      <c r="F71" s="31"/>
      <c r="G71" s="32"/>
      <c r="H71" s="223">
        <v>7</v>
      </c>
      <c r="I71" s="757"/>
      <c r="J71" s="33"/>
    </row>
    <row r="72" spans="2:10" s="2" customFormat="1" ht="14.5">
      <c r="B72" s="29">
        <v>10</v>
      </c>
      <c r="C72" s="30" t="s">
        <v>23</v>
      </c>
      <c r="D72" s="21" t="str">
        <f>'[1]Data Back Office'!C556</f>
        <v>DEPARTEMEN OPERATION ENTERPRISE 1 SEGMENT 1</v>
      </c>
      <c r="E72" s="30"/>
      <c r="F72" s="31"/>
      <c r="G72" s="32"/>
      <c r="H72" s="223">
        <v>10</v>
      </c>
      <c r="I72" s="757"/>
      <c r="J72" s="33"/>
    </row>
    <row r="73" spans="2:10" s="2" customFormat="1" ht="14.5">
      <c r="B73" s="29">
        <v>11</v>
      </c>
      <c r="C73" s="30" t="s">
        <v>23</v>
      </c>
      <c r="D73" s="21" t="str">
        <f>'[1]Data Back Office'!C564</f>
        <v>DEPARTEMEN OPERATION ENTERPRISE 1 SEGMENT 2</v>
      </c>
      <c r="E73" s="30"/>
      <c r="F73" s="31"/>
      <c r="G73" s="32"/>
      <c r="H73" s="223">
        <v>2</v>
      </c>
      <c r="I73" s="757"/>
      <c r="J73" s="33"/>
    </row>
    <row r="74" spans="2:10" s="2" customFormat="1" ht="14.5">
      <c r="B74" s="29">
        <v>12</v>
      </c>
      <c r="C74" s="30" t="s">
        <v>23</v>
      </c>
      <c r="D74" s="21" t="str">
        <f>'[1]Data Back Office'!C567</f>
        <v>DEPARTEMEN OPERATION ENTERPRISE 1 SEGMENT 3</v>
      </c>
      <c r="E74" s="30"/>
      <c r="F74" s="31"/>
      <c r="G74" s="32"/>
      <c r="H74" s="223">
        <v>3</v>
      </c>
      <c r="I74" s="757"/>
      <c r="J74" s="33"/>
    </row>
    <row r="75" spans="2:10" s="2" customFormat="1" ht="14.5">
      <c r="B75" s="29">
        <v>13</v>
      </c>
      <c r="C75" s="30" t="s">
        <v>51</v>
      </c>
      <c r="D75" s="21" t="str">
        <f>'[1]Data Back Office'!C630</f>
        <v>DEPARTEMEN CX &amp; QUALITY MANAGEMENT</v>
      </c>
      <c r="E75" s="30"/>
      <c r="F75" s="31"/>
      <c r="G75" s="32"/>
      <c r="H75" s="223">
        <v>6</v>
      </c>
      <c r="I75" s="757"/>
      <c r="J75" s="33"/>
    </row>
    <row r="76" spans="2:10" s="2" customFormat="1" ht="14.5">
      <c r="B76" s="29">
        <v>14</v>
      </c>
      <c r="C76" s="30" t="s">
        <v>23</v>
      </c>
      <c r="D76" s="21" t="str">
        <f>'[1]Data Back Office'!C571</f>
        <v>DEPARTEMEN OPERATION ENTERPRISE 1 SEGMENT 5</v>
      </c>
      <c r="E76" s="30"/>
      <c r="F76" s="31"/>
      <c r="G76" s="32"/>
      <c r="H76" s="223">
        <v>3</v>
      </c>
      <c r="I76" s="757"/>
      <c r="J76" s="33"/>
    </row>
    <row r="77" spans="2:10" s="2" customFormat="1" ht="14.5">
      <c r="B77" s="29">
        <v>15</v>
      </c>
      <c r="C77" s="30" t="s">
        <v>52</v>
      </c>
      <c r="D77" s="21" t="str">
        <f>'[1]Data Back Office'!C578</f>
        <v>DEPARTEMEN OPERATION ENTERPRISE 2 SEGMENT 1</v>
      </c>
      <c r="E77" s="30"/>
      <c r="F77" s="31"/>
      <c r="G77" s="32"/>
      <c r="H77" s="223">
        <v>4</v>
      </c>
      <c r="I77" s="757"/>
      <c r="J77" s="33"/>
    </row>
    <row r="78" spans="2:10" s="2" customFormat="1" ht="14.5">
      <c r="B78" s="29">
        <v>16</v>
      </c>
      <c r="C78" s="30" t="s">
        <v>52</v>
      </c>
      <c r="D78" s="21" t="str">
        <f>'[1]Data Back Office'!C581</f>
        <v>DEPARTEMEN OPERATION ENTERPRISE 2 SEGMENT 2</v>
      </c>
      <c r="E78" s="30"/>
      <c r="F78" s="31"/>
      <c r="G78" s="32"/>
      <c r="H78" s="223">
        <v>3</v>
      </c>
      <c r="I78" s="757"/>
      <c r="J78" s="33"/>
    </row>
    <row r="79" spans="2:10" s="2" customFormat="1" ht="14.5">
      <c r="B79" s="29">
        <v>17</v>
      </c>
      <c r="C79" s="30" t="s">
        <v>52</v>
      </c>
      <c r="D79" s="21" t="str">
        <f>'[1]Data Back Office'!C585</f>
        <v>DEPARTEMEN OPERATION ENTERPRISE 2 SEGMENT 3</v>
      </c>
      <c r="E79" s="30"/>
      <c r="F79" s="31"/>
      <c r="G79" s="32"/>
      <c r="H79" s="223">
        <v>2</v>
      </c>
      <c r="I79" s="757"/>
      <c r="J79" s="33"/>
    </row>
    <row r="80" spans="2:10" s="2" customFormat="1" ht="14.5">
      <c r="B80" s="29">
        <v>18</v>
      </c>
      <c r="C80" s="30" t="s">
        <v>52</v>
      </c>
      <c r="D80" s="21" t="str">
        <f>'[1]Data Back Office'!C588</f>
        <v>DEPARTEMEN OPERATION ENTERPRISE 2 SEGMENT 4</v>
      </c>
      <c r="E80" s="30"/>
      <c r="F80" s="31"/>
      <c r="G80" s="32"/>
      <c r="H80" s="223">
        <v>2</v>
      </c>
      <c r="I80" s="757"/>
      <c r="J80" s="33"/>
    </row>
    <row r="81" spans="2:10" s="2" customFormat="1" ht="14.5">
      <c r="B81" s="29">
        <v>19</v>
      </c>
      <c r="C81" s="30" t="s">
        <v>52</v>
      </c>
      <c r="D81" s="21" t="str">
        <f>'[1]Data Back Office'!C591</f>
        <v>DEPARTEMEN OPERATION ENTERPRISE 2 SEGMENT 5</v>
      </c>
      <c r="E81" s="30"/>
      <c r="F81" s="31"/>
      <c r="G81" s="32"/>
      <c r="H81" s="223">
        <v>1</v>
      </c>
      <c r="I81" s="757"/>
      <c r="J81" s="33"/>
    </row>
    <row r="82" spans="2:10" s="2" customFormat="1" ht="14.5">
      <c r="B82" s="29">
        <v>20</v>
      </c>
      <c r="C82" s="30" t="s">
        <v>52</v>
      </c>
      <c r="D82" s="21" t="str">
        <f>'[1]Data Back Office'!C593</f>
        <v>DEPARTEMEN OPERATION ENTERPRISE 2 SEGMENT 6</v>
      </c>
      <c r="E82" s="30"/>
      <c r="F82" s="31"/>
      <c r="G82" s="32"/>
      <c r="H82" s="223">
        <v>1</v>
      </c>
      <c r="I82" s="757"/>
      <c r="J82" s="33"/>
    </row>
    <row r="83" spans="2:10" s="2" customFormat="1" ht="14.5">
      <c r="B83" s="29">
        <v>21</v>
      </c>
      <c r="C83" s="30" t="s">
        <v>53</v>
      </c>
      <c r="D83" s="21" t="str">
        <f>'[1]Data Back Office'!C598</f>
        <v>DEPARTEMEN DIGITAL CHANNEL &amp; B2B SOLUTION</v>
      </c>
      <c r="E83" s="30" t="s">
        <v>54</v>
      </c>
      <c r="F83" s="31"/>
      <c r="G83" s="32"/>
      <c r="H83" s="223">
        <v>3</v>
      </c>
      <c r="I83" s="757"/>
      <c r="J83" s="33"/>
    </row>
    <row r="84" spans="2:10" s="2" customFormat="1" ht="14.5">
      <c r="B84" s="29">
        <v>22</v>
      </c>
      <c r="C84" s="30" t="s">
        <v>53</v>
      </c>
      <c r="D84" s="21" t="str">
        <f>'[1]Data Back Office'!C600</f>
        <v>DEPARTEMEN IBC OPERATION</v>
      </c>
      <c r="E84" s="30"/>
      <c r="F84" s="31"/>
      <c r="G84" s="32"/>
      <c r="H84" s="223">
        <v>2</v>
      </c>
      <c r="I84" s="757"/>
      <c r="J84" s="33"/>
    </row>
    <row r="85" spans="2:10" s="2" customFormat="1" ht="14.5">
      <c r="B85" s="29">
        <v>23</v>
      </c>
      <c r="C85" s="30" t="s">
        <v>53</v>
      </c>
      <c r="D85" s="21" t="str">
        <f>'[1]Data Back Office'!C603</f>
        <v>DEPARTEMEN OBC &amp; COLLECTION</v>
      </c>
      <c r="E85" s="30"/>
      <c r="F85" s="31"/>
      <c r="G85" s="32"/>
      <c r="H85" s="223">
        <v>1</v>
      </c>
      <c r="I85" s="757"/>
      <c r="J85" s="33"/>
    </row>
    <row r="86" spans="2:10" s="2" customFormat="1" ht="14.5">
      <c r="B86" s="29">
        <v>24</v>
      </c>
      <c r="C86" s="30" t="s">
        <v>38</v>
      </c>
      <c r="D86" s="21" t="str">
        <f>'[1]Data Back Office'!C605</f>
        <v>DEPARTEMEN OPERATION CUSTOMER ENGAGEMENT TELKOMSEL</v>
      </c>
      <c r="E86" s="30"/>
      <c r="F86" s="31"/>
      <c r="G86" s="32"/>
      <c r="H86" s="223">
        <v>1</v>
      </c>
      <c r="I86" s="757"/>
      <c r="J86" s="33"/>
    </row>
    <row r="87" spans="2:10" s="2" customFormat="1" ht="14.5">
      <c r="B87" s="29">
        <v>25</v>
      </c>
      <c r="C87" s="30" t="s">
        <v>53</v>
      </c>
      <c r="D87" s="21" t="str">
        <f>'[1]Data Back Office'!C607</f>
        <v>DEPARTEMEN WALK IN &amp; GRAPARI OPERATION</v>
      </c>
      <c r="E87" s="30"/>
      <c r="F87" s="31"/>
      <c r="G87" s="32"/>
      <c r="H87" s="223">
        <v>2</v>
      </c>
      <c r="I87" s="757"/>
      <c r="J87" s="33"/>
    </row>
    <row r="88" spans="2:10" s="2" customFormat="1" ht="14.5">
      <c r="B88" s="29">
        <v>26</v>
      </c>
      <c r="C88" s="30" t="s">
        <v>38</v>
      </c>
      <c r="D88" s="21" t="str">
        <f>'[1]Data Back Office'!C616</f>
        <v>DEPARTEMEN OPERATION TGNT SEGMENT 1</v>
      </c>
      <c r="E88" s="30"/>
      <c r="F88" s="31"/>
      <c r="G88" s="32"/>
      <c r="H88" s="223">
        <v>2</v>
      </c>
      <c r="I88" s="757"/>
      <c r="J88" s="33"/>
    </row>
    <row r="89" spans="2:10" s="2" customFormat="1" ht="14.5">
      <c r="B89" s="29">
        <v>27</v>
      </c>
      <c r="C89" s="30" t="s">
        <v>38</v>
      </c>
      <c r="D89" s="21" t="str">
        <f>'[1]Data Back Office'!C619</f>
        <v>DEPARTEMEN OPERATION TGNT SEGMENT 2</v>
      </c>
      <c r="E89" s="30"/>
      <c r="F89" s="31"/>
      <c r="G89" s="32"/>
      <c r="H89" s="223">
        <v>2</v>
      </c>
      <c r="I89" s="757"/>
      <c r="J89" s="33"/>
    </row>
    <row r="90" spans="2:10" s="2" customFormat="1" ht="14.5">
      <c r="B90" s="29">
        <v>28</v>
      </c>
      <c r="C90" s="30" t="s">
        <v>38</v>
      </c>
      <c r="D90" s="21" t="str">
        <f>'[1]Data Back Office'!C622</f>
        <v>DEPARTEMEN OPERATION TGNT SEGMENT 3</v>
      </c>
      <c r="E90" s="30"/>
      <c r="F90" s="31"/>
      <c r="G90" s="32"/>
      <c r="H90" s="223">
        <v>2</v>
      </c>
      <c r="I90" s="757"/>
      <c r="J90" s="33"/>
    </row>
    <row r="91" spans="2:10" s="2" customFormat="1" ht="14.5">
      <c r="B91" s="29">
        <v>29</v>
      </c>
      <c r="C91" s="30" t="s">
        <v>51</v>
      </c>
      <c r="D91" s="21" t="str">
        <f>'[1]Data Back Office'!C628</f>
        <v>DEPARTEMEN CX &amp; QUALITY MANAGEMENT</v>
      </c>
      <c r="E91" s="30"/>
      <c r="F91" s="31"/>
      <c r="G91" s="32"/>
      <c r="H91" s="223">
        <v>6</v>
      </c>
      <c r="I91" s="757"/>
      <c r="J91" s="33"/>
    </row>
    <row r="92" spans="2:10" s="2" customFormat="1" ht="14.5">
      <c r="B92" s="29">
        <v>30</v>
      </c>
      <c r="C92" s="30" t="s">
        <v>51</v>
      </c>
      <c r="D92" s="21" t="str">
        <f>'[1]Data Back Office'!C633</f>
        <v>DEPARTEMEN OPERATION DATA MANAGEMENT ANALYTIC</v>
      </c>
      <c r="E92" s="30"/>
      <c r="F92" s="31"/>
      <c r="G92" s="32"/>
      <c r="H92" s="223">
        <v>3</v>
      </c>
      <c r="I92" s="757"/>
      <c r="J92" s="33"/>
    </row>
    <row r="93" spans="2:10" s="2" customFormat="1" ht="14.5">
      <c r="B93" s="29">
        <v>31</v>
      </c>
      <c r="C93" s="30" t="s">
        <v>51</v>
      </c>
      <c r="D93" s="21" t="str">
        <f>'[1]Data Back Office'!C638</f>
        <v>DEPARTEMEN OPERATION PLANNING &amp; CONTROLLING</v>
      </c>
      <c r="E93" s="30"/>
      <c r="F93" s="31"/>
      <c r="G93" s="32"/>
      <c r="H93" s="223">
        <v>3</v>
      </c>
      <c r="I93" s="757"/>
      <c r="J93" s="33"/>
    </row>
    <row r="94" spans="2:10" s="2" customFormat="1" ht="14.5">
      <c r="B94" s="29">
        <v>32</v>
      </c>
      <c r="C94" s="30" t="s">
        <v>27</v>
      </c>
      <c r="D94" s="21" t="str">
        <f>'[1]Data Back Office'!C641</f>
        <v>DEPARTEMEN IT INTERNAL CONTROL &amp; PLANNING</v>
      </c>
      <c r="E94" s="30"/>
      <c r="F94" s="31"/>
      <c r="G94" s="32"/>
      <c r="H94" s="223">
        <v>4</v>
      </c>
      <c r="I94" s="757"/>
      <c r="J94" s="33"/>
    </row>
    <row r="95" spans="2:10" s="2" customFormat="1" ht="14.5">
      <c r="B95" s="29">
        <v>33</v>
      </c>
      <c r="C95" s="30" t="s">
        <v>27</v>
      </c>
      <c r="D95" s="21" t="str">
        <f>'[1]Data Back Office'!C149</f>
        <v>DEPARTEMEN IT SECURITY OPERATION</v>
      </c>
      <c r="E95" s="30"/>
      <c r="F95" s="31"/>
      <c r="G95" s="32"/>
      <c r="H95" s="223">
        <v>3</v>
      </c>
      <c r="I95" s="757"/>
      <c r="J95" s="33"/>
    </row>
    <row r="96" spans="2:10" s="2" customFormat="1" ht="14.5">
      <c r="B96" s="29">
        <v>34</v>
      </c>
      <c r="C96" s="30" t="s">
        <v>27</v>
      </c>
      <c r="D96" s="21" t="str">
        <f>'[1]Data Back Office'!C153</f>
        <v>DEPARTEMEN IT SYSTEM OPERATION SERVICES</v>
      </c>
      <c r="E96" s="30"/>
      <c r="F96" s="31"/>
      <c r="G96" s="32"/>
      <c r="H96" s="223">
        <v>6</v>
      </c>
      <c r="I96" s="757"/>
      <c r="J96" s="33"/>
    </row>
    <row r="97" spans="2:10" s="2" customFormat="1" ht="14.5">
      <c r="B97" s="29">
        <v>35</v>
      </c>
      <c r="C97" s="30" t="s">
        <v>55</v>
      </c>
      <c r="D97" s="21" t="str">
        <f>'[1]Data Back Office'!C436</f>
        <v>TIM SUPPORT</v>
      </c>
      <c r="E97" s="30"/>
      <c r="F97" s="31"/>
      <c r="G97" s="32"/>
      <c r="H97" s="223">
        <v>3</v>
      </c>
      <c r="I97" s="757"/>
      <c r="J97" s="33"/>
    </row>
    <row r="98" spans="2:10" s="1" customFormat="1" ht="14.5">
      <c r="B98" s="34"/>
      <c r="C98" s="21"/>
      <c r="D98" s="35" t="s">
        <v>22</v>
      </c>
      <c r="E98" s="36"/>
      <c r="F98" s="37">
        <f>SUM(F92:F96)</f>
        <v>0</v>
      </c>
      <c r="G98" s="37">
        <f>SUM(G92:G96)</f>
        <v>0</v>
      </c>
      <c r="H98" s="224">
        <f>SUM(H63:H97)</f>
        <v>175</v>
      </c>
      <c r="I98" s="758"/>
      <c r="J98" s="25"/>
    </row>
    <row r="99" spans="2:10" s="1" customFormat="1" ht="14.5">
      <c r="B99" s="34"/>
      <c r="C99" s="39"/>
      <c r="D99" s="41" t="s">
        <v>56</v>
      </c>
      <c r="E99" s="42"/>
      <c r="F99" s="43">
        <f t="shared" ref="F99:H99" si="0">F13+F20+F27+F59+F62+F98</f>
        <v>0</v>
      </c>
      <c r="G99" s="43">
        <f t="shared" si="0"/>
        <v>0</v>
      </c>
      <c r="H99" s="225">
        <f t="shared" si="0"/>
        <v>584</v>
      </c>
      <c r="I99" s="44"/>
      <c r="J99" s="45"/>
    </row>
    <row r="100" spans="2:10" s="2" customFormat="1" ht="14.5">
      <c r="B100" s="26" t="s">
        <v>57</v>
      </c>
      <c r="C100" s="46"/>
      <c r="D100" s="27" t="s">
        <v>2</v>
      </c>
      <c r="E100" s="47"/>
      <c r="F100" s="31"/>
      <c r="G100" s="32"/>
      <c r="H100" s="223"/>
      <c r="I100" s="48"/>
      <c r="J100" s="33"/>
    </row>
    <row r="101" spans="2:10" s="2" customFormat="1" ht="14.5">
      <c r="B101" s="49">
        <v>1</v>
      </c>
      <c r="C101" s="47" t="s">
        <v>58</v>
      </c>
      <c r="D101" s="25" t="s">
        <v>59</v>
      </c>
      <c r="E101" s="47"/>
      <c r="F101" s="219">
        <v>25</v>
      </c>
      <c r="G101" s="220">
        <v>0</v>
      </c>
      <c r="H101" s="223">
        <v>12</v>
      </c>
      <c r="I101" s="767">
        <v>1</v>
      </c>
      <c r="J101" s="33"/>
    </row>
    <row r="102" spans="2:10" s="2" customFormat="1" ht="14.5">
      <c r="B102" s="49">
        <v>2</v>
      </c>
      <c r="C102" s="47" t="s">
        <v>60</v>
      </c>
      <c r="D102" s="25" t="s">
        <v>61</v>
      </c>
      <c r="E102" s="47"/>
      <c r="F102" s="219">
        <v>15</v>
      </c>
      <c r="G102" s="220">
        <v>5</v>
      </c>
      <c r="H102" s="223">
        <v>11</v>
      </c>
      <c r="I102" s="768"/>
      <c r="J102" s="33"/>
    </row>
    <row r="103" spans="2:10" s="2" customFormat="1" ht="14.5">
      <c r="B103" s="49">
        <v>3</v>
      </c>
      <c r="C103" s="47" t="s">
        <v>62</v>
      </c>
      <c r="D103" s="25" t="s">
        <v>63</v>
      </c>
      <c r="E103" s="47"/>
      <c r="F103" s="219">
        <v>37.6</v>
      </c>
      <c r="G103" s="220">
        <v>11</v>
      </c>
      <c r="H103" s="223">
        <v>40</v>
      </c>
      <c r="I103" s="768"/>
      <c r="J103" s="33"/>
    </row>
    <row r="104" spans="2:10" s="2" customFormat="1" ht="14.5">
      <c r="B104" s="49">
        <v>4</v>
      </c>
      <c r="C104" s="47" t="s">
        <v>64</v>
      </c>
      <c r="D104" s="25" t="s">
        <v>65</v>
      </c>
      <c r="E104" s="47"/>
      <c r="F104" s="219">
        <v>57.4</v>
      </c>
      <c r="G104" s="220">
        <v>16</v>
      </c>
      <c r="H104" s="223">
        <v>20</v>
      </c>
      <c r="I104" s="768"/>
      <c r="J104" s="33"/>
    </row>
    <row r="105" spans="2:10" s="2" customFormat="1" ht="14.5">
      <c r="B105" s="49">
        <v>5</v>
      </c>
      <c r="C105" s="47" t="s">
        <v>64</v>
      </c>
      <c r="D105" s="25" t="s">
        <v>66</v>
      </c>
      <c r="E105" s="47"/>
      <c r="F105" s="219">
        <v>27</v>
      </c>
      <c r="G105" s="220">
        <v>11</v>
      </c>
      <c r="H105" s="223">
        <v>12</v>
      </c>
      <c r="I105" s="768"/>
      <c r="J105" s="33"/>
    </row>
    <row r="106" spans="2:10" s="2" customFormat="1" ht="14.5">
      <c r="B106" s="49">
        <v>6</v>
      </c>
      <c r="C106" s="50" t="s">
        <v>67</v>
      </c>
      <c r="D106" s="25" t="s">
        <v>68</v>
      </c>
      <c r="E106" s="47"/>
      <c r="F106" s="219">
        <v>34</v>
      </c>
      <c r="G106" s="220">
        <v>4</v>
      </c>
      <c r="H106" s="223">
        <v>6</v>
      </c>
      <c r="I106" s="768"/>
      <c r="J106" s="33"/>
    </row>
    <row r="107" spans="2:10" s="1" customFormat="1" ht="14.5">
      <c r="B107" s="51"/>
      <c r="C107" s="25"/>
      <c r="D107" s="35" t="s">
        <v>69</v>
      </c>
      <c r="E107" s="36"/>
      <c r="F107" s="37">
        <f>SUM(F101:F106)</f>
        <v>196</v>
      </c>
      <c r="G107" s="37">
        <f>SUM(G101:G106)</f>
        <v>47</v>
      </c>
      <c r="H107" s="224">
        <f>SUM(H101:H106)</f>
        <v>101</v>
      </c>
      <c r="I107" s="770"/>
      <c r="J107" s="25"/>
    </row>
    <row r="108" spans="2:10" s="2" customFormat="1" ht="14.5">
      <c r="B108" s="49">
        <v>1</v>
      </c>
      <c r="C108" s="47" t="s">
        <v>60</v>
      </c>
      <c r="D108" s="25" t="s">
        <v>70</v>
      </c>
      <c r="E108" s="47"/>
      <c r="F108" s="219">
        <v>111</v>
      </c>
      <c r="G108" s="220">
        <v>63</v>
      </c>
      <c r="H108" s="223">
        <v>67</v>
      </c>
      <c r="I108" s="767">
        <v>2</v>
      </c>
      <c r="J108" s="33"/>
    </row>
    <row r="109" spans="2:10" s="2" customFormat="1" ht="14.5">
      <c r="B109" s="49">
        <v>2</v>
      </c>
      <c r="C109" s="47" t="s">
        <v>71</v>
      </c>
      <c r="D109" s="25" t="s">
        <v>72</v>
      </c>
      <c r="E109" s="47"/>
      <c r="F109" s="219">
        <v>32</v>
      </c>
      <c r="G109" s="220">
        <v>18</v>
      </c>
      <c r="H109" s="223">
        <v>16</v>
      </c>
      <c r="I109" s="768"/>
      <c r="J109" s="33"/>
    </row>
    <row r="110" spans="2:10" s="2" customFormat="1" ht="14.5">
      <c r="B110" s="49">
        <v>3</v>
      </c>
      <c r="C110" s="47" t="s">
        <v>71</v>
      </c>
      <c r="D110" s="25" t="s">
        <v>73</v>
      </c>
      <c r="E110" s="47"/>
      <c r="F110" s="219">
        <v>48</v>
      </c>
      <c r="G110" s="220">
        <v>23</v>
      </c>
      <c r="H110" s="223">
        <v>25</v>
      </c>
      <c r="I110" s="768"/>
      <c r="J110" s="33"/>
    </row>
    <row r="111" spans="2:10" s="2" customFormat="1" ht="14.5">
      <c r="B111" s="49">
        <v>4</v>
      </c>
      <c r="C111" s="47" t="s">
        <v>74</v>
      </c>
      <c r="D111" s="25" t="s">
        <v>75</v>
      </c>
      <c r="E111" s="47"/>
      <c r="F111" s="219">
        <v>90</v>
      </c>
      <c r="G111" s="220">
        <v>18</v>
      </c>
      <c r="H111" s="223">
        <v>49</v>
      </c>
      <c r="I111" s="768"/>
      <c r="J111" s="33"/>
    </row>
    <row r="112" spans="2:10" s="2" customFormat="1" ht="14.5">
      <c r="B112" s="49">
        <v>5</v>
      </c>
      <c r="C112" s="47" t="s">
        <v>74</v>
      </c>
      <c r="D112" s="25" t="s">
        <v>76</v>
      </c>
      <c r="E112" s="47"/>
      <c r="F112" s="219">
        <v>127</v>
      </c>
      <c r="G112" s="220">
        <v>34</v>
      </c>
      <c r="H112" s="223">
        <v>61</v>
      </c>
      <c r="I112" s="768"/>
      <c r="J112" s="33"/>
    </row>
    <row r="113" spans="2:16" s="2" customFormat="1" ht="14.5">
      <c r="B113" s="49">
        <v>6</v>
      </c>
      <c r="C113" s="47" t="s">
        <v>74</v>
      </c>
      <c r="D113" s="25" t="s">
        <v>77</v>
      </c>
      <c r="E113" s="47"/>
      <c r="F113" s="219">
        <v>97</v>
      </c>
      <c r="G113" s="220">
        <v>6</v>
      </c>
      <c r="H113" s="223">
        <v>14</v>
      </c>
      <c r="I113" s="768"/>
      <c r="J113" s="33"/>
    </row>
    <row r="114" spans="2:16" s="2" customFormat="1" ht="14.5">
      <c r="B114" s="49">
        <v>7</v>
      </c>
      <c r="C114" s="33" t="s">
        <v>78</v>
      </c>
      <c r="D114" s="25" t="s">
        <v>78</v>
      </c>
      <c r="E114" s="47"/>
      <c r="F114" s="219">
        <v>18</v>
      </c>
      <c r="G114" s="220">
        <v>4</v>
      </c>
      <c r="H114" s="223">
        <v>2</v>
      </c>
      <c r="I114" s="768"/>
      <c r="J114" s="33"/>
    </row>
    <row r="115" spans="2:16" s="2" customFormat="1" ht="14.5">
      <c r="B115" s="49">
        <v>8</v>
      </c>
      <c r="C115" s="47" t="s">
        <v>71</v>
      </c>
      <c r="D115" s="25" t="s">
        <v>79</v>
      </c>
      <c r="E115" s="47"/>
      <c r="F115" s="219">
        <v>11</v>
      </c>
      <c r="G115" s="220">
        <v>4</v>
      </c>
      <c r="H115" s="223">
        <v>11</v>
      </c>
      <c r="I115" s="768"/>
      <c r="J115" s="33"/>
    </row>
    <row r="116" spans="2:16" s="2" customFormat="1" ht="14.5">
      <c r="B116" s="49">
        <v>9</v>
      </c>
      <c r="C116" s="47" t="s">
        <v>60</v>
      </c>
      <c r="D116" s="25" t="s">
        <v>80</v>
      </c>
      <c r="E116" s="47"/>
      <c r="F116" s="219">
        <v>11</v>
      </c>
      <c r="G116" s="220">
        <v>4</v>
      </c>
      <c r="H116" s="223">
        <v>7</v>
      </c>
      <c r="I116" s="768"/>
      <c r="J116" s="33"/>
    </row>
    <row r="117" spans="2:16" s="2" customFormat="1" ht="14.5">
      <c r="B117" s="49">
        <v>10</v>
      </c>
      <c r="C117" s="47" t="s">
        <v>62</v>
      </c>
      <c r="D117" s="25" t="s">
        <v>81</v>
      </c>
      <c r="E117" s="47"/>
      <c r="F117" s="219">
        <v>25</v>
      </c>
      <c r="G117" s="220">
        <v>11</v>
      </c>
      <c r="H117" s="223">
        <v>12</v>
      </c>
      <c r="I117" s="768"/>
      <c r="J117" s="33"/>
    </row>
    <row r="118" spans="2:16" s="2" customFormat="1" ht="14.5">
      <c r="B118" s="49">
        <v>11</v>
      </c>
      <c r="C118" s="47" t="s">
        <v>82</v>
      </c>
      <c r="D118" s="25" t="s">
        <v>83</v>
      </c>
      <c r="E118" s="47"/>
      <c r="F118" s="219">
        <v>27</v>
      </c>
      <c r="G118" s="220">
        <v>6</v>
      </c>
      <c r="H118" s="223">
        <v>23</v>
      </c>
      <c r="I118" s="768"/>
      <c r="J118" s="33"/>
    </row>
    <row r="119" spans="2:16" s="2" customFormat="1" ht="14.5">
      <c r="B119" s="49">
        <v>12</v>
      </c>
      <c r="C119" s="47" t="s">
        <v>60</v>
      </c>
      <c r="D119" s="25" t="s">
        <v>84</v>
      </c>
      <c r="E119" s="47"/>
      <c r="F119" s="219">
        <v>19</v>
      </c>
      <c r="G119" s="220">
        <v>6</v>
      </c>
      <c r="H119" s="223">
        <v>7</v>
      </c>
      <c r="I119" s="768"/>
      <c r="J119" s="33"/>
    </row>
    <row r="120" spans="2:16" s="1" customFormat="1" ht="14.5">
      <c r="B120" s="51"/>
      <c r="C120" s="25"/>
      <c r="D120" s="35" t="s">
        <v>85</v>
      </c>
      <c r="E120" s="36">
        <f ca="1">SUM(E108:E120)</f>
        <v>0</v>
      </c>
      <c r="F120" s="37">
        <f>SUM(F108:F119)</f>
        <v>616</v>
      </c>
      <c r="G120" s="37">
        <f t="shared" ref="G120:H120" si="1">SUM(G108:G119)</f>
        <v>197</v>
      </c>
      <c r="H120" s="224">
        <f t="shared" si="1"/>
        <v>294</v>
      </c>
      <c r="I120" s="770"/>
      <c r="J120" s="25"/>
    </row>
    <row r="121" spans="2:16" s="1" customFormat="1" ht="14.5">
      <c r="B121" s="53"/>
      <c r="C121" s="41" t="s">
        <v>86</v>
      </c>
      <c r="E121" s="42"/>
      <c r="F121" s="43">
        <f>F99+F107+F120</f>
        <v>812</v>
      </c>
      <c r="G121" s="43">
        <f>G99+G107+G120</f>
        <v>244</v>
      </c>
      <c r="H121" s="225">
        <f>H99+H107+H120</f>
        <v>979</v>
      </c>
      <c r="I121" s="54"/>
      <c r="J121" s="55"/>
    </row>
    <row r="122" spans="2:16" s="3" customFormat="1" ht="14.5">
      <c r="B122" s="56" t="s">
        <v>87</v>
      </c>
      <c r="C122" s="57" t="s">
        <v>88</v>
      </c>
      <c r="D122" s="57"/>
      <c r="E122" s="58"/>
      <c r="F122" s="59"/>
      <c r="G122" s="23"/>
      <c r="H122" s="223">
        <v>0</v>
      </c>
      <c r="I122" s="24"/>
      <c r="J122" s="25"/>
      <c r="K122" s="1"/>
      <c r="L122" s="1"/>
    </row>
    <row r="123" spans="2:16" ht="14.5">
      <c r="B123" s="306">
        <v>1</v>
      </c>
      <c r="C123" s="304" t="s">
        <v>289</v>
      </c>
      <c r="D123" s="309" t="s">
        <v>14</v>
      </c>
      <c r="E123" s="309"/>
      <c r="F123" s="305"/>
      <c r="G123" s="308"/>
      <c r="H123" s="307">
        <v>0</v>
      </c>
      <c r="I123" s="303"/>
      <c r="J123" s="310"/>
      <c r="K123" s="311"/>
      <c r="L123" s="311"/>
      <c r="M123" s="312"/>
      <c r="N123" s="312"/>
      <c r="O123" s="312"/>
      <c r="P123" s="312"/>
    </row>
    <row r="124" spans="2:16" ht="14.5">
      <c r="B124" s="313"/>
      <c r="C124" s="314" t="s">
        <v>289</v>
      </c>
      <c r="D124" s="315" t="s">
        <v>16</v>
      </c>
      <c r="E124" s="316"/>
      <c r="F124" s="317"/>
      <c r="G124" s="318"/>
      <c r="H124" s="319">
        <v>7</v>
      </c>
      <c r="I124" s="320"/>
      <c r="J124" s="321"/>
      <c r="K124" s="322"/>
      <c r="L124" s="322"/>
      <c r="M124" s="312"/>
      <c r="N124" s="312"/>
      <c r="O124" s="312"/>
      <c r="P124" s="312"/>
    </row>
    <row r="125" spans="2:16" ht="14.5">
      <c r="B125" s="313"/>
      <c r="C125" s="314" t="s">
        <v>289</v>
      </c>
      <c r="D125" s="315" t="s">
        <v>18</v>
      </c>
      <c r="E125" s="316"/>
      <c r="F125" s="317"/>
      <c r="G125" s="318"/>
      <c r="H125" s="319">
        <v>2</v>
      </c>
      <c r="I125" s="320"/>
      <c r="J125" s="321"/>
      <c r="K125" s="322"/>
      <c r="L125" s="322"/>
      <c r="M125" s="312"/>
      <c r="N125" s="312"/>
      <c r="O125" s="312"/>
      <c r="P125" s="312"/>
    </row>
    <row r="126" spans="2:16" ht="14.5">
      <c r="B126" s="313"/>
      <c r="C126" s="314" t="s">
        <v>289</v>
      </c>
      <c r="D126" s="315" t="s">
        <v>19</v>
      </c>
      <c r="E126" s="316"/>
      <c r="F126" s="317"/>
      <c r="G126" s="318"/>
      <c r="H126" s="319">
        <v>1</v>
      </c>
      <c r="I126" s="320"/>
      <c r="J126" s="321"/>
      <c r="K126" s="322"/>
      <c r="L126" s="322"/>
      <c r="M126" s="312"/>
      <c r="N126" s="312"/>
      <c r="O126" s="312"/>
      <c r="P126" s="312"/>
    </row>
    <row r="127" spans="2:16" ht="14.5">
      <c r="B127" s="313"/>
      <c r="C127" s="314" t="s">
        <v>289</v>
      </c>
      <c r="D127" s="315" t="s">
        <v>20</v>
      </c>
      <c r="E127" s="316"/>
      <c r="F127" s="317"/>
      <c r="G127" s="318"/>
      <c r="H127" s="319">
        <v>8</v>
      </c>
      <c r="I127" s="320"/>
      <c r="J127" s="321"/>
      <c r="K127" s="322"/>
      <c r="L127" s="322"/>
      <c r="M127" s="312"/>
      <c r="N127" s="312"/>
      <c r="O127" s="312"/>
      <c r="P127" s="312"/>
    </row>
    <row r="128" spans="2:16" s="3" customFormat="1" ht="14.5">
      <c r="B128" s="323"/>
      <c r="C128" s="311"/>
      <c r="D128" s="324" t="s">
        <v>69</v>
      </c>
      <c r="E128" s="325"/>
      <c r="F128" s="326">
        <f>SUM(F124:F127)</f>
        <v>0</v>
      </c>
      <c r="G128" s="326">
        <f t="shared" ref="G128:H128" si="2">SUM(G124:G127)</f>
        <v>0</v>
      </c>
      <c r="H128" s="326">
        <f t="shared" si="2"/>
        <v>18</v>
      </c>
      <c r="I128" s="327"/>
      <c r="J128" s="310"/>
      <c r="K128" s="311"/>
      <c r="L128" s="311"/>
      <c r="M128" s="328"/>
      <c r="N128" s="328"/>
      <c r="O128" s="328"/>
      <c r="P128" s="328"/>
    </row>
    <row r="129" spans="2:16" thickBot="1">
      <c r="B129" s="329">
        <v>1</v>
      </c>
      <c r="C129" s="330" t="s">
        <v>290</v>
      </c>
      <c r="D129" s="331" t="s">
        <v>89</v>
      </c>
      <c r="E129" s="332"/>
      <c r="F129" s="333">
        <v>66</v>
      </c>
      <c r="G129" s="334">
        <v>33</v>
      </c>
      <c r="H129" s="335">
        <v>23</v>
      </c>
      <c r="I129" s="336">
        <v>1</v>
      </c>
      <c r="J129" s="337"/>
      <c r="K129" s="322"/>
      <c r="L129" s="322"/>
      <c r="M129" s="312"/>
      <c r="N129" s="312"/>
      <c r="O129" s="312"/>
      <c r="P129" s="312"/>
    </row>
    <row r="130" spans="2:16" ht="14.5">
      <c r="B130" s="338">
        <v>1</v>
      </c>
      <c r="C130" s="339" t="s">
        <v>291</v>
      </c>
      <c r="D130" s="340" t="s">
        <v>90</v>
      </c>
      <c r="E130" s="341"/>
      <c r="F130" s="342">
        <v>9</v>
      </c>
      <c r="G130" s="343">
        <v>2</v>
      </c>
      <c r="H130" s="344">
        <v>4</v>
      </c>
      <c r="I130" s="750">
        <v>2</v>
      </c>
      <c r="J130" s="337"/>
      <c r="K130" s="322"/>
      <c r="L130" s="322"/>
      <c r="M130" s="312"/>
      <c r="N130" s="312"/>
      <c r="O130" s="312"/>
      <c r="P130" s="312"/>
    </row>
    <row r="131" spans="2:16" ht="14.5">
      <c r="B131" s="345">
        <v>2</v>
      </c>
      <c r="C131" s="339" t="s">
        <v>292</v>
      </c>
      <c r="D131" s="346" t="s">
        <v>91</v>
      </c>
      <c r="E131" s="347"/>
      <c r="F131" s="348">
        <v>10</v>
      </c>
      <c r="G131" s="318">
        <v>4</v>
      </c>
      <c r="H131" s="319">
        <v>8</v>
      </c>
      <c r="I131" s="751"/>
      <c r="J131" s="337"/>
      <c r="K131" s="322"/>
      <c r="L131" s="322"/>
      <c r="M131" s="312"/>
      <c r="N131" s="312"/>
      <c r="O131" s="312"/>
      <c r="P131" s="312"/>
    </row>
    <row r="132" spans="2:16" ht="14.5">
      <c r="B132" s="345">
        <v>3</v>
      </c>
      <c r="C132" s="339" t="s">
        <v>293</v>
      </c>
      <c r="D132" s="346" t="s">
        <v>92</v>
      </c>
      <c r="E132" s="347"/>
      <c r="F132" s="348">
        <v>14</v>
      </c>
      <c r="G132" s="318">
        <v>6</v>
      </c>
      <c r="H132" s="319">
        <v>4</v>
      </c>
      <c r="I132" s="751"/>
      <c r="J132" s="337"/>
      <c r="K132" s="322"/>
      <c r="L132" s="322"/>
      <c r="M132" s="312"/>
      <c r="N132" s="312"/>
      <c r="O132" s="312"/>
      <c r="P132" s="312"/>
    </row>
    <row r="133" spans="2:16" ht="14.5">
      <c r="B133" s="345">
        <v>4</v>
      </c>
      <c r="C133" s="349" t="s">
        <v>294</v>
      </c>
      <c r="D133" s="350" t="s">
        <v>93</v>
      </c>
      <c r="E133" s="351"/>
      <c r="F133" s="352">
        <v>63</v>
      </c>
      <c r="G133" s="353">
        <v>15</v>
      </c>
      <c r="H133" s="354">
        <v>25</v>
      </c>
      <c r="I133" s="751"/>
      <c r="J133" s="337"/>
      <c r="K133" s="322"/>
      <c r="L133" s="322"/>
      <c r="M133" s="312"/>
      <c r="N133" s="312"/>
      <c r="O133" s="312"/>
      <c r="P133" s="312"/>
    </row>
    <row r="134" spans="2:16" ht="14.5">
      <c r="B134" s="345">
        <v>5</v>
      </c>
      <c r="C134" s="339" t="s">
        <v>291</v>
      </c>
      <c r="D134" s="346" t="s">
        <v>94</v>
      </c>
      <c r="E134" s="347"/>
      <c r="F134" s="355">
        <v>10</v>
      </c>
      <c r="G134" s="356">
        <v>3</v>
      </c>
      <c r="H134" s="356">
        <v>1</v>
      </c>
      <c r="I134" s="751"/>
      <c r="J134" s="337"/>
      <c r="K134" s="322"/>
      <c r="L134" s="322"/>
      <c r="M134" s="312"/>
      <c r="N134" s="312"/>
      <c r="O134" s="312"/>
      <c r="P134" s="312"/>
    </row>
    <row r="135" spans="2:16" ht="14.5">
      <c r="B135" s="345">
        <v>6</v>
      </c>
      <c r="C135" s="339" t="s">
        <v>295</v>
      </c>
      <c r="D135" s="346" t="s">
        <v>95</v>
      </c>
      <c r="E135" s="347"/>
      <c r="F135" s="348">
        <v>22</v>
      </c>
      <c r="G135" s="318">
        <v>4</v>
      </c>
      <c r="H135" s="319">
        <v>6</v>
      </c>
      <c r="I135" s="751"/>
      <c r="J135" s="337"/>
      <c r="K135" s="322"/>
      <c r="L135" s="322"/>
      <c r="M135" s="312"/>
      <c r="N135" s="312"/>
      <c r="O135" s="312"/>
      <c r="P135" s="312"/>
    </row>
    <row r="136" spans="2:16" ht="14.5">
      <c r="B136" s="345">
        <v>7</v>
      </c>
      <c r="C136" s="339" t="s">
        <v>293</v>
      </c>
      <c r="D136" s="346" t="s">
        <v>96</v>
      </c>
      <c r="E136" s="347"/>
      <c r="F136" s="348">
        <v>50</v>
      </c>
      <c r="G136" s="318">
        <v>13</v>
      </c>
      <c r="H136" s="319">
        <v>9</v>
      </c>
      <c r="I136" s="751"/>
      <c r="J136" s="337"/>
      <c r="K136" s="322"/>
      <c r="L136" s="322"/>
      <c r="M136" s="312"/>
      <c r="N136" s="312"/>
      <c r="O136" s="312"/>
      <c r="P136" s="312"/>
    </row>
    <row r="137" spans="2:16" ht="14.5">
      <c r="B137" s="345">
        <v>8</v>
      </c>
      <c r="C137" s="339" t="s">
        <v>296</v>
      </c>
      <c r="D137" s="346" t="s">
        <v>97</v>
      </c>
      <c r="E137" s="347"/>
      <c r="F137" s="348">
        <v>25</v>
      </c>
      <c r="G137" s="318">
        <v>8</v>
      </c>
      <c r="H137" s="319">
        <v>12</v>
      </c>
      <c r="I137" s="751"/>
      <c r="J137" s="337"/>
      <c r="K137" s="322"/>
      <c r="L137" s="322"/>
      <c r="M137" s="312"/>
      <c r="N137" s="312"/>
      <c r="O137" s="312"/>
      <c r="P137" s="312"/>
    </row>
    <row r="138" spans="2:16" ht="14.5">
      <c r="B138" s="345">
        <v>9</v>
      </c>
      <c r="C138" s="339" t="s">
        <v>295</v>
      </c>
      <c r="D138" s="357" t="s">
        <v>98</v>
      </c>
      <c r="E138" s="347"/>
      <c r="F138" s="348">
        <v>14</v>
      </c>
      <c r="G138" s="318">
        <v>4</v>
      </c>
      <c r="H138" s="319">
        <v>3</v>
      </c>
      <c r="I138" s="751"/>
      <c r="J138" s="337"/>
      <c r="K138" s="322"/>
      <c r="L138" s="322"/>
      <c r="M138" s="312"/>
      <c r="N138" s="312"/>
      <c r="O138" s="312"/>
      <c r="P138" s="312"/>
    </row>
    <row r="139" spans="2:16" ht="14.5">
      <c r="B139" s="345">
        <v>10</v>
      </c>
      <c r="C139" s="339" t="s">
        <v>292</v>
      </c>
      <c r="D139" s="346" t="s">
        <v>99</v>
      </c>
      <c r="E139" s="347"/>
      <c r="F139" s="747">
        <v>56</v>
      </c>
      <c r="G139" s="318">
        <v>6</v>
      </c>
      <c r="H139" s="319">
        <v>19</v>
      </c>
      <c r="I139" s="751"/>
      <c r="J139" s="337"/>
      <c r="K139" s="322"/>
      <c r="L139" s="322"/>
      <c r="M139" s="312"/>
      <c r="N139" s="312"/>
      <c r="O139" s="312"/>
      <c r="P139" s="312"/>
    </row>
    <row r="140" spans="2:16" ht="14.5">
      <c r="B140" s="345">
        <v>11</v>
      </c>
      <c r="C140" s="339" t="s">
        <v>297</v>
      </c>
      <c r="D140" s="346" t="s">
        <v>298</v>
      </c>
      <c r="E140" s="347"/>
      <c r="F140" s="747"/>
      <c r="G140" s="318">
        <v>3</v>
      </c>
      <c r="H140" s="319">
        <v>7</v>
      </c>
      <c r="I140" s="751"/>
      <c r="J140" s="337"/>
      <c r="K140" s="322"/>
      <c r="L140" s="322"/>
      <c r="M140" s="312"/>
      <c r="N140" s="312"/>
      <c r="O140" s="312"/>
      <c r="P140" s="312"/>
    </row>
    <row r="141" spans="2:16" ht="14.5">
      <c r="B141" s="345">
        <v>12</v>
      </c>
      <c r="C141" s="339" t="s">
        <v>291</v>
      </c>
      <c r="D141" s="346" t="s">
        <v>100</v>
      </c>
      <c r="E141" s="347"/>
      <c r="F141" s="348">
        <v>18</v>
      </c>
      <c r="G141" s="318">
        <v>6</v>
      </c>
      <c r="H141" s="319">
        <v>8</v>
      </c>
      <c r="I141" s="751"/>
      <c r="J141" s="337"/>
      <c r="K141" s="322"/>
      <c r="L141" s="322"/>
      <c r="M141" s="312"/>
      <c r="N141" s="312"/>
      <c r="O141" s="312"/>
      <c r="P141" s="312"/>
    </row>
    <row r="142" spans="2:16" ht="14.5">
      <c r="B142" s="345">
        <v>13</v>
      </c>
      <c r="C142" s="339" t="s">
        <v>299</v>
      </c>
      <c r="D142" s="346" t="s">
        <v>101</v>
      </c>
      <c r="E142" s="347"/>
      <c r="F142" s="348">
        <v>121</v>
      </c>
      <c r="G142" s="318">
        <v>40</v>
      </c>
      <c r="H142" s="319">
        <v>24</v>
      </c>
      <c r="I142" s="751"/>
      <c r="J142" s="337"/>
      <c r="K142" s="322"/>
      <c r="L142" s="322"/>
      <c r="M142" s="312"/>
      <c r="N142" s="312"/>
      <c r="O142" s="312"/>
      <c r="P142" s="312"/>
    </row>
    <row r="143" spans="2:16" ht="14.5">
      <c r="B143" s="345">
        <v>14</v>
      </c>
      <c r="C143" s="339" t="s">
        <v>299</v>
      </c>
      <c r="D143" s="346" t="s">
        <v>102</v>
      </c>
      <c r="E143" s="347"/>
      <c r="F143" s="348">
        <v>51</v>
      </c>
      <c r="G143" s="318">
        <v>29</v>
      </c>
      <c r="H143" s="319">
        <v>18</v>
      </c>
      <c r="I143" s="751"/>
      <c r="J143" s="337"/>
      <c r="K143" s="322"/>
      <c r="L143" s="322"/>
      <c r="M143" s="312"/>
      <c r="N143" s="312"/>
      <c r="O143" s="312"/>
      <c r="P143" s="312"/>
    </row>
    <row r="144" spans="2:16" ht="14.25" customHeight="1">
      <c r="B144" s="345">
        <v>15</v>
      </c>
      <c r="C144" s="339" t="s">
        <v>296</v>
      </c>
      <c r="D144" s="350" t="s">
        <v>103</v>
      </c>
      <c r="E144" s="351"/>
      <c r="F144" s="352">
        <v>25</v>
      </c>
      <c r="G144" s="353">
        <v>5</v>
      </c>
      <c r="H144" s="358">
        <v>6</v>
      </c>
      <c r="I144" s="751"/>
      <c r="J144" s="337"/>
      <c r="K144" s="322"/>
      <c r="L144" s="322"/>
      <c r="M144" s="312"/>
      <c r="N144" s="312"/>
      <c r="O144" s="312"/>
      <c r="P144" s="312"/>
    </row>
    <row r="145" spans="2:16" ht="14.5">
      <c r="B145" s="345">
        <v>16</v>
      </c>
      <c r="C145" s="339" t="s">
        <v>300</v>
      </c>
      <c r="D145" s="346" t="s">
        <v>301</v>
      </c>
      <c r="E145" s="351"/>
      <c r="F145" s="352">
        <v>15</v>
      </c>
      <c r="G145" s="353">
        <v>4</v>
      </c>
      <c r="H145" s="358">
        <v>6</v>
      </c>
      <c r="I145" s="751"/>
      <c r="J145" s="337"/>
      <c r="K145" s="322"/>
      <c r="L145" s="322"/>
      <c r="M145" s="312"/>
      <c r="N145" s="312"/>
      <c r="O145" s="312"/>
      <c r="P145" s="312"/>
    </row>
    <row r="146" spans="2:16" ht="14.5">
      <c r="B146" s="359">
        <v>17</v>
      </c>
      <c r="C146" s="349" t="s">
        <v>302</v>
      </c>
      <c r="D146" s="346" t="s">
        <v>303</v>
      </c>
      <c r="E146" s="347"/>
      <c r="F146" s="348">
        <v>11</v>
      </c>
      <c r="G146" s="318">
        <v>7</v>
      </c>
      <c r="H146" s="319">
        <v>6</v>
      </c>
      <c r="I146" s="751"/>
      <c r="J146" s="337"/>
      <c r="K146" s="322"/>
      <c r="L146" s="322"/>
      <c r="M146" s="312"/>
      <c r="N146" s="312"/>
      <c r="O146" s="312"/>
      <c r="P146" s="312"/>
    </row>
    <row r="147" spans="2:16" thickBot="1">
      <c r="B147" s="360">
        <v>18</v>
      </c>
      <c r="C147" s="361" t="s">
        <v>104</v>
      </c>
      <c r="D147" s="331" t="s">
        <v>104</v>
      </c>
      <c r="E147" s="332"/>
      <c r="F147" s="333">
        <v>49</v>
      </c>
      <c r="G147" s="334">
        <v>20</v>
      </c>
      <c r="H147" s="335">
        <v>20</v>
      </c>
      <c r="I147" s="752"/>
      <c r="J147" s="337"/>
      <c r="K147" s="322"/>
      <c r="L147" s="322"/>
      <c r="M147" s="312"/>
      <c r="N147" s="312"/>
      <c r="O147" s="312"/>
      <c r="P147" s="312"/>
    </row>
    <row r="148" spans="2:16" ht="14.5">
      <c r="B148" s="362">
        <v>1</v>
      </c>
      <c r="C148" s="362" t="s">
        <v>304</v>
      </c>
      <c r="D148" s="340" t="s">
        <v>105</v>
      </c>
      <c r="E148" s="341"/>
      <c r="F148" s="342">
        <v>88</v>
      </c>
      <c r="G148" s="343">
        <v>20</v>
      </c>
      <c r="H148" s="344">
        <v>20</v>
      </c>
      <c r="I148" s="750">
        <v>3</v>
      </c>
      <c r="J148" s="337"/>
      <c r="K148" s="322"/>
      <c r="L148" s="322"/>
      <c r="M148" s="312"/>
      <c r="N148" s="312"/>
      <c r="O148" s="312"/>
      <c r="P148" s="312"/>
    </row>
    <row r="149" spans="2:16" ht="14.5">
      <c r="B149" s="339">
        <v>2</v>
      </c>
      <c r="C149" s="339" t="s">
        <v>304</v>
      </c>
      <c r="D149" s="346" t="s">
        <v>106</v>
      </c>
      <c r="E149" s="347"/>
      <c r="F149" s="348">
        <v>8</v>
      </c>
      <c r="G149" s="318">
        <v>2</v>
      </c>
      <c r="H149" s="319">
        <v>6</v>
      </c>
      <c r="I149" s="751"/>
      <c r="J149" s="337"/>
      <c r="K149" s="322"/>
      <c r="L149" s="322"/>
      <c r="M149" s="312"/>
      <c r="N149" s="312"/>
      <c r="O149" s="312"/>
      <c r="P149" s="312"/>
    </row>
    <row r="150" spans="2:16" ht="14.5">
      <c r="B150" s="339">
        <v>3</v>
      </c>
      <c r="C150" s="339" t="s">
        <v>304</v>
      </c>
      <c r="D150" s="346" t="s">
        <v>107</v>
      </c>
      <c r="E150" s="347"/>
      <c r="F150" s="348">
        <v>210</v>
      </c>
      <c r="G150" s="318">
        <v>30</v>
      </c>
      <c r="H150" s="319">
        <v>39</v>
      </c>
      <c r="I150" s="751"/>
      <c r="J150" s="337"/>
      <c r="K150" s="322"/>
      <c r="L150" s="322"/>
      <c r="M150" s="312"/>
      <c r="N150" s="312"/>
      <c r="O150" s="312"/>
      <c r="P150" s="312"/>
    </row>
    <row r="151" spans="2:16" ht="14.5">
      <c r="B151" s="339">
        <v>4</v>
      </c>
      <c r="C151" s="339" t="s">
        <v>305</v>
      </c>
      <c r="D151" s="346" t="s">
        <v>108</v>
      </c>
      <c r="E151" s="347"/>
      <c r="F151" s="348">
        <v>260</v>
      </c>
      <c r="G151" s="318">
        <v>73</v>
      </c>
      <c r="H151" s="748">
        <v>106</v>
      </c>
      <c r="I151" s="751"/>
      <c r="J151" s="337"/>
      <c r="K151" s="322"/>
      <c r="L151" s="322"/>
      <c r="M151" s="312"/>
      <c r="N151" s="312"/>
      <c r="O151" s="312"/>
      <c r="P151" s="312"/>
    </row>
    <row r="152" spans="2:16" thickBot="1">
      <c r="B152" s="361">
        <v>5</v>
      </c>
      <c r="C152" s="361" t="s">
        <v>305</v>
      </c>
      <c r="D152" s="331" t="s">
        <v>109</v>
      </c>
      <c r="E152" s="332"/>
      <c r="F152" s="333">
        <v>34</v>
      </c>
      <c r="G152" s="334">
        <v>12</v>
      </c>
      <c r="H152" s="749"/>
      <c r="I152" s="752"/>
      <c r="J152" s="337"/>
      <c r="K152" s="322"/>
      <c r="L152" s="322"/>
      <c r="M152" s="312"/>
      <c r="N152" s="312"/>
      <c r="O152" s="312"/>
      <c r="P152" s="312"/>
    </row>
    <row r="153" spans="2:16" ht="14.5">
      <c r="B153" s="338">
        <v>1</v>
      </c>
      <c r="C153" s="362" t="s">
        <v>306</v>
      </c>
      <c r="D153" s="346" t="s">
        <v>307</v>
      </c>
      <c r="E153" s="347"/>
      <c r="F153" s="348">
        <v>39</v>
      </c>
      <c r="G153" s="318">
        <v>16</v>
      </c>
      <c r="H153" s="319">
        <v>16</v>
      </c>
      <c r="I153" s="751">
        <v>4</v>
      </c>
      <c r="J153" s="337"/>
      <c r="K153" s="322"/>
      <c r="L153" s="322"/>
      <c r="M153" s="312"/>
      <c r="N153" s="312"/>
      <c r="O153" s="312"/>
      <c r="P153" s="312"/>
    </row>
    <row r="154" spans="2:16" ht="14.5">
      <c r="B154" s="363">
        <v>2</v>
      </c>
      <c r="C154" s="339" t="s">
        <v>308</v>
      </c>
      <c r="D154" s="346" t="s">
        <v>309</v>
      </c>
      <c r="E154" s="347"/>
      <c r="F154" s="348">
        <v>40</v>
      </c>
      <c r="G154" s="318">
        <v>12</v>
      </c>
      <c r="H154" s="319">
        <v>12</v>
      </c>
      <c r="I154" s="751"/>
      <c r="J154" s="337"/>
      <c r="K154" s="322"/>
      <c r="L154" s="322"/>
      <c r="M154" s="312"/>
      <c r="N154" s="312"/>
      <c r="O154" s="312"/>
      <c r="P154" s="312"/>
    </row>
    <row r="155" spans="2:16" ht="14.5">
      <c r="B155" s="364">
        <v>3</v>
      </c>
      <c r="C155" s="339" t="s">
        <v>310</v>
      </c>
      <c r="D155" s="346" t="s">
        <v>110</v>
      </c>
      <c r="E155" s="347"/>
      <c r="F155" s="348">
        <v>57</v>
      </c>
      <c r="G155" s="318">
        <v>18</v>
      </c>
      <c r="H155" s="319">
        <v>22</v>
      </c>
      <c r="I155" s="751"/>
      <c r="J155" s="337"/>
      <c r="K155" s="322"/>
      <c r="L155" s="322"/>
      <c r="M155" s="312"/>
      <c r="N155" s="312"/>
      <c r="O155" s="312"/>
      <c r="P155" s="312"/>
    </row>
    <row r="156" spans="2:16" ht="14.5">
      <c r="B156" s="363">
        <v>4</v>
      </c>
      <c r="C156" s="339" t="s">
        <v>291</v>
      </c>
      <c r="D156" s="346" t="s">
        <v>111</v>
      </c>
      <c r="E156" s="347"/>
      <c r="F156" s="348">
        <v>210</v>
      </c>
      <c r="G156" s="318">
        <v>75</v>
      </c>
      <c r="H156" s="319">
        <v>95</v>
      </c>
      <c r="I156" s="751"/>
      <c r="J156" s="337"/>
      <c r="K156" s="322"/>
      <c r="L156" s="322"/>
      <c r="M156" s="312"/>
      <c r="N156" s="312"/>
      <c r="O156" s="312"/>
      <c r="P156" s="312"/>
    </row>
    <row r="157" spans="2:16" s="3" customFormat="1" ht="14.5">
      <c r="B157" s="364">
        <v>5</v>
      </c>
      <c r="C157" s="339" t="s">
        <v>293</v>
      </c>
      <c r="D157" s="346" t="s">
        <v>112</v>
      </c>
      <c r="E157" s="347"/>
      <c r="F157" s="348">
        <v>59</v>
      </c>
      <c r="G157" s="318">
        <v>16</v>
      </c>
      <c r="H157" s="319">
        <v>24</v>
      </c>
      <c r="I157" s="751"/>
      <c r="J157" s="337"/>
      <c r="K157" s="322"/>
      <c r="L157" s="322"/>
      <c r="M157" s="328"/>
      <c r="N157" s="328"/>
      <c r="O157" s="328"/>
      <c r="P157" s="328"/>
    </row>
    <row r="158" spans="2:16" s="3" customFormat="1" ht="14.5">
      <c r="B158" s="363">
        <v>6</v>
      </c>
      <c r="C158" s="339" t="s">
        <v>311</v>
      </c>
      <c r="D158" s="346" t="s">
        <v>312</v>
      </c>
      <c r="E158" s="347"/>
      <c r="F158" s="348">
        <v>28</v>
      </c>
      <c r="G158" s="318">
        <v>6</v>
      </c>
      <c r="H158" s="319">
        <v>6</v>
      </c>
      <c r="I158" s="751"/>
      <c r="J158" s="337"/>
      <c r="K158" s="322"/>
      <c r="L158" s="322"/>
      <c r="M158" s="328"/>
      <c r="N158" s="328"/>
      <c r="O158" s="328"/>
      <c r="P158" s="328"/>
    </row>
    <row r="159" spans="2:16" s="3" customFormat="1" ht="14.5">
      <c r="B159" s="363">
        <v>7</v>
      </c>
      <c r="C159" s="339" t="s">
        <v>313</v>
      </c>
      <c r="D159" s="346" t="s">
        <v>113</v>
      </c>
      <c r="E159" s="347"/>
      <c r="F159" s="348">
        <v>22</v>
      </c>
      <c r="G159" s="318">
        <v>2</v>
      </c>
      <c r="H159" s="319">
        <v>5</v>
      </c>
      <c r="I159" s="751"/>
      <c r="J159" s="365"/>
      <c r="K159" s="322"/>
      <c r="L159" s="322"/>
      <c r="M159" s="328"/>
      <c r="N159" s="328"/>
      <c r="O159" s="328"/>
      <c r="P159" s="328"/>
    </row>
    <row r="160" spans="2:16" s="3" customFormat="1" thickBot="1">
      <c r="B160" s="360">
        <v>8</v>
      </c>
      <c r="C160" s="361" t="s">
        <v>292</v>
      </c>
      <c r="D160" s="331" t="s">
        <v>99</v>
      </c>
      <c r="E160" s="332"/>
      <c r="F160" s="333">
        <v>107</v>
      </c>
      <c r="G160" s="334">
        <v>16</v>
      </c>
      <c r="H160" s="335">
        <v>30</v>
      </c>
      <c r="I160" s="752"/>
      <c r="J160" s="365"/>
      <c r="K160" s="322"/>
      <c r="L160" s="322"/>
      <c r="M160" s="328"/>
      <c r="N160" s="328"/>
      <c r="O160" s="328"/>
      <c r="P160" s="328"/>
    </row>
    <row r="161" spans="2:16" s="3" customFormat="1" ht="14" customHeight="1">
      <c r="B161" s="366"/>
      <c r="C161" s="367"/>
      <c r="D161" s="368" t="s">
        <v>85</v>
      </c>
      <c r="E161" s="369"/>
      <c r="F161" s="370">
        <f>SUM(F129:F160)</f>
        <v>1791</v>
      </c>
      <c r="G161" s="370">
        <f t="shared" ref="G161:H161" si="3">SUM(G129:G160)</f>
        <v>510</v>
      </c>
      <c r="H161" s="370">
        <f t="shared" si="3"/>
        <v>590</v>
      </c>
      <c r="I161" s="371"/>
      <c r="J161" s="372"/>
      <c r="K161" s="311"/>
      <c r="L161" s="311"/>
      <c r="M161" s="328"/>
      <c r="N161" s="328"/>
      <c r="O161" s="328"/>
      <c r="P161" s="328"/>
    </row>
    <row r="162" spans="2:16" s="3" customFormat="1" ht="14" customHeight="1">
      <c r="B162" s="373"/>
      <c r="C162" s="374" t="s">
        <v>86</v>
      </c>
      <c r="D162" s="374"/>
      <c r="E162" s="375"/>
      <c r="F162" s="376">
        <f>F128+F161</f>
        <v>1791</v>
      </c>
      <c r="G162" s="376">
        <f t="shared" ref="G162:H162" si="4">G128+G161</f>
        <v>510</v>
      </c>
      <c r="H162" s="376">
        <f t="shared" si="4"/>
        <v>608</v>
      </c>
      <c r="I162" s="310"/>
      <c r="J162" s="310"/>
      <c r="K162" s="311"/>
      <c r="L162" s="311"/>
      <c r="M162" s="328"/>
      <c r="N162" s="328"/>
      <c r="O162" s="328"/>
      <c r="P162" s="328"/>
    </row>
    <row r="163" spans="2:16" s="4" customFormat="1" ht="14.5">
      <c r="B163" s="400" t="s">
        <v>114</v>
      </c>
      <c r="C163" s="400" t="s">
        <v>115</v>
      </c>
      <c r="D163" s="401"/>
      <c r="E163" s="402"/>
      <c r="F163" s="403"/>
      <c r="G163" s="404"/>
      <c r="H163" s="405"/>
      <c r="I163" s="406"/>
      <c r="J163" s="414"/>
      <c r="K163" s="62"/>
      <c r="L163" s="62"/>
      <c r="M163" s="62"/>
    </row>
    <row r="164" spans="2:16" s="5" customFormat="1" ht="14.5">
      <c r="B164" s="407"/>
      <c r="C164" s="408" t="s">
        <v>15</v>
      </c>
      <c r="D164" s="409" t="s">
        <v>116</v>
      </c>
      <c r="E164" s="410" t="s">
        <v>117</v>
      </c>
      <c r="F164" s="411"/>
      <c r="G164" s="412"/>
      <c r="H164" s="413">
        <v>1</v>
      </c>
      <c r="I164" s="379" t="s">
        <v>118</v>
      </c>
      <c r="J164" s="414"/>
      <c r="K164" s="62"/>
      <c r="L164" s="62"/>
      <c r="M164" s="62"/>
    </row>
    <row r="165" spans="2:16" s="5" customFormat="1" ht="14.5">
      <c r="B165" s="407"/>
      <c r="C165" s="408" t="s">
        <v>15</v>
      </c>
      <c r="D165" s="409" t="s">
        <v>16</v>
      </c>
      <c r="E165" s="414" t="s">
        <v>119</v>
      </c>
      <c r="F165" s="411"/>
      <c r="G165" s="412"/>
      <c r="H165" s="413">
        <v>8</v>
      </c>
      <c r="I165" s="379" t="s">
        <v>118</v>
      </c>
      <c r="J165" s="414"/>
      <c r="K165" s="62"/>
      <c r="L165" s="62"/>
      <c r="M165" s="62"/>
    </row>
    <row r="166" spans="2:16" s="5" customFormat="1" ht="14.5">
      <c r="B166" s="407"/>
      <c r="C166" s="408" t="s">
        <v>15</v>
      </c>
      <c r="D166" s="409" t="s">
        <v>18</v>
      </c>
      <c r="E166" s="414" t="s">
        <v>119</v>
      </c>
      <c r="F166" s="411"/>
      <c r="G166" s="412"/>
      <c r="H166" s="413">
        <v>2</v>
      </c>
      <c r="I166" s="379" t="s">
        <v>118</v>
      </c>
      <c r="J166" s="414"/>
      <c r="K166" s="62"/>
      <c r="L166" s="62"/>
      <c r="M166" s="62"/>
    </row>
    <row r="167" spans="2:16" s="5" customFormat="1" ht="14.5">
      <c r="B167" s="407"/>
      <c r="C167" s="408" t="s">
        <v>15</v>
      </c>
      <c r="D167" s="409" t="s">
        <v>20</v>
      </c>
      <c r="E167" s="414" t="s">
        <v>119</v>
      </c>
      <c r="F167" s="411"/>
      <c r="G167" s="412"/>
      <c r="H167" s="413">
        <v>9</v>
      </c>
      <c r="I167" s="379" t="s">
        <v>118</v>
      </c>
      <c r="J167" s="414"/>
      <c r="K167" s="62"/>
      <c r="L167" s="62"/>
      <c r="M167" s="62"/>
    </row>
    <row r="168" spans="2:16" s="6" customFormat="1" ht="14.5">
      <c r="B168" s="415"/>
      <c r="C168" s="399"/>
      <c r="D168" s="416" t="s">
        <v>69</v>
      </c>
      <c r="E168" s="417"/>
      <c r="F168" s="418">
        <v>0</v>
      </c>
      <c r="G168" s="418">
        <v>0</v>
      </c>
      <c r="H168" s="419">
        <v>20</v>
      </c>
      <c r="I168" s="420"/>
      <c r="J168" s="439"/>
      <c r="K168" s="63"/>
      <c r="L168" s="63"/>
      <c r="M168" s="63"/>
    </row>
    <row r="169" spans="2:16" s="7" customFormat="1" ht="14.5">
      <c r="B169" s="421"/>
      <c r="C169" s="422" t="s">
        <v>120</v>
      </c>
      <c r="D169" s="423"/>
      <c r="E169" s="424"/>
      <c r="F169" s="425"/>
      <c r="G169" s="425"/>
      <c r="H169" s="426"/>
      <c r="I169" s="427"/>
      <c r="J169" s="448"/>
      <c r="K169" s="64"/>
      <c r="L169" s="64"/>
      <c r="M169" s="64"/>
    </row>
    <row r="170" spans="2:16" s="5" customFormat="1" ht="14.5">
      <c r="B170" s="428">
        <v>1</v>
      </c>
      <c r="C170" s="408" t="s">
        <v>121</v>
      </c>
      <c r="D170" s="409" t="s">
        <v>122</v>
      </c>
      <c r="E170" s="410" t="s">
        <v>117</v>
      </c>
      <c r="F170" s="429">
        <v>130.29</v>
      </c>
      <c r="G170" s="430">
        <v>30</v>
      </c>
      <c r="H170" s="413">
        <v>30</v>
      </c>
      <c r="I170" s="741">
        <v>1</v>
      </c>
      <c r="J170" s="414"/>
      <c r="K170" s="62"/>
      <c r="L170" s="62"/>
      <c r="M170" s="62"/>
    </row>
    <row r="171" spans="2:16" s="5" customFormat="1" ht="14.5">
      <c r="B171" s="428">
        <v>2</v>
      </c>
      <c r="C171" s="408" t="s">
        <v>123</v>
      </c>
      <c r="D171" s="409" t="s">
        <v>124</v>
      </c>
      <c r="E171" s="410" t="s">
        <v>117</v>
      </c>
      <c r="F171" s="431">
        <v>7.6</v>
      </c>
      <c r="G171" s="430">
        <v>4</v>
      </c>
      <c r="H171" s="413">
        <v>2</v>
      </c>
      <c r="I171" s="742"/>
      <c r="J171" s="414"/>
      <c r="K171" s="62"/>
      <c r="L171" s="62"/>
      <c r="M171" s="62"/>
    </row>
    <row r="172" spans="2:16" s="6" customFormat="1" ht="14.5">
      <c r="B172" s="415"/>
      <c r="C172" s="399"/>
      <c r="D172" s="416" t="s">
        <v>85</v>
      </c>
      <c r="E172" s="417"/>
      <c r="F172" s="419">
        <f>SUM(F170:F171)</f>
        <v>137.88999999999999</v>
      </c>
      <c r="G172" s="419">
        <f t="shared" ref="G172:H172" si="5">SUM(G170:G171)</f>
        <v>34</v>
      </c>
      <c r="H172" s="419">
        <f t="shared" si="5"/>
        <v>32</v>
      </c>
      <c r="I172" s="432"/>
      <c r="J172" s="439"/>
      <c r="K172" s="63"/>
      <c r="L172" s="63"/>
      <c r="M172" s="63"/>
    </row>
    <row r="173" spans="2:16" s="5" customFormat="1" ht="14.5">
      <c r="B173" s="433"/>
      <c r="C173" s="434" t="s">
        <v>125</v>
      </c>
      <c r="D173" s="409"/>
      <c r="E173" s="414"/>
      <c r="F173" s="411"/>
      <c r="G173" s="412"/>
      <c r="H173" s="413"/>
      <c r="I173" s="378"/>
      <c r="J173" s="414"/>
      <c r="K173" s="62"/>
      <c r="L173" s="62"/>
      <c r="M173" s="62"/>
    </row>
    <row r="174" spans="2:16" s="5" customFormat="1" ht="14.5">
      <c r="B174" s="435">
        <v>1</v>
      </c>
      <c r="C174" s="410" t="s">
        <v>317</v>
      </c>
      <c r="D174" s="410" t="s">
        <v>126</v>
      </c>
      <c r="E174" s="410" t="s">
        <v>117</v>
      </c>
      <c r="F174" s="436">
        <v>6.67741935483871</v>
      </c>
      <c r="G174" s="437">
        <v>2</v>
      </c>
      <c r="H174" s="437">
        <v>2</v>
      </c>
      <c r="I174" s="741">
        <v>2</v>
      </c>
      <c r="J174" s="437" t="s">
        <v>318</v>
      </c>
      <c r="K174" s="62"/>
      <c r="L174" s="62"/>
      <c r="M174" s="62"/>
    </row>
    <row r="175" spans="2:16" s="5" customFormat="1" ht="14.5">
      <c r="B175" s="435">
        <v>2</v>
      </c>
      <c r="C175" s="410" t="s">
        <v>319</v>
      </c>
      <c r="D175" s="410" t="s">
        <v>126</v>
      </c>
      <c r="E175" s="410" t="s">
        <v>117</v>
      </c>
      <c r="F175" s="436">
        <v>6.67741935483871</v>
      </c>
      <c r="G175" s="437">
        <v>2</v>
      </c>
      <c r="H175" s="437">
        <v>3</v>
      </c>
      <c r="I175" s="743"/>
      <c r="J175" s="437" t="s">
        <v>320</v>
      </c>
      <c r="K175" s="62"/>
      <c r="L175" s="62"/>
      <c r="M175" s="62"/>
    </row>
    <row r="176" spans="2:16" s="5" customFormat="1" ht="14.5">
      <c r="B176" s="435">
        <v>3</v>
      </c>
      <c r="C176" s="410" t="s">
        <v>319</v>
      </c>
      <c r="D176" s="410" t="s">
        <v>126</v>
      </c>
      <c r="E176" s="410" t="s">
        <v>117</v>
      </c>
      <c r="F176" s="436">
        <v>23.370967741935502</v>
      </c>
      <c r="G176" s="437">
        <v>7</v>
      </c>
      <c r="H176" s="437">
        <v>7</v>
      </c>
      <c r="I176" s="743"/>
      <c r="J176" s="437" t="s">
        <v>321</v>
      </c>
      <c r="K176" s="62"/>
      <c r="L176" s="62"/>
      <c r="M176" s="62"/>
    </row>
    <row r="177" spans="2:13" s="5" customFormat="1" ht="14.5">
      <c r="B177" s="435">
        <v>4</v>
      </c>
      <c r="C177" s="410" t="s">
        <v>319</v>
      </c>
      <c r="D177" s="438" t="s">
        <v>127</v>
      </c>
      <c r="E177" s="437" t="s">
        <v>128</v>
      </c>
      <c r="F177" s="436">
        <v>10.0161290322581</v>
      </c>
      <c r="G177" s="437">
        <v>3</v>
      </c>
      <c r="H177" s="437">
        <v>3</v>
      </c>
      <c r="I177" s="744" t="s">
        <v>322</v>
      </c>
      <c r="J177" s="449" t="s">
        <v>323</v>
      </c>
      <c r="K177" s="62"/>
      <c r="L177" s="62"/>
      <c r="M177" s="62"/>
    </row>
    <row r="178" spans="2:13" s="5" customFormat="1" ht="14.5">
      <c r="B178" s="435">
        <v>5</v>
      </c>
      <c r="C178" s="410" t="s">
        <v>319</v>
      </c>
      <c r="D178" s="410" t="s">
        <v>129</v>
      </c>
      <c r="E178" s="437" t="s">
        <v>130</v>
      </c>
      <c r="F178" s="436">
        <v>6.67741935483871</v>
      </c>
      <c r="G178" s="437">
        <v>2</v>
      </c>
      <c r="H178" s="437">
        <v>2</v>
      </c>
      <c r="I178" s="745"/>
      <c r="J178" s="449" t="s">
        <v>323</v>
      </c>
      <c r="K178" s="62"/>
      <c r="L178" s="62"/>
      <c r="M178" s="62"/>
    </row>
    <row r="179" spans="2:13" s="5" customFormat="1" ht="14.5">
      <c r="B179" s="435">
        <v>6</v>
      </c>
      <c r="C179" s="410" t="s">
        <v>319</v>
      </c>
      <c r="D179" s="410" t="s">
        <v>324</v>
      </c>
      <c r="E179" s="437" t="s">
        <v>324</v>
      </c>
      <c r="F179" s="436">
        <v>6.67741935483871</v>
      </c>
      <c r="G179" s="437">
        <v>2</v>
      </c>
      <c r="H179" s="437">
        <v>2</v>
      </c>
      <c r="I179" s="745"/>
      <c r="J179" s="449" t="s">
        <v>323</v>
      </c>
      <c r="K179" s="62"/>
      <c r="L179" s="62"/>
      <c r="M179" s="62"/>
    </row>
    <row r="180" spans="2:13" s="5" customFormat="1" ht="14.5">
      <c r="B180" s="435">
        <v>7</v>
      </c>
      <c r="C180" s="410" t="s">
        <v>319</v>
      </c>
      <c r="D180" s="410" t="s">
        <v>131</v>
      </c>
      <c r="E180" s="437" t="s">
        <v>132</v>
      </c>
      <c r="F180" s="436">
        <v>3.3387096774193501</v>
      </c>
      <c r="G180" s="437">
        <v>1</v>
      </c>
      <c r="H180" s="437">
        <v>1</v>
      </c>
      <c r="I180" s="745"/>
      <c r="J180" s="449" t="s">
        <v>323</v>
      </c>
      <c r="K180" s="62"/>
      <c r="L180" s="62"/>
      <c r="M180" s="62"/>
    </row>
    <row r="181" spans="2:13" s="5" customFormat="1" ht="14.5">
      <c r="B181" s="435">
        <v>8</v>
      </c>
      <c r="C181" s="410" t="s">
        <v>319</v>
      </c>
      <c r="D181" s="410" t="s">
        <v>325</v>
      </c>
      <c r="E181" s="437" t="s">
        <v>132</v>
      </c>
      <c r="F181" s="436">
        <v>33.387096774193601</v>
      </c>
      <c r="G181" s="437">
        <v>10</v>
      </c>
      <c r="H181" s="437">
        <v>10</v>
      </c>
      <c r="I181" s="745"/>
      <c r="J181" s="449" t="s">
        <v>323</v>
      </c>
      <c r="K181" s="62"/>
      <c r="L181" s="62"/>
      <c r="M181" s="62"/>
    </row>
    <row r="182" spans="2:13" s="5" customFormat="1" ht="14.5">
      <c r="B182" s="435">
        <v>9</v>
      </c>
      <c r="C182" s="410" t="s">
        <v>319</v>
      </c>
      <c r="D182" s="410" t="s">
        <v>326</v>
      </c>
      <c r="E182" s="437" t="s">
        <v>132</v>
      </c>
      <c r="F182" s="436">
        <v>56.758064516128997</v>
      </c>
      <c r="G182" s="437">
        <v>17</v>
      </c>
      <c r="H182" s="437">
        <v>17</v>
      </c>
      <c r="I182" s="745"/>
      <c r="J182" s="449" t="s">
        <v>323</v>
      </c>
      <c r="K182" s="62"/>
      <c r="L182" s="62"/>
      <c r="M182" s="62"/>
    </row>
    <row r="183" spans="2:13" s="5" customFormat="1" ht="14.5">
      <c r="B183" s="435">
        <v>10</v>
      </c>
      <c r="C183" s="410" t="s">
        <v>319</v>
      </c>
      <c r="D183" s="410" t="s">
        <v>327</v>
      </c>
      <c r="E183" s="437" t="s">
        <v>132</v>
      </c>
      <c r="F183" s="436">
        <v>23.370967741935502</v>
      </c>
      <c r="G183" s="437">
        <v>7</v>
      </c>
      <c r="H183" s="437">
        <v>7</v>
      </c>
      <c r="I183" s="745"/>
      <c r="J183" s="449" t="s">
        <v>323</v>
      </c>
      <c r="K183" s="62"/>
      <c r="L183" s="62"/>
      <c r="M183" s="62"/>
    </row>
    <row r="184" spans="2:13" s="5" customFormat="1" ht="14.5">
      <c r="B184" s="435">
        <v>11</v>
      </c>
      <c r="C184" s="410" t="s">
        <v>319</v>
      </c>
      <c r="D184" s="410" t="s">
        <v>328</v>
      </c>
      <c r="E184" s="437" t="s">
        <v>132</v>
      </c>
      <c r="F184" s="436">
        <v>23.370967741935502</v>
      </c>
      <c r="G184" s="437">
        <v>7</v>
      </c>
      <c r="H184" s="437">
        <v>7</v>
      </c>
      <c r="I184" s="745"/>
      <c r="J184" s="449" t="s">
        <v>323</v>
      </c>
      <c r="K184" s="62"/>
      <c r="L184" s="62"/>
      <c r="M184" s="62"/>
    </row>
    <row r="185" spans="2:13" s="5" customFormat="1" ht="14.5">
      <c r="B185" s="435">
        <v>12</v>
      </c>
      <c r="C185" s="410" t="s">
        <v>319</v>
      </c>
      <c r="D185" s="437" t="s">
        <v>133</v>
      </c>
      <c r="E185" s="437" t="s">
        <v>134</v>
      </c>
      <c r="F185" s="436">
        <v>3.3387096774193501</v>
      </c>
      <c r="G185" s="437">
        <v>1</v>
      </c>
      <c r="H185" s="437">
        <v>1</v>
      </c>
      <c r="I185" s="745"/>
      <c r="J185" s="449" t="s">
        <v>323</v>
      </c>
      <c r="K185" s="62"/>
      <c r="L185" s="62"/>
      <c r="M185" s="62"/>
    </row>
    <row r="186" spans="2:13" s="5" customFormat="1" ht="14.5">
      <c r="B186" s="435">
        <v>13</v>
      </c>
      <c r="C186" s="410" t="s">
        <v>319</v>
      </c>
      <c r="D186" s="437" t="s">
        <v>135</v>
      </c>
      <c r="E186" s="437" t="s">
        <v>136</v>
      </c>
      <c r="F186" s="436">
        <v>3.3387096774193501</v>
      </c>
      <c r="G186" s="437">
        <v>1</v>
      </c>
      <c r="H186" s="437">
        <v>1</v>
      </c>
      <c r="I186" s="746"/>
      <c r="J186" s="449" t="s">
        <v>323</v>
      </c>
      <c r="K186" s="62"/>
      <c r="L186" s="62"/>
      <c r="M186" s="62"/>
    </row>
    <row r="187" spans="2:13" s="6" customFormat="1" ht="14.5">
      <c r="B187" s="415"/>
      <c r="C187" s="439"/>
      <c r="D187" s="416" t="s">
        <v>329</v>
      </c>
      <c r="E187" s="417"/>
      <c r="F187" s="418">
        <f>SUM(F174:F186)</f>
        <v>207.00000000000011</v>
      </c>
      <c r="G187" s="418">
        <f>SUM(G174:G186)</f>
        <v>62</v>
      </c>
      <c r="H187" s="418">
        <f>SUM(H174:H186)</f>
        <v>63</v>
      </c>
      <c r="I187" s="432"/>
      <c r="J187" s="439"/>
      <c r="K187" s="62"/>
      <c r="L187" s="62"/>
      <c r="M187" s="62"/>
    </row>
    <row r="188" spans="2:13" s="6" customFormat="1" ht="14.5">
      <c r="B188" s="440"/>
      <c r="C188" s="441" t="s">
        <v>146</v>
      </c>
      <c r="D188" s="442"/>
      <c r="E188" s="414"/>
      <c r="F188" s="411"/>
      <c r="G188" s="412"/>
      <c r="H188" s="413"/>
      <c r="I188" s="443"/>
      <c r="J188" s="414"/>
      <c r="K188" s="62"/>
      <c r="L188" s="62"/>
      <c r="M188" s="62"/>
    </row>
    <row r="189" spans="2:13" s="5" customFormat="1" ht="14.5">
      <c r="B189" s="435">
        <v>3</v>
      </c>
      <c r="C189" s="444" t="s">
        <v>147</v>
      </c>
      <c r="D189" s="445" t="s">
        <v>330</v>
      </c>
      <c r="E189" s="410" t="s">
        <v>117</v>
      </c>
      <c r="F189" s="446">
        <v>43.152153946510097</v>
      </c>
      <c r="G189" s="447">
        <v>12</v>
      </c>
      <c r="H189" s="447">
        <v>11</v>
      </c>
      <c r="I189" s="741">
        <v>3</v>
      </c>
      <c r="J189" s="414"/>
      <c r="K189" s="63"/>
      <c r="L189" s="63"/>
      <c r="M189" s="63"/>
    </row>
    <row r="190" spans="2:13" s="5" customFormat="1" ht="14.5">
      <c r="B190" s="435">
        <v>4</v>
      </c>
      <c r="C190" s="444" t="s">
        <v>147</v>
      </c>
      <c r="D190" s="445" t="s">
        <v>331</v>
      </c>
      <c r="E190" s="410" t="s">
        <v>117</v>
      </c>
      <c r="F190" s="446">
        <v>50.344179604261797</v>
      </c>
      <c r="G190" s="447">
        <v>14</v>
      </c>
      <c r="H190" s="447">
        <v>21</v>
      </c>
      <c r="I190" s="743"/>
      <c r="J190" s="414"/>
      <c r="K190" s="62"/>
      <c r="L190" s="62"/>
      <c r="M190" s="62"/>
    </row>
    <row r="191" spans="2:13" s="5" customFormat="1" ht="14.5">
      <c r="B191" s="435">
        <v>6</v>
      </c>
      <c r="C191" s="444" t="s">
        <v>147</v>
      </c>
      <c r="D191" s="445" t="s">
        <v>332</v>
      </c>
      <c r="E191" s="410" t="s">
        <v>117</v>
      </c>
      <c r="F191" s="446">
        <v>68.324243748640995</v>
      </c>
      <c r="G191" s="447">
        <v>19</v>
      </c>
      <c r="H191" s="447">
        <v>20</v>
      </c>
      <c r="I191" s="743"/>
      <c r="J191" s="414"/>
      <c r="K191" s="65"/>
      <c r="L191" s="62"/>
      <c r="M191" s="62"/>
    </row>
    <row r="192" spans="2:13" s="5" customFormat="1" ht="14.5">
      <c r="B192" s="435">
        <v>7</v>
      </c>
      <c r="C192" s="444" t="s">
        <v>147</v>
      </c>
      <c r="D192" s="445" t="s">
        <v>148</v>
      </c>
      <c r="E192" s="410" t="s">
        <v>117</v>
      </c>
      <c r="F192" s="446">
        <v>61.132218090889303</v>
      </c>
      <c r="G192" s="447">
        <v>17</v>
      </c>
      <c r="H192" s="447">
        <v>16</v>
      </c>
      <c r="I192" s="743"/>
      <c r="J192" s="414"/>
      <c r="K192" s="65"/>
      <c r="L192" s="62"/>
      <c r="M192" s="62"/>
    </row>
    <row r="193" spans="2:13" s="5" customFormat="1" ht="14.5">
      <c r="B193" s="435">
        <v>8</v>
      </c>
      <c r="C193" s="444" t="s">
        <v>147</v>
      </c>
      <c r="D193" s="450" t="s">
        <v>149</v>
      </c>
      <c r="E193" s="410" t="s">
        <v>117</v>
      </c>
      <c r="F193" s="431">
        <v>3.59601282887584</v>
      </c>
      <c r="G193" s="451">
        <v>1</v>
      </c>
      <c r="H193" s="451">
        <v>1</v>
      </c>
      <c r="I193" s="742"/>
      <c r="J193" s="493"/>
      <c r="K193" s="65"/>
      <c r="L193" s="62"/>
      <c r="M193" s="62"/>
    </row>
    <row r="194" spans="2:13" s="5" customFormat="1" ht="14.5">
      <c r="B194" s="415"/>
      <c r="C194" s="399"/>
      <c r="D194" s="416" t="s">
        <v>150</v>
      </c>
      <c r="E194" s="417"/>
      <c r="F194" s="419">
        <f>SUM(F189:F193)</f>
        <v>226.54880821917803</v>
      </c>
      <c r="G194" s="419">
        <f t="shared" ref="G194:H194" si="6">SUM(G189:G193)</f>
        <v>63</v>
      </c>
      <c r="H194" s="419">
        <f t="shared" si="6"/>
        <v>69</v>
      </c>
      <c r="I194" s="452"/>
      <c r="J194" s="439"/>
      <c r="K194" s="62"/>
      <c r="L194" s="62"/>
      <c r="M194" s="62"/>
    </row>
    <row r="195" spans="2:13" s="6" customFormat="1" ht="14.5">
      <c r="B195" s="440"/>
      <c r="C195" s="453" t="s">
        <v>151</v>
      </c>
      <c r="D195" s="409"/>
      <c r="E195" s="414"/>
      <c r="F195" s="411"/>
      <c r="G195" s="413"/>
      <c r="H195" s="413"/>
      <c r="I195" s="443"/>
      <c r="J195" s="414"/>
      <c r="K195" s="63"/>
      <c r="L195" s="63"/>
      <c r="M195" s="63"/>
    </row>
    <row r="196" spans="2:13" s="5" customFormat="1" ht="14.5">
      <c r="B196" s="407">
        <v>1</v>
      </c>
      <c r="C196" s="410" t="s">
        <v>152</v>
      </c>
      <c r="D196" s="410" t="s">
        <v>126</v>
      </c>
      <c r="E196" s="410" t="s">
        <v>117</v>
      </c>
      <c r="F196" s="446">
        <v>4.4171017543859596</v>
      </c>
      <c r="G196" s="437">
        <v>2</v>
      </c>
      <c r="H196" s="437">
        <v>2</v>
      </c>
      <c r="I196" s="741">
        <v>4</v>
      </c>
      <c r="J196" s="437" t="s">
        <v>333</v>
      </c>
      <c r="K196" s="62"/>
      <c r="L196" s="62"/>
      <c r="M196" s="62"/>
    </row>
    <row r="197" spans="2:13" s="5" customFormat="1" ht="14.5">
      <c r="B197" s="407">
        <v>2</v>
      </c>
      <c r="C197" s="410" t="s">
        <v>152</v>
      </c>
      <c r="D197" s="410" t="s">
        <v>126</v>
      </c>
      <c r="E197" s="410" t="s">
        <v>117</v>
      </c>
      <c r="F197" s="446">
        <v>8.8342035087719299</v>
      </c>
      <c r="G197" s="437">
        <v>4</v>
      </c>
      <c r="H197" s="437">
        <v>4</v>
      </c>
      <c r="I197" s="743"/>
      <c r="J197" s="437" t="s">
        <v>334</v>
      </c>
      <c r="K197" s="66"/>
      <c r="L197" s="66"/>
      <c r="M197" s="66"/>
    </row>
    <row r="198" spans="2:13" s="5" customFormat="1" ht="14.5">
      <c r="B198" s="407">
        <v>3</v>
      </c>
      <c r="C198" s="410" t="s">
        <v>153</v>
      </c>
      <c r="D198" s="410" t="s">
        <v>126</v>
      </c>
      <c r="E198" s="410" t="s">
        <v>117</v>
      </c>
      <c r="F198" s="454">
        <v>6.6256526315789399</v>
      </c>
      <c r="G198" s="437">
        <v>3</v>
      </c>
      <c r="H198" s="437">
        <v>3</v>
      </c>
      <c r="I198" s="743"/>
      <c r="J198" s="437" t="s">
        <v>333</v>
      </c>
      <c r="K198" s="67"/>
      <c r="L198" s="66"/>
      <c r="M198" s="66"/>
    </row>
    <row r="199" spans="2:13" s="5" customFormat="1" ht="14.5">
      <c r="B199" s="407">
        <v>4</v>
      </c>
      <c r="C199" s="410" t="s">
        <v>153</v>
      </c>
      <c r="D199" s="410" t="s">
        <v>126</v>
      </c>
      <c r="E199" s="410" t="s">
        <v>117</v>
      </c>
      <c r="F199" s="454">
        <v>13.251305263157899</v>
      </c>
      <c r="G199" s="437">
        <v>6</v>
      </c>
      <c r="H199" s="437">
        <v>6</v>
      </c>
      <c r="I199" s="743"/>
      <c r="J199" s="437" t="s">
        <v>335</v>
      </c>
      <c r="K199" s="67"/>
      <c r="L199" s="66"/>
      <c r="M199" s="66"/>
    </row>
    <row r="200" spans="2:13" s="5" customFormat="1" ht="14.5">
      <c r="B200" s="407">
        <v>5</v>
      </c>
      <c r="C200" s="437" t="s">
        <v>153</v>
      </c>
      <c r="D200" s="437" t="s">
        <v>336</v>
      </c>
      <c r="E200" s="437" t="s">
        <v>132</v>
      </c>
      <c r="F200" s="454">
        <v>2.2085508771929798</v>
      </c>
      <c r="G200" s="437">
        <v>1</v>
      </c>
      <c r="H200" s="437">
        <v>1</v>
      </c>
      <c r="I200" s="743"/>
      <c r="J200" s="437"/>
      <c r="K200" s="67"/>
      <c r="L200" s="66"/>
      <c r="M200" s="66"/>
    </row>
    <row r="201" spans="2:13" s="5" customFormat="1" ht="14.5">
      <c r="B201" s="407">
        <v>6</v>
      </c>
      <c r="C201" s="410" t="s">
        <v>337</v>
      </c>
      <c r="D201" s="410" t="s">
        <v>126</v>
      </c>
      <c r="E201" s="410" t="s">
        <v>117</v>
      </c>
      <c r="F201" s="454">
        <v>4.4171017543859596</v>
      </c>
      <c r="G201" s="437">
        <v>2</v>
      </c>
      <c r="H201" s="437">
        <v>2</v>
      </c>
      <c r="I201" s="743"/>
      <c r="J201" s="437" t="s">
        <v>333</v>
      </c>
      <c r="K201" s="67"/>
      <c r="L201" s="66"/>
      <c r="M201" s="66"/>
    </row>
    <row r="202" spans="2:13" s="5" customFormat="1" ht="14.5">
      <c r="B202" s="407">
        <v>7</v>
      </c>
      <c r="C202" s="410" t="s">
        <v>337</v>
      </c>
      <c r="D202" s="428" t="s">
        <v>137</v>
      </c>
      <c r="E202" s="437" t="s">
        <v>138</v>
      </c>
      <c r="F202" s="454">
        <v>2.2085508771929798</v>
      </c>
      <c r="G202" s="437">
        <v>1</v>
      </c>
      <c r="H202" s="437">
        <v>1</v>
      </c>
      <c r="I202" s="743"/>
      <c r="J202" s="437"/>
      <c r="K202" s="67"/>
      <c r="L202" s="66"/>
      <c r="M202" s="66"/>
    </row>
    <row r="203" spans="2:13" s="5" customFormat="1" ht="14.5">
      <c r="B203" s="407">
        <v>8</v>
      </c>
      <c r="C203" s="410" t="s">
        <v>337</v>
      </c>
      <c r="D203" s="428" t="s">
        <v>139</v>
      </c>
      <c r="E203" s="437" t="s">
        <v>140</v>
      </c>
      <c r="F203" s="454">
        <v>2.2085508771929798</v>
      </c>
      <c r="G203" s="437">
        <v>1</v>
      </c>
      <c r="H203" s="437">
        <v>1</v>
      </c>
      <c r="I203" s="743"/>
      <c r="J203" s="437"/>
      <c r="K203" s="67"/>
      <c r="L203" s="66"/>
      <c r="M203" s="66"/>
    </row>
    <row r="204" spans="2:13" s="5" customFormat="1" ht="14.5">
      <c r="B204" s="407">
        <v>9</v>
      </c>
      <c r="C204" s="410" t="s">
        <v>337</v>
      </c>
      <c r="D204" s="428" t="s">
        <v>141</v>
      </c>
      <c r="E204" s="437" t="s">
        <v>142</v>
      </c>
      <c r="F204" s="454">
        <v>6.6256526315789399</v>
      </c>
      <c r="G204" s="437">
        <v>3</v>
      </c>
      <c r="H204" s="437">
        <v>3</v>
      </c>
      <c r="I204" s="743"/>
      <c r="J204" s="437"/>
      <c r="K204" s="67"/>
      <c r="L204" s="66"/>
      <c r="M204" s="66"/>
    </row>
    <row r="205" spans="2:13" s="5" customFormat="1" ht="14.5">
      <c r="B205" s="407">
        <v>10</v>
      </c>
      <c r="C205" s="410" t="s">
        <v>337</v>
      </c>
      <c r="D205" s="428" t="s">
        <v>143</v>
      </c>
      <c r="E205" s="437" t="s">
        <v>144</v>
      </c>
      <c r="F205" s="454">
        <v>4.4171017543859596</v>
      </c>
      <c r="G205" s="437">
        <v>2</v>
      </c>
      <c r="H205" s="437">
        <v>2</v>
      </c>
      <c r="I205" s="743"/>
      <c r="J205" s="437"/>
      <c r="K205" s="67"/>
      <c r="L205" s="66"/>
      <c r="M205" s="66"/>
    </row>
    <row r="206" spans="2:13" s="5" customFormat="1" ht="14.5">
      <c r="B206" s="407">
        <v>11</v>
      </c>
      <c r="C206" s="410" t="s">
        <v>337</v>
      </c>
      <c r="D206" s="437" t="s">
        <v>237</v>
      </c>
      <c r="E206" s="437" t="s">
        <v>132</v>
      </c>
      <c r="F206" s="454">
        <v>22.085508771929799</v>
      </c>
      <c r="G206" s="437">
        <v>10</v>
      </c>
      <c r="H206" s="437">
        <v>10</v>
      </c>
      <c r="I206" s="743"/>
      <c r="J206" s="437" t="s">
        <v>338</v>
      </c>
      <c r="K206" s="67"/>
      <c r="L206" s="66"/>
      <c r="M206" s="66"/>
    </row>
    <row r="207" spans="2:13" s="5" customFormat="1" ht="14.5">
      <c r="B207" s="407">
        <v>12</v>
      </c>
      <c r="C207" s="377" t="s">
        <v>339</v>
      </c>
      <c r="D207" s="456" t="s">
        <v>149</v>
      </c>
      <c r="E207" s="410" t="s">
        <v>117</v>
      </c>
      <c r="F207" s="457">
        <v>11.271599999999999</v>
      </c>
      <c r="G207" s="451">
        <v>1</v>
      </c>
      <c r="H207" s="451">
        <v>1</v>
      </c>
      <c r="I207" s="458"/>
      <c r="J207" s="414"/>
      <c r="K207" s="67"/>
      <c r="L207" s="66"/>
      <c r="M207" s="66"/>
    </row>
    <row r="208" spans="2:13" s="5" customFormat="1" ht="14.5" customHeight="1">
      <c r="B208" s="407">
        <v>13</v>
      </c>
      <c r="C208" s="377" t="s">
        <v>339</v>
      </c>
      <c r="D208" s="459" t="s">
        <v>340</v>
      </c>
      <c r="E208" s="410" t="s">
        <v>117</v>
      </c>
      <c r="F208" s="460">
        <v>21.7532</v>
      </c>
      <c r="G208" s="461">
        <v>10</v>
      </c>
      <c r="H208" s="462">
        <v>5</v>
      </c>
      <c r="I208" s="463"/>
      <c r="J208" s="414" t="s">
        <v>341</v>
      </c>
      <c r="K208" s="68"/>
      <c r="L208" s="62"/>
      <c r="M208" s="62"/>
    </row>
    <row r="209" spans="2:13" s="5" customFormat="1" ht="14.5">
      <c r="B209" s="407">
        <v>14</v>
      </c>
      <c r="C209" s="494" t="s">
        <v>151</v>
      </c>
      <c r="D209" s="464" t="s">
        <v>342</v>
      </c>
      <c r="E209" s="465"/>
      <c r="F209" s="454">
        <v>48.588119298245601</v>
      </c>
      <c r="G209" s="447">
        <v>22</v>
      </c>
      <c r="H209" s="447">
        <v>0</v>
      </c>
      <c r="I209" s="443" t="s">
        <v>322</v>
      </c>
      <c r="J209" s="449" t="s">
        <v>323</v>
      </c>
      <c r="K209" s="68"/>
      <c r="L209" s="62"/>
      <c r="M209" s="62"/>
    </row>
    <row r="210" spans="2:13" s="5" customFormat="1" ht="14.5">
      <c r="B210" s="415"/>
      <c r="C210" s="439"/>
      <c r="D210" s="416" t="s">
        <v>154</v>
      </c>
      <c r="E210" s="417"/>
      <c r="F210" s="418">
        <f>SUM(F196:F209)</f>
        <v>158.9121999999999</v>
      </c>
      <c r="G210" s="418">
        <f t="shared" ref="G210:H210" si="7">SUM(G196:G209)</f>
        <v>68</v>
      </c>
      <c r="H210" s="418">
        <f t="shared" si="7"/>
        <v>41</v>
      </c>
      <c r="I210" s="420"/>
      <c r="J210" s="439"/>
      <c r="K210" s="68"/>
      <c r="L210" s="62"/>
      <c r="M210" s="62"/>
    </row>
    <row r="211" spans="2:13" s="6" customFormat="1" ht="14.5">
      <c r="B211" s="467"/>
      <c r="C211" s="468" t="s">
        <v>155</v>
      </c>
      <c r="D211" s="423"/>
      <c r="E211" s="469"/>
      <c r="F211" s="470"/>
      <c r="G211" s="470"/>
      <c r="H211" s="470"/>
      <c r="I211" s="471"/>
      <c r="J211" s="473"/>
      <c r="K211" s="69"/>
      <c r="L211" s="63"/>
      <c r="M211" s="63"/>
    </row>
    <row r="212" spans="2:13" s="7" customFormat="1" ht="14.5">
      <c r="B212" s="472">
        <v>1</v>
      </c>
      <c r="C212" s="473" t="s">
        <v>343</v>
      </c>
      <c r="D212" s="455" t="s">
        <v>339</v>
      </c>
      <c r="E212" s="410" t="s">
        <v>117</v>
      </c>
      <c r="F212" s="470">
        <v>12.816800000000001</v>
      </c>
      <c r="G212" s="470">
        <v>4</v>
      </c>
      <c r="H212" s="470">
        <v>5</v>
      </c>
      <c r="I212" s="738">
        <v>5</v>
      </c>
      <c r="J212" s="473" t="s">
        <v>156</v>
      </c>
      <c r="K212" s="70"/>
      <c r="L212" s="64"/>
      <c r="M212" s="64"/>
    </row>
    <row r="213" spans="2:13" s="7" customFormat="1" ht="14.5">
      <c r="B213" s="472">
        <v>2</v>
      </c>
      <c r="C213" s="473" t="s">
        <v>344</v>
      </c>
      <c r="D213" s="455" t="s">
        <v>339</v>
      </c>
      <c r="E213" s="410" t="s">
        <v>117</v>
      </c>
      <c r="F213" s="470">
        <v>9.6126000000000005</v>
      </c>
      <c r="G213" s="470">
        <v>3</v>
      </c>
      <c r="H213" s="470">
        <v>3</v>
      </c>
      <c r="I213" s="739"/>
      <c r="J213" s="473" t="s">
        <v>156</v>
      </c>
      <c r="K213" s="70"/>
      <c r="L213" s="64"/>
      <c r="M213" s="64"/>
    </row>
    <row r="214" spans="2:13" s="7" customFormat="1" ht="14.5">
      <c r="B214" s="472">
        <v>3</v>
      </c>
      <c r="C214" s="473" t="s">
        <v>345</v>
      </c>
      <c r="D214" s="455" t="s">
        <v>339</v>
      </c>
      <c r="E214" s="410" t="s">
        <v>117</v>
      </c>
      <c r="F214" s="470">
        <v>9.6126000000000005</v>
      </c>
      <c r="G214" s="470">
        <v>3</v>
      </c>
      <c r="H214" s="470">
        <v>3</v>
      </c>
      <c r="I214" s="740"/>
      <c r="J214" s="473" t="s">
        <v>156</v>
      </c>
      <c r="K214" s="70"/>
      <c r="L214" s="64"/>
      <c r="M214" s="64"/>
    </row>
    <row r="215" spans="2:13" s="7" customFormat="1" ht="14.5">
      <c r="B215" s="474"/>
      <c r="C215" s="448"/>
      <c r="D215" s="416" t="s">
        <v>157</v>
      </c>
      <c r="E215" s="417"/>
      <c r="F215" s="475">
        <f>SUM(F212:F214)</f>
        <v>32.042000000000002</v>
      </c>
      <c r="G215" s="475">
        <f t="shared" ref="G215:H215" si="8">SUM(G212:G214)</f>
        <v>10</v>
      </c>
      <c r="H215" s="475">
        <f t="shared" si="8"/>
        <v>11</v>
      </c>
      <c r="I215" s="476"/>
      <c r="J215" s="448"/>
      <c r="K215" s="63"/>
      <c r="L215" s="63"/>
      <c r="M215" s="63"/>
    </row>
    <row r="216" spans="2:13" s="3" customFormat="1" ht="14.5">
      <c r="B216" s="477"/>
      <c r="C216" s="478" t="s">
        <v>158</v>
      </c>
      <c r="D216" s="478"/>
      <c r="E216" s="479"/>
      <c r="F216" s="480">
        <f>F168+F172+F187+F194+F210+F215</f>
        <v>762.393008219178</v>
      </c>
      <c r="G216" s="480">
        <f t="shared" ref="G216:H216" si="9">G168+G172+G187+G194+G210+G215</f>
        <v>237</v>
      </c>
      <c r="H216" s="480">
        <f t="shared" si="9"/>
        <v>236</v>
      </c>
      <c r="I216" s="481"/>
      <c r="J216" s="439"/>
      <c r="K216" s="1"/>
      <c r="L216" s="1"/>
    </row>
    <row r="217" spans="2:13" s="4" customFormat="1" ht="14">
      <c r="B217" s="482" t="s">
        <v>238</v>
      </c>
      <c r="C217" s="482" t="s">
        <v>234</v>
      </c>
      <c r="D217" s="483"/>
      <c r="E217" s="414"/>
      <c r="F217" s="412"/>
      <c r="G217" s="412"/>
      <c r="H217" s="484"/>
      <c r="I217" s="485"/>
      <c r="J217" s="414"/>
    </row>
    <row r="218" spans="2:13" s="5" customFormat="1" ht="14">
      <c r="B218" s="407"/>
      <c r="C218" s="408" t="s">
        <v>15</v>
      </c>
      <c r="D218" s="483" t="s">
        <v>159</v>
      </c>
      <c r="E218" s="414" t="s">
        <v>119</v>
      </c>
      <c r="F218" s="411"/>
      <c r="G218" s="412"/>
      <c r="H218" s="413">
        <v>3</v>
      </c>
      <c r="I218" s="443">
        <v>8</v>
      </c>
      <c r="J218" s="414"/>
    </row>
    <row r="219" spans="2:13" s="5" customFormat="1" ht="14">
      <c r="B219" s="486"/>
      <c r="C219" s="408" t="s">
        <v>15</v>
      </c>
      <c r="D219" s="409" t="s">
        <v>346</v>
      </c>
      <c r="E219" s="414" t="s">
        <v>119</v>
      </c>
      <c r="F219" s="451"/>
      <c r="G219" s="451"/>
      <c r="H219" s="457">
        <v>1</v>
      </c>
      <c r="I219" s="487">
        <v>5</v>
      </c>
      <c r="J219" s="414"/>
    </row>
    <row r="220" spans="2:13" s="5" customFormat="1" ht="14">
      <c r="B220" s="486"/>
      <c r="C220" s="408" t="s">
        <v>15</v>
      </c>
      <c r="D220" s="409" t="s">
        <v>160</v>
      </c>
      <c r="E220" s="414" t="s">
        <v>119</v>
      </c>
      <c r="F220" s="451"/>
      <c r="G220" s="451"/>
      <c r="H220" s="457">
        <v>4</v>
      </c>
      <c r="I220" s="487">
        <v>8</v>
      </c>
      <c r="J220" s="414"/>
    </row>
    <row r="221" spans="2:13" s="6" customFormat="1" ht="14">
      <c r="B221" s="488"/>
      <c r="C221" s="399"/>
      <c r="D221" s="416" t="s">
        <v>69</v>
      </c>
      <c r="E221" s="417"/>
      <c r="F221" s="418">
        <v>0</v>
      </c>
      <c r="G221" s="418">
        <v>0</v>
      </c>
      <c r="H221" s="419">
        <v>8</v>
      </c>
      <c r="I221" s="489"/>
      <c r="J221" s="439"/>
    </row>
    <row r="222" spans="2:13" s="8" customFormat="1" ht="14">
      <c r="B222" s="487">
        <v>1</v>
      </c>
      <c r="C222" s="490" t="s">
        <v>161</v>
      </c>
      <c r="D222" s="491" t="s">
        <v>161</v>
      </c>
      <c r="E222" s="414" t="s">
        <v>162</v>
      </c>
      <c r="F222" s="462">
        <v>571.26</v>
      </c>
      <c r="G222" s="451">
        <v>95</v>
      </c>
      <c r="H222" s="457">
        <v>145</v>
      </c>
      <c r="I222" s="487">
        <v>8</v>
      </c>
      <c r="J222" s="414"/>
    </row>
    <row r="223" spans="2:13" s="8" customFormat="1" ht="14">
      <c r="B223" s="488"/>
      <c r="C223" s="439"/>
      <c r="D223" s="416" t="s">
        <v>85</v>
      </c>
      <c r="E223" s="439"/>
      <c r="F223" s="466">
        <f>SUM(F222)</f>
        <v>571.26</v>
      </c>
      <c r="G223" s="466">
        <f>SUM(G222)</f>
        <v>95</v>
      </c>
      <c r="H223" s="466">
        <f>SUM(H222)</f>
        <v>145</v>
      </c>
      <c r="I223" s="492"/>
      <c r="J223" s="439"/>
    </row>
    <row r="224" spans="2:13" s="8" customFormat="1" ht="14">
      <c r="B224" s="477"/>
      <c r="C224" s="478" t="s">
        <v>163</v>
      </c>
      <c r="D224" s="478"/>
      <c r="E224" s="439"/>
      <c r="F224" s="480">
        <f>F221+F223</f>
        <v>571.26</v>
      </c>
      <c r="G224" s="480">
        <f t="shared" ref="G224:H224" si="10">G221+G223</f>
        <v>95</v>
      </c>
      <c r="H224" s="480">
        <f t="shared" si="10"/>
        <v>153</v>
      </c>
      <c r="I224" s="481"/>
      <c r="J224" s="439"/>
    </row>
    <row r="225" spans="1:16" s="9" customFormat="1" ht="12.5" customHeight="1">
      <c r="B225" s="71" t="s">
        <v>164</v>
      </c>
      <c r="C225" s="20" t="s">
        <v>165</v>
      </c>
      <c r="D225" s="72"/>
      <c r="E225" s="20"/>
      <c r="F225" s="73"/>
      <c r="G225" s="73"/>
      <c r="H225" s="226">
        <v>0</v>
      </c>
      <c r="I225" s="54"/>
      <c r="J225" s="25"/>
    </row>
    <row r="226" spans="1:16" s="2" customFormat="1" ht="13.5" customHeight="1">
      <c r="B226" s="29"/>
      <c r="C226" s="30" t="s">
        <v>15</v>
      </c>
      <c r="D226" s="39" t="s">
        <v>16</v>
      </c>
      <c r="E226" s="30"/>
      <c r="F226" s="74"/>
      <c r="G226" s="75"/>
      <c r="H226" s="226">
        <v>6</v>
      </c>
      <c r="I226" s="764">
        <v>4</v>
      </c>
      <c r="J226" s="33"/>
    </row>
    <row r="227" spans="1:16" s="2" customFormat="1" ht="13.5" customHeight="1">
      <c r="B227" s="29"/>
      <c r="C227" s="30" t="s">
        <v>15</v>
      </c>
      <c r="D227" s="39" t="s">
        <v>18</v>
      </c>
      <c r="E227" s="30"/>
      <c r="F227" s="74"/>
      <c r="G227" s="75"/>
      <c r="H227" s="226">
        <v>1</v>
      </c>
      <c r="I227" s="765"/>
      <c r="J227" s="33"/>
    </row>
    <row r="228" spans="1:16" s="2" customFormat="1" ht="13.5" customHeight="1">
      <c r="B228" s="29"/>
      <c r="C228" s="30" t="s">
        <v>15</v>
      </c>
      <c r="D228" s="39" t="s">
        <v>166</v>
      </c>
      <c r="E228" s="30"/>
      <c r="F228" s="74"/>
      <c r="G228" s="75"/>
      <c r="H228" s="226">
        <v>1</v>
      </c>
      <c r="I228" s="765"/>
      <c r="J228" s="33"/>
    </row>
    <row r="229" spans="1:16" s="2" customFormat="1" ht="13.5" customHeight="1">
      <c r="B229" s="29"/>
      <c r="C229" s="30" t="s">
        <v>15</v>
      </c>
      <c r="D229" s="39" t="s">
        <v>20</v>
      </c>
      <c r="E229" s="30"/>
      <c r="F229" s="74"/>
      <c r="G229" s="75"/>
      <c r="H229" s="226">
        <v>6</v>
      </c>
      <c r="I229" s="765"/>
      <c r="J229" s="33"/>
    </row>
    <row r="230" spans="1:16" s="1" customFormat="1" ht="13.5" customHeight="1">
      <c r="B230" s="34"/>
      <c r="C230" s="21"/>
      <c r="D230" s="76" t="s">
        <v>69</v>
      </c>
      <c r="E230" s="77"/>
      <c r="F230" s="78">
        <v>0</v>
      </c>
      <c r="G230" s="78">
        <v>0</v>
      </c>
      <c r="H230" s="227">
        <f>SUM(H226:H229)</f>
        <v>14</v>
      </c>
      <c r="I230" s="766"/>
      <c r="J230" s="25"/>
    </row>
    <row r="231" spans="1:16" s="2" customFormat="1" ht="13.5" customHeight="1">
      <c r="B231" s="49">
        <v>1</v>
      </c>
      <c r="C231" s="33" t="s">
        <v>167</v>
      </c>
      <c r="D231" s="80" t="s">
        <v>168</v>
      </c>
      <c r="E231" s="81" t="s">
        <v>169</v>
      </c>
      <c r="F231" s="82">
        <v>132.80000000000001</v>
      </c>
      <c r="G231" s="75">
        <v>80</v>
      </c>
      <c r="H231" s="226">
        <v>129</v>
      </c>
      <c r="I231" s="767">
        <v>4</v>
      </c>
      <c r="J231" s="33"/>
    </row>
    <row r="232" spans="1:16" s="2" customFormat="1" ht="13.5" customHeight="1">
      <c r="B232" s="49">
        <v>2</v>
      </c>
      <c r="C232" s="33" t="s">
        <v>167</v>
      </c>
      <c r="D232" s="80" t="s">
        <v>170</v>
      </c>
      <c r="E232" s="81" t="s">
        <v>169</v>
      </c>
      <c r="F232" s="83">
        <v>46</v>
      </c>
      <c r="G232" s="83">
        <v>12</v>
      </c>
      <c r="H232" s="238">
        <v>12</v>
      </c>
      <c r="I232" s="768"/>
      <c r="J232" s="33"/>
    </row>
    <row r="233" spans="1:16" s="2" customFormat="1" ht="13.5" customHeight="1">
      <c r="B233" s="49">
        <v>3</v>
      </c>
      <c r="C233" s="33" t="s">
        <v>167</v>
      </c>
      <c r="D233" s="80" t="s">
        <v>171</v>
      </c>
      <c r="E233" s="81" t="s">
        <v>169</v>
      </c>
      <c r="F233" s="82">
        <v>39.020000000000003</v>
      </c>
      <c r="G233" s="75">
        <v>33</v>
      </c>
      <c r="H233" s="226">
        <v>17</v>
      </c>
      <c r="I233" s="768"/>
      <c r="J233" s="33"/>
    </row>
    <row r="234" spans="1:16" s="2" customFormat="1" ht="13.5" customHeight="1">
      <c r="B234" s="49">
        <v>4</v>
      </c>
      <c r="C234" s="33" t="s">
        <v>167</v>
      </c>
      <c r="D234" s="80" t="s">
        <v>172</v>
      </c>
      <c r="E234" s="81" t="s">
        <v>169</v>
      </c>
      <c r="F234" s="82">
        <v>77.03</v>
      </c>
      <c r="G234" s="75">
        <v>33</v>
      </c>
      <c r="H234" s="226">
        <v>15</v>
      </c>
      <c r="I234" s="768"/>
      <c r="J234" s="33"/>
    </row>
    <row r="235" spans="1:16" s="10" customFormat="1" ht="13.5" customHeight="1">
      <c r="A235" s="84"/>
      <c r="B235" s="49">
        <v>5</v>
      </c>
      <c r="C235" s="85"/>
      <c r="D235" s="86" t="s">
        <v>173</v>
      </c>
      <c r="E235" s="87" t="s">
        <v>174</v>
      </c>
      <c r="F235" s="88" t="s">
        <v>175</v>
      </c>
      <c r="G235" s="89">
        <v>4</v>
      </c>
      <c r="H235" s="239">
        <v>4</v>
      </c>
      <c r="I235" s="769"/>
      <c r="J235" s="85"/>
      <c r="K235" s="84"/>
      <c r="L235" s="84"/>
      <c r="M235" s="84"/>
      <c r="N235" s="84"/>
      <c r="O235" s="84"/>
      <c r="P235" s="84"/>
    </row>
    <row r="236" spans="1:16" s="2" customFormat="1" ht="13.5" customHeight="1">
      <c r="B236" s="49">
        <v>6</v>
      </c>
      <c r="C236" s="33" t="s">
        <v>167</v>
      </c>
      <c r="D236" s="80" t="s">
        <v>176</v>
      </c>
      <c r="E236" s="81" t="s">
        <v>169</v>
      </c>
      <c r="F236" s="82">
        <v>33.409999999999997</v>
      </c>
      <c r="G236" s="75">
        <v>16</v>
      </c>
      <c r="H236" s="226">
        <v>15</v>
      </c>
      <c r="I236" s="768"/>
      <c r="J236" s="33"/>
    </row>
    <row r="237" spans="1:16" s="2" customFormat="1" ht="13.5" customHeight="1">
      <c r="B237" s="49">
        <v>7</v>
      </c>
      <c r="C237" s="33" t="s">
        <v>167</v>
      </c>
      <c r="D237" s="80" t="s">
        <v>177</v>
      </c>
      <c r="E237" s="81" t="s">
        <v>169</v>
      </c>
      <c r="F237" s="90">
        <v>45.75</v>
      </c>
      <c r="G237" s="75">
        <v>9</v>
      </c>
      <c r="H237" s="226">
        <v>7</v>
      </c>
      <c r="I237" s="768"/>
      <c r="J237" s="33"/>
    </row>
    <row r="238" spans="1:16" s="1" customFormat="1" ht="13" customHeight="1">
      <c r="B238" s="24"/>
      <c r="C238" s="25"/>
      <c r="D238" s="76" t="s">
        <v>85</v>
      </c>
      <c r="E238" s="35"/>
      <c r="F238" s="91">
        <f>SUM(F231:F237)</f>
        <v>374.01</v>
      </c>
      <c r="G238" s="91">
        <f>SUM(G231:G237)</f>
        <v>187</v>
      </c>
      <c r="H238" s="228">
        <f>SUM(H231:H237)</f>
        <v>199</v>
      </c>
      <c r="I238" s="770"/>
      <c r="J238" s="25"/>
    </row>
    <row r="239" spans="1:16" s="2" customFormat="1" ht="13.5" customHeight="1">
      <c r="B239" s="49">
        <v>8</v>
      </c>
      <c r="C239" s="33" t="s">
        <v>178</v>
      </c>
      <c r="D239" s="80" t="s">
        <v>179</v>
      </c>
      <c r="E239" s="81"/>
      <c r="F239" s="90">
        <v>660.55</v>
      </c>
      <c r="G239" s="75">
        <v>103</v>
      </c>
      <c r="H239" s="226">
        <v>90</v>
      </c>
      <c r="I239" s="52">
        <v>8</v>
      </c>
      <c r="J239" s="33"/>
    </row>
    <row r="240" spans="1:16" s="1" customFormat="1" ht="13.5" customHeight="1">
      <c r="B240" s="24"/>
      <c r="C240" s="25"/>
      <c r="D240" s="76" t="s">
        <v>145</v>
      </c>
      <c r="E240" s="35"/>
      <c r="F240" s="92">
        <f>SUM(F239)</f>
        <v>660.55</v>
      </c>
      <c r="G240" s="92">
        <f t="shared" ref="G240:H240" si="11">SUM(G239)</f>
        <v>103</v>
      </c>
      <c r="H240" s="92">
        <f t="shared" si="11"/>
        <v>90</v>
      </c>
      <c r="I240" s="52"/>
      <c r="J240" s="25"/>
    </row>
    <row r="241" spans="2:16" s="1" customFormat="1" ht="13.5" customHeight="1">
      <c r="B241" s="53"/>
      <c r="C241" s="41" t="s">
        <v>180</v>
      </c>
      <c r="D241" s="41"/>
      <c r="E241" s="93"/>
      <c r="F241" s="94">
        <f>+F230+F238+F240</f>
        <v>1034.56</v>
      </c>
      <c r="G241" s="94">
        <f t="shared" ref="G241:H241" si="12">+G230+G238+G240</f>
        <v>290</v>
      </c>
      <c r="H241" s="94">
        <f t="shared" si="12"/>
        <v>303</v>
      </c>
      <c r="I241" s="25"/>
      <c r="J241" s="55"/>
    </row>
    <row r="242" spans="2:16" s="1" customFormat="1" ht="14.5">
      <c r="B242" s="95" t="s">
        <v>181</v>
      </c>
      <c r="C242" s="96" t="s">
        <v>182</v>
      </c>
      <c r="D242" s="97" t="s">
        <v>182</v>
      </c>
      <c r="E242" s="58"/>
      <c r="F242" s="98"/>
      <c r="G242" s="99"/>
      <c r="H242" s="229">
        <v>0</v>
      </c>
      <c r="I242" s="60"/>
      <c r="J242" s="100" t="s">
        <v>183</v>
      </c>
      <c r="O242" s="101"/>
      <c r="P242" s="101"/>
    </row>
    <row r="243" spans="2:16" s="2" customFormat="1">
      <c r="B243" s="61">
        <v>1</v>
      </c>
      <c r="C243" s="30" t="s">
        <v>15</v>
      </c>
      <c r="D243" s="39" t="s">
        <v>14</v>
      </c>
      <c r="E243" s="30"/>
      <c r="F243" s="102"/>
      <c r="G243" s="103"/>
      <c r="H243" s="240">
        <v>0</v>
      </c>
      <c r="I243" s="764" t="s">
        <v>184</v>
      </c>
      <c r="J243" s="33"/>
    </row>
    <row r="244" spans="2:16" s="2" customFormat="1" ht="15" customHeight="1">
      <c r="B244" s="61"/>
      <c r="C244" s="30" t="s">
        <v>15</v>
      </c>
      <c r="D244" s="39" t="s">
        <v>16</v>
      </c>
      <c r="E244" s="30"/>
      <c r="F244" s="102"/>
      <c r="G244" s="103"/>
      <c r="H244" s="240">
        <v>6</v>
      </c>
      <c r="I244" s="765"/>
      <c r="J244" s="33"/>
    </row>
    <row r="245" spans="2:16" s="2" customFormat="1">
      <c r="B245" s="61"/>
      <c r="C245" s="30" t="s">
        <v>15</v>
      </c>
      <c r="D245" s="39" t="s">
        <v>18</v>
      </c>
      <c r="E245" s="30"/>
      <c r="F245" s="102"/>
      <c r="G245" s="103"/>
      <c r="H245" s="240">
        <v>1</v>
      </c>
      <c r="I245" s="765"/>
      <c r="J245" s="33"/>
    </row>
    <row r="246" spans="2:16" s="2" customFormat="1">
      <c r="B246" s="61"/>
      <c r="C246" s="30" t="s">
        <v>15</v>
      </c>
      <c r="D246" s="39" t="s">
        <v>20</v>
      </c>
      <c r="E246" s="30"/>
      <c r="F246" s="102"/>
      <c r="G246" s="103"/>
      <c r="H246" s="240">
        <v>6</v>
      </c>
      <c r="I246" s="766"/>
      <c r="J246" s="33"/>
    </row>
    <row r="247" spans="2:16" s="1" customFormat="1" ht="14.5">
      <c r="B247" s="104"/>
      <c r="D247" s="105" t="s">
        <v>69</v>
      </c>
      <c r="E247" s="106"/>
      <c r="F247" s="79">
        <f>SUM(F242:F246)</f>
        <v>0</v>
      </c>
      <c r="G247" s="79">
        <f t="shared" ref="G247" si="13">SUM(G242:G246)</f>
        <v>0</v>
      </c>
      <c r="H247" s="227">
        <f>SUM(H244:H246)</f>
        <v>13</v>
      </c>
      <c r="I247" s="107"/>
      <c r="J247" s="25"/>
    </row>
    <row r="248" spans="2:16" s="2" customFormat="1">
      <c r="B248" s="108"/>
      <c r="C248" s="109"/>
      <c r="D248" s="110"/>
      <c r="E248" s="111"/>
      <c r="F248" s="112"/>
      <c r="G248" s="112"/>
      <c r="H248" s="241"/>
      <c r="I248" s="84"/>
      <c r="J248" s="113"/>
    </row>
    <row r="249" spans="2:16" s="2" customFormat="1" ht="14.5">
      <c r="B249" s="114">
        <v>2</v>
      </c>
      <c r="C249" s="115" t="s">
        <v>185</v>
      </c>
      <c r="D249" s="116" t="s">
        <v>186</v>
      </c>
      <c r="E249" s="117" t="s">
        <v>187</v>
      </c>
      <c r="F249" s="118">
        <v>35</v>
      </c>
      <c r="G249" s="119">
        <v>6</v>
      </c>
      <c r="H249" s="242">
        <v>3</v>
      </c>
      <c r="I249" s="120" t="s">
        <v>184</v>
      </c>
      <c r="J249" s="121"/>
      <c r="M249" s="122"/>
      <c r="N249" s="122"/>
      <c r="O249" s="122"/>
      <c r="P249" s="122"/>
    </row>
    <row r="250" spans="2:16" s="1" customFormat="1" ht="14.5">
      <c r="B250" s="104"/>
      <c r="C250" s="123"/>
      <c r="D250" s="124" t="s">
        <v>85</v>
      </c>
      <c r="E250" s="124"/>
      <c r="F250" s="125">
        <f>SUM(F249)</f>
        <v>35</v>
      </c>
      <c r="G250" s="125">
        <f>SUM(G249)</f>
        <v>6</v>
      </c>
      <c r="H250" s="230">
        <f>SUM(H249)</f>
        <v>3</v>
      </c>
      <c r="I250" s="126"/>
      <c r="J250" s="127"/>
      <c r="M250" s="101"/>
      <c r="N250" s="101"/>
      <c r="O250" s="101"/>
      <c r="P250" s="101"/>
    </row>
    <row r="251" spans="2:16" s="2" customFormat="1" ht="14.5">
      <c r="B251" s="114">
        <v>1</v>
      </c>
      <c r="C251" s="115" t="s">
        <v>188</v>
      </c>
      <c r="D251" s="128" t="s">
        <v>189</v>
      </c>
      <c r="E251" s="87" t="s">
        <v>190</v>
      </c>
      <c r="F251" s="129">
        <v>60</v>
      </c>
      <c r="G251" s="130">
        <v>84</v>
      </c>
      <c r="H251" s="243">
        <v>63</v>
      </c>
      <c r="I251" s="771">
        <v>2</v>
      </c>
      <c r="J251" s="131" t="s">
        <v>191</v>
      </c>
      <c r="M251" s="122"/>
      <c r="N251" s="122"/>
      <c r="O251" s="122"/>
      <c r="P251" s="122"/>
    </row>
    <row r="252" spans="2:16" s="2" customFormat="1" ht="14.5">
      <c r="B252" s="132">
        <v>2</v>
      </c>
      <c r="C252" s="133" t="s">
        <v>188</v>
      </c>
      <c r="D252" s="128" t="s">
        <v>192</v>
      </c>
      <c r="E252" s="87" t="s">
        <v>190</v>
      </c>
      <c r="F252" s="129">
        <v>261</v>
      </c>
      <c r="G252" s="130">
        <v>137</v>
      </c>
      <c r="H252" s="243">
        <v>100</v>
      </c>
      <c r="I252" s="771"/>
      <c r="J252" s="131" t="s">
        <v>191</v>
      </c>
      <c r="M252" s="122"/>
      <c r="N252" s="122"/>
      <c r="O252" s="122"/>
      <c r="P252" s="122"/>
    </row>
    <row r="253" spans="2:16" s="2" customFormat="1" ht="14.5">
      <c r="B253" s="134">
        <v>3</v>
      </c>
      <c r="C253" s="135" t="s">
        <v>188</v>
      </c>
      <c r="D253" s="136" t="s">
        <v>193</v>
      </c>
      <c r="E253" s="87" t="s">
        <v>190</v>
      </c>
      <c r="F253" s="129">
        <v>46</v>
      </c>
      <c r="G253" s="130">
        <v>20</v>
      </c>
      <c r="H253" s="243">
        <v>15</v>
      </c>
      <c r="I253" s="771"/>
      <c r="J253" s="137" t="s">
        <v>191</v>
      </c>
      <c r="M253" s="122"/>
      <c r="N253" s="122"/>
      <c r="O253" s="122"/>
      <c r="P253" s="122"/>
    </row>
    <row r="254" spans="2:16" s="1" customFormat="1" ht="14.5">
      <c r="B254" s="34"/>
      <c r="D254" s="138" t="s">
        <v>145</v>
      </c>
      <c r="E254" s="139"/>
      <c r="F254" s="140">
        <f>SUM(F251:F253)</f>
        <v>367</v>
      </c>
      <c r="G254" s="140">
        <f>SUM(G251:G253)</f>
        <v>241</v>
      </c>
      <c r="H254" s="231">
        <f>SUM(H251:H253)</f>
        <v>178</v>
      </c>
      <c r="I254" s="141"/>
      <c r="J254" s="142"/>
      <c r="M254" s="101"/>
      <c r="N254" s="101"/>
      <c r="O254" s="101"/>
      <c r="P254" s="101"/>
    </row>
    <row r="255" spans="2:16" s="2" customFormat="1" ht="14.5">
      <c r="B255" s="143">
        <v>4</v>
      </c>
      <c r="C255" s="144" t="s">
        <v>188</v>
      </c>
      <c r="D255" s="145" t="s">
        <v>194</v>
      </c>
      <c r="E255" s="87" t="s">
        <v>169</v>
      </c>
      <c r="F255" s="129">
        <v>35</v>
      </c>
      <c r="G255" s="146">
        <v>10</v>
      </c>
      <c r="H255" s="244">
        <v>2</v>
      </c>
      <c r="I255" s="772">
        <v>3</v>
      </c>
      <c r="J255" s="147" t="s">
        <v>195</v>
      </c>
      <c r="K255" s="148"/>
      <c r="L255" s="148"/>
      <c r="M255" s="148"/>
      <c r="N255" s="148"/>
      <c r="O255" s="148"/>
      <c r="P255" s="148"/>
    </row>
    <row r="256" spans="2:16" s="2" customFormat="1" ht="14.5">
      <c r="B256" s="149">
        <v>5</v>
      </c>
      <c r="C256" s="150" t="s">
        <v>188</v>
      </c>
      <c r="D256" s="145" t="s">
        <v>196</v>
      </c>
      <c r="E256" s="87" t="s">
        <v>197</v>
      </c>
      <c r="F256" s="151">
        <v>342</v>
      </c>
      <c r="G256" s="130">
        <v>83</v>
      </c>
      <c r="H256" s="243">
        <v>110</v>
      </c>
      <c r="I256" s="772"/>
      <c r="J256" s="152" t="s">
        <v>198</v>
      </c>
      <c r="M256" s="122"/>
      <c r="N256" s="122"/>
      <c r="O256" s="122"/>
      <c r="P256" s="122"/>
    </row>
    <row r="257" spans="2:16" s="2" customFormat="1" ht="14.5">
      <c r="B257" s="143">
        <v>6</v>
      </c>
      <c r="C257" s="150" t="s">
        <v>188</v>
      </c>
      <c r="D257" s="153" t="s">
        <v>199</v>
      </c>
      <c r="E257" s="87" t="s">
        <v>200</v>
      </c>
      <c r="F257" s="154">
        <v>35</v>
      </c>
      <c r="G257" s="155">
        <v>10</v>
      </c>
      <c r="H257" s="245">
        <v>24</v>
      </c>
      <c r="I257" s="772"/>
      <c r="J257" s="156"/>
      <c r="M257" s="122"/>
      <c r="N257" s="122"/>
      <c r="O257" s="122"/>
      <c r="P257" s="122"/>
    </row>
    <row r="258" spans="2:16" s="2" customFormat="1" ht="14.5">
      <c r="B258" s="149">
        <v>7</v>
      </c>
      <c r="C258" s="157" t="s">
        <v>188</v>
      </c>
      <c r="D258" s="158" t="s">
        <v>201</v>
      </c>
      <c r="E258" s="159" t="s">
        <v>202</v>
      </c>
      <c r="F258" s="160">
        <v>77</v>
      </c>
      <c r="G258" s="155">
        <v>13</v>
      </c>
      <c r="H258" s="245">
        <v>15</v>
      </c>
      <c r="I258" s="772"/>
      <c r="J258" s="161" t="s">
        <v>203</v>
      </c>
      <c r="M258" s="122"/>
      <c r="N258" s="122"/>
      <c r="O258" s="122"/>
      <c r="P258" s="122"/>
    </row>
    <row r="259" spans="2:16" s="1" customFormat="1" ht="14.5">
      <c r="B259" s="34"/>
      <c r="C259" s="123"/>
      <c r="D259" s="105" t="s">
        <v>150</v>
      </c>
      <c r="E259" s="162"/>
      <c r="F259" s="163">
        <f>SUM(F255:F258)</f>
        <v>489</v>
      </c>
      <c r="G259" s="163">
        <f>SUM(G255:G258)</f>
        <v>116</v>
      </c>
      <c r="H259" s="232">
        <f>SUM(H255:H258)</f>
        <v>151</v>
      </c>
      <c r="I259" s="164"/>
      <c r="J259" s="45"/>
      <c r="K259" s="101"/>
      <c r="L259" s="101"/>
      <c r="M259" s="101"/>
      <c r="N259" s="101"/>
      <c r="O259" s="101"/>
      <c r="P259" s="101"/>
    </row>
    <row r="260" spans="2:16" s="1" customFormat="1" ht="14.5">
      <c r="B260" s="53"/>
      <c r="C260" s="41" t="s">
        <v>204</v>
      </c>
      <c r="D260" s="41"/>
      <c r="E260" s="165"/>
      <c r="F260" s="94">
        <f>F247+F250+F254+F259</f>
        <v>891</v>
      </c>
      <c r="G260" s="94">
        <f t="shared" ref="G260:H260" si="14">G247+G250+G254+G259</f>
        <v>363</v>
      </c>
      <c r="H260" s="94">
        <f t="shared" si="14"/>
        <v>345</v>
      </c>
      <c r="I260" s="54"/>
      <c r="J260" s="55"/>
    </row>
    <row r="261" spans="2:16" s="9" customFormat="1" ht="18.75" customHeight="1">
      <c r="B261" s="166"/>
      <c r="C261" s="762" t="s">
        <v>205</v>
      </c>
      <c r="D261" s="763"/>
      <c r="E261" s="763"/>
      <c r="F261" s="727">
        <f>F99+F121+F162+F216+F224+F241+F260</f>
        <v>5862.2130082191779</v>
      </c>
      <c r="G261" s="727">
        <f t="shared" ref="G261:H261" si="15">G99+G121+G162+G216+G224+G241+G260</f>
        <v>1739</v>
      </c>
      <c r="H261" s="727">
        <f t="shared" si="15"/>
        <v>3208</v>
      </c>
      <c r="I261" s="166"/>
      <c r="J261" s="167"/>
    </row>
    <row r="262" spans="2:16">
      <c r="C262" s="168"/>
    </row>
    <row r="264" spans="2:16" ht="23.5">
      <c r="B264" s="759" t="s">
        <v>206</v>
      </c>
      <c r="C264" s="759"/>
      <c r="D264" s="759"/>
      <c r="E264" s="759"/>
      <c r="F264" s="759"/>
      <c r="G264" s="759"/>
      <c r="H264" s="759"/>
      <c r="I264" s="759"/>
      <c r="J264" s="759"/>
    </row>
    <row r="265" spans="2:16" s="3" customFormat="1" ht="14.5">
      <c r="B265" s="755" t="s">
        <v>1253</v>
      </c>
      <c r="C265" s="755"/>
      <c r="D265" s="755"/>
      <c r="E265" s="169"/>
      <c r="F265" s="170"/>
      <c r="G265" s="170"/>
      <c r="H265" s="233"/>
      <c r="I265" s="171"/>
    </row>
    <row r="266" spans="2:16" s="11" customFormat="1" ht="30" customHeight="1">
      <c r="B266" s="172" t="s">
        <v>0</v>
      </c>
      <c r="C266" s="16" t="s">
        <v>1</v>
      </c>
      <c r="D266" s="172" t="s">
        <v>2</v>
      </c>
      <c r="E266" s="172" t="s">
        <v>3</v>
      </c>
      <c r="F266" s="173" t="s">
        <v>4</v>
      </c>
      <c r="G266" s="173" t="s">
        <v>5</v>
      </c>
      <c r="H266" s="234" t="s">
        <v>6</v>
      </c>
      <c r="I266" s="174" t="s">
        <v>7</v>
      </c>
      <c r="J266" s="175" t="s">
        <v>8</v>
      </c>
    </row>
    <row r="267" spans="2:16" s="3" customFormat="1" ht="14.5">
      <c r="B267" s="176" t="s">
        <v>9</v>
      </c>
      <c r="C267" s="177" t="s">
        <v>165</v>
      </c>
      <c r="D267" s="176"/>
      <c r="E267" s="178"/>
      <c r="F267" s="179"/>
      <c r="G267" s="179"/>
      <c r="H267" s="235"/>
      <c r="I267" s="180"/>
      <c r="J267" s="181"/>
    </row>
    <row r="268" spans="2:16" ht="14" customHeight="1">
      <c r="B268" s="182"/>
      <c r="C268" s="85"/>
      <c r="D268" s="183" t="s">
        <v>207</v>
      </c>
      <c r="E268" s="184"/>
      <c r="F268" s="185">
        <v>33.43</v>
      </c>
      <c r="G268" s="89">
        <v>20</v>
      </c>
      <c r="H268" s="239"/>
      <c r="I268" s="753">
        <v>4</v>
      </c>
      <c r="J268" s="186"/>
    </row>
    <row r="269" spans="2:16">
      <c r="B269" s="182"/>
      <c r="C269" s="85"/>
      <c r="D269" s="187" t="s">
        <v>208</v>
      </c>
      <c r="E269" s="184"/>
      <c r="F269" s="734">
        <v>25.07</v>
      </c>
      <c r="G269" s="280">
        <v>10</v>
      </c>
      <c r="H269" s="239"/>
      <c r="I269" s="754"/>
      <c r="J269" s="186" t="s">
        <v>209</v>
      </c>
    </row>
    <row r="270" spans="2:16" s="2" customFormat="1" ht="18" customHeight="1">
      <c r="B270" s="188"/>
      <c r="C270" s="189" t="s">
        <v>210</v>
      </c>
      <c r="D270" s="189"/>
      <c r="E270" s="189"/>
      <c r="F270" s="190">
        <f>SUM(F268:F269)</f>
        <v>58.5</v>
      </c>
      <c r="G270" s="190">
        <f>SUM(G268:G269)</f>
        <v>30</v>
      </c>
      <c r="H270" s="236"/>
      <c r="I270" s="191"/>
      <c r="J270" s="178"/>
    </row>
    <row r="271" spans="2:16">
      <c r="B271" s="192" t="s">
        <v>87</v>
      </c>
      <c r="C271" s="192" t="s">
        <v>182</v>
      </c>
      <c r="D271" s="192"/>
      <c r="E271" s="193"/>
      <c r="F271" s="194"/>
      <c r="G271" s="195"/>
      <c r="H271" s="246"/>
      <c r="I271" s="196"/>
      <c r="J271" s="197"/>
    </row>
    <row r="272" spans="2:16">
      <c r="B272" s="198">
        <v>1</v>
      </c>
      <c r="C272" s="199"/>
      <c r="D272" s="200" t="s">
        <v>211</v>
      </c>
      <c r="E272" s="201" t="s">
        <v>190</v>
      </c>
      <c r="F272" s="202">
        <v>165</v>
      </c>
      <c r="G272" s="202">
        <v>60</v>
      </c>
      <c r="H272" s="247" t="s">
        <v>212</v>
      </c>
      <c r="I272" s="203">
        <v>2</v>
      </c>
      <c r="J272" s="204" t="s">
        <v>213</v>
      </c>
    </row>
    <row r="273" spans="2:13">
      <c r="B273" s="205">
        <v>2</v>
      </c>
      <c r="C273" s="199"/>
      <c r="D273" s="200" t="s">
        <v>211</v>
      </c>
      <c r="E273" s="201" t="s">
        <v>190</v>
      </c>
      <c r="F273" s="206">
        <v>170</v>
      </c>
      <c r="G273" s="206">
        <v>72</v>
      </c>
      <c r="H273" s="248"/>
      <c r="I273" s="203">
        <v>3</v>
      </c>
      <c r="J273" s="204" t="s">
        <v>213</v>
      </c>
    </row>
    <row r="274" spans="2:13" s="9" customFormat="1" ht="20.25" customHeight="1">
      <c r="B274" s="207"/>
      <c r="C274" s="208" t="s">
        <v>214</v>
      </c>
      <c r="D274" s="208"/>
      <c r="E274" s="209">
        <v>0</v>
      </c>
      <c r="F274" s="210">
        <f>SUM(F272:F273)</f>
        <v>335</v>
      </c>
      <c r="G274" s="210">
        <f>SUM(G272:G273)</f>
        <v>132</v>
      </c>
      <c r="H274" s="237"/>
      <c r="I274" s="211"/>
      <c r="J274" s="212"/>
    </row>
    <row r="275" spans="2:13" s="9" customFormat="1" ht="14" customHeight="1">
      <c r="B275" s="389" t="s">
        <v>114</v>
      </c>
      <c r="C275" s="390" t="s">
        <v>88</v>
      </c>
      <c r="D275" s="391"/>
      <c r="E275" s="392"/>
      <c r="F275" s="393"/>
      <c r="G275" s="393"/>
      <c r="H275" s="394"/>
      <c r="I275" s="211"/>
      <c r="J275" s="212"/>
      <c r="K275" s="380"/>
      <c r="L275" s="380"/>
      <c r="M275" s="397"/>
    </row>
    <row r="276" spans="2:13" s="9" customFormat="1" ht="14" customHeight="1">
      <c r="B276" s="198">
        <v>1</v>
      </c>
      <c r="C276" s="385"/>
      <c r="D276" s="200" t="s">
        <v>215</v>
      </c>
      <c r="E276" s="386"/>
      <c r="F276" s="387">
        <v>110</v>
      </c>
      <c r="G276" s="387">
        <v>52</v>
      </c>
      <c r="H276" s="388"/>
      <c r="I276" s="203">
        <v>1</v>
      </c>
      <c r="J276" s="396" t="s">
        <v>314</v>
      </c>
      <c r="K276" s="380"/>
      <c r="L276" s="380"/>
      <c r="M276" s="380"/>
    </row>
    <row r="277" spans="2:13" s="9" customFormat="1" ht="19.5" customHeight="1">
      <c r="B277" s="205">
        <v>2</v>
      </c>
      <c r="C277" s="385"/>
      <c r="D277" s="200" t="s">
        <v>315</v>
      </c>
      <c r="E277" s="386"/>
      <c r="F277" s="387">
        <v>28</v>
      </c>
      <c r="G277" s="387">
        <v>5</v>
      </c>
      <c r="H277" s="388"/>
      <c r="I277" s="203">
        <v>4</v>
      </c>
      <c r="J277" s="398" t="s">
        <v>316</v>
      </c>
      <c r="K277" s="380"/>
      <c r="L277" s="380"/>
      <c r="M277" s="380"/>
    </row>
    <row r="278" spans="2:13" s="9" customFormat="1" ht="20.25" customHeight="1">
      <c r="B278" s="395"/>
      <c r="C278" s="381" t="s">
        <v>216</v>
      </c>
      <c r="D278" s="381"/>
      <c r="E278" s="382"/>
      <c r="F278" s="383">
        <v>138</v>
      </c>
      <c r="G278" s="383">
        <v>57</v>
      </c>
      <c r="H278" s="384"/>
      <c r="I278" s="216"/>
      <c r="J278" s="217"/>
      <c r="K278" s="380"/>
      <c r="L278" s="380"/>
      <c r="M278" s="380"/>
    </row>
    <row r="279" spans="2:13" s="9" customFormat="1" ht="20.25" customHeight="1">
      <c r="B279" s="395"/>
      <c r="C279" s="381" t="s">
        <v>1252</v>
      </c>
      <c r="D279" s="381"/>
      <c r="E279" s="382"/>
      <c r="F279" s="383">
        <f>F270+F274+F278</f>
        <v>531.5</v>
      </c>
      <c r="G279" s="383">
        <f>G270+G274+G278</f>
        <v>219</v>
      </c>
      <c r="H279" s="384"/>
      <c r="I279" s="216"/>
      <c r="J279" s="217"/>
      <c r="K279" s="380"/>
      <c r="L279" s="380"/>
      <c r="M279" s="380"/>
    </row>
  </sheetData>
  <mergeCells count="31">
    <mergeCell ref="B2:J2"/>
    <mergeCell ref="B3:D3"/>
    <mergeCell ref="D28:E28"/>
    <mergeCell ref="C261:E261"/>
    <mergeCell ref="B264:J264"/>
    <mergeCell ref="I226:I230"/>
    <mergeCell ref="I231:I238"/>
    <mergeCell ref="I243:I246"/>
    <mergeCell ref="I251:I253"/>
    <mergeCell ref="I255:I258"/>
    <mergeCell ref="I63:I98"/>
    <mergeCell ref="I101:I107"/>
    <mergeCell ref="I108:I120"/>
    <mergeCell ref="I268:I269"/>
    <mergeCell ref="B265:D265"/>
    <mergeCell ref="I8:I13"/>
    <mergeCell ref="I14:I20"/>
    <mergeCell ref="I21:I27"/>
    <mergeCell ref="I28:I59"/>
    <mergeCell ref="I60:I61"/>
    <mergeCell ref="F139:F140"/>
    <mergeCell ref="H151:H152"/>
    <mergeCell ref="I130:I147"/>
    <mergeCell ref="I148:I152"/>
    <mergeCell ref="I153:I160"/>
    <mergeCell ref="I212:I214"/>
    <mergeCell ref="I170:I171"/>
    <mergeCell ref="I174:I176"/>
    <mergeCell ref="I177:I186"/>
    <mergeCell ref="I189:I193"/>
    <mergeCell ref="I196:I2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E964-2AA1-4077-80B2-3E1578EB7C24}">
  <dimension ref="B1:H18"/>
  <sheetViews>
    <sheetView showGridLines="0" topLeftCell="A3" zoomScale="95" zoomScaleNormal="95" workbookViewId="0">
      <selection activeCell="E14" sqref="E14"/>
    </sheetView>
  </sheetViews>
  <sheetFormatPr defaultColWidth="9" defaultRowHeight="15"/>
  <cols>
    <col min="1" max="1" width="2.26953125" customWidth="1"/>
    <col min="2" max="2" width="6" style="687" customWidth="1"/>
    <col min="3" max="3" width="20.54296875" style="275" bestFit="1" customWidth="1"/>
    <col min="4" max="4" width="28.6328125" style="276" bestFit="1" customWidth="1"/>
    <col min="5" max="5" width="14.1796875" style="284" customWidth="1"/>
    <col min="6" max="6" width="10.08984375" style="284" customWidth="1"/>
    <col min="7" max="7" width="9.453125" style="10" customWidth="1"/>
    <col min="8" max="8" width="18.90625" bestFit="1" customWidth="1"/>
  </cols>
  <sheetData>
    <row r="1" spans="2:8" ht="11" customHeight="1"/>
    <row r="2" spans="2:8" ht="23.5">
      <c r="B2" s="759" t="s">
        <v>206</v>
      </c>
      <c r="C2" s="759"/>
      <c r="D2" s="759"/>
      <c r="E2" s="759"/>
      <c r="F2" s="759"/>
      <c r="G2" s="759"/>
      <c r="H2" s="759"/>
    </row>
    <row r="4" spans="2:8" s="3" customFormat="1" ht="14.5">
      <c r="B4" s="755" t="s">
        <v>669</v>
      </c>
      <c r="C4" s="755"/>
      <c r="D4" s="755"/>
      <c r="E4" s="277"/>
      <c r="F4" s="277"/>
      <c r="G4" s="171"/>
    </row>
    <row r="5" spans="2:8" s="268" customFormat="1" ht="30" customHeight="1">
      <c r="B5" s="172" t="s">
        <v>236</v>
      </c>
      <c r="C5" s="16" t="s">
        <v>0</v>
      </c>
      <c r="D5" s="265" t="s">
        <v>2</v>
      </c>
      <c r="E5" s="285" t="s">
        <v>4</v>
      </c>
      <c r="F5" s="285" t="s">
        <v>5</v>
      </c>
      <c r="G5" s="266" t="s">
        <v>7</v>
      </c>
      <c r="H5" s="267" t="s">
        <v>8</v>
      </c>
    </row>
    <row r="6" spans="2:8" s="221" customFormat="1" ht="14.5">
      <c r="B6" s="783">
        <v>1</v>
      </c>
      <c r="C6" s="775" t="s">
        <v>165</v>
      </c>
      <c r="D6" s="270"/>
      <c r="E6" s="278"/>
      <c r="F6" s="278"/>
      <c r="G6" s="271"/>
      <c r="H6" s="272"/>
    </row>
    <row r="7" spans="2:8" ht="14" customHeight="1">
      <c r="B7" s="784"/>
      <c r="C7" s="776"/>
      <c r="D7" s="183" t="s">
        <v>207</v>
      </c>
      <c r="E7" s="279">
        <v>33.43</v>
      </c>
      <c r="F7" s="280">
        <v>20</v>
      </c>
      <c r="G7" s="753">
        <v>4</v>
      </c>
      <c r="H7" s="186"/>
    </row>
    <row r="8" spans="2:8">
      <c r="B8" s="784"/>
      <c r="C8" s="776"/>
      <c r="D8" s="187" t="s">
        <v>208</v>
      </c>
      <c r="E8" s="734">
        <v>25.07</v>
      </c>
      <c r="F8" s="280">
        <v>10</v>
      </c>
      <c r="G8" s="754"/>
      <c r="H8" s="186"/>
    </row>
    <row r="9" spans="2:8" s="2" customFormat="1" ht="18" customHeight="1">
      <c r="B9" s="785"/>
      <c r="C9" s="777"/>
      <c r="D9" s="730" t="s">
        <v>210</v>
      </c>
      <c r="E9" s="281">
        <f>SUM(E7:E8)</f>
        <v>58.5</v>
      </c>
      <c r="F9" s="281">
        <f>SUM(F7:F8)</f>
        <v>30</v>
      </c>
      <c r="G9" s="191"/>
      <c r="H9" s="178"/>
    </row>
    <row r="10" spans="2:8">
      <c r="B10" s="778">
        <v>2</v>
      </c>
      <c r="C10" s="778" t="s">
        <v>182</v>
      </c>
      <c r="D10" s="192"/>
      <c r="E10" s="282"/>
      <c r="F10" s="283"/>
      <c r="G10" s="196"/>
      <c r="H10" s="197"/>
    </row>
    <row r="11" spans="2:8">
      <c r="B11" s="779"/>
      <c r="C11" s="779"/>
      <c r="D11" s="731" t="s">
        <v>211</v>
      </c>
      <c r="E11" s="202">
        <v>165</v>
      </c>
      <c r="F11" s="202">
        <v>60</v>
      </c>
      <c r="G11" s="203">
        <v>2</v>
      </c>
      <c r="H11" s="204"/>
    </row>
    <row r="12" spans="2:8">
      <c r="B12" s="779"/>
      <c r="C12" s="779"/>
      <c r="D12" s="731" t="s">
        <v>211</v>
      </c>
      <c r="E12" s="206">
        <v>170</v>
      </c>
      <c r="F12" s="206">
        <v>72</v>
      </c>
      <c r="G12" s="203">
        <v>3</v>
      </c>
      <c r="H12" s="204"/>
    </row>
    <row r="13" spans="2:8" s="9" customFormat="1" ht="20.25" customHeight="1">
      <c r="B13" s="780"/>
      <c r="C13" s="780"/>
      <c r="D13" s="732" t="s">
        <v>214</v>
      </c>
      <c r="E13" s="210">
        <f>SUM(E11:E12)</f>
        <v>335</v>
      </c>
      <c r="F13" s="210">
        <f>SUM(F11:F12)</f>
        <v>132</v>
      </c>
      <c r="G13" s="211"/>
      <c r="H13" s="212"/>
    </row>
    <row r="14" spans="2:8" s="9" customFormat="1" ht="14" customHeight="1">
      <c r="B14" s="786">
        <v>3</v>
      </c>
      <c r="C14" s="781" t="s">
        <v>88</v>
      </c>
      <c r="D14" s="733"/>
      <c r="E14" s="213"/>
      <c r="F14" s="213"/>
      <c r="G14" s="211"/>
      <c r="H14" s="212"/>
    </row>
    <row r="15" spans="2:8" s="9" customFormat="1" ht="14" customHeight="1">
      <c r="B15" s="787"/>
      <c r="C15" s="782"/>
      <c r="D15" s="731" t="s">
        <v>215</v>
      </c>
      <c r="E15" s="202">
        <v>110</v>
      </c>
      <c r="F15" s="202">
        <v>52</v>
      </c>
      <c r="G15" s="203">
        <v>1</v>
      </c>
      <c r="H15" s="214"/>
    </row>
    <row r="16" spans="2:8" s="9" customFormat="1" ht="14" customHeight="1">
      <c r="B16" s="787"/>
      <c r="C16" s="782"/>
      <c r="D16" s="731" t="s">
        <v>315</v>
      </c>
      <c r="E16" s="387">
        <v>28</v>
      </c>
      <c r="F16" s="387">
        <v>5</v>
      </c>
      <c r="G16" s="728"/>
      <c r="H16" s="729"/>
    </row>
    <row r="17" spans="2:8" s="9" customFormat="1" ht="20.25" customHeight="1">
      <c r="B17" s="787"/>
      <c r="C17" s="782"/>
      <c r="D17" s="274" t="s">
        <v>216</v>
      </c>
      <c r="E17" s="215">
        <f>SUM(E15:E16)</f>
        <v>138</v>
      </c>
      <c r="F17" s="215">
        <f>SUM(F15:F16)</f>
        <v>57</v>
      </c>
      <c r="G17" s="216">
        <v>4</v>
      </c>
      <c r="H17" s="217"/>
    </row>
    <row r="18" spans="2:8" s="221" customFormat="1" ht="22" customHeight="1">
      <c r="B18" s="688"/>
      <c r="C18" s="773" t="s">
        <v>217</v>
      </c>
      <c r="D18" s="774"/>
      <c r="E18" s="286">
        <f>E9+E13+E17</f>
        <v>531.5</v>
      </c>
      <c r="F18" s="286">
        <f>F9+F13+F17</f>
        <v>219</v>
      </c>
      <c r="G18" s="273"/>
      <c r="H18" s="269"/>
    </row>
  </sheetData>
  <mergeCells count="10">
    <mergeCell ref="C18:D18"/>
    <mergeCell ref="B2:H2"/>
    <mergeCell ref="B4:D4"/>
    <mergeCell ref="G7:G8"/>
    <mergeCell ref="C6:C9"/>
    <mergeCell ref="C10:C13"/>
    <mergeCell ref="C14:C17"/>
    <mergeCell ref="B6:B9"/>
    <mergeCell ref="B10:B13"/>
    <mergeCell ref="B14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7FB4-E8B9-4684-B409-C7CDE4F6DD29}">
  <dimension ref="B2:M22"/>
  <sheetViews>
    <sheetView showGridLines="0" topLeftCell="A6" zoomScale="71" zoomScaleNormal="71" workbookViewId="0">
      <selection activeCell="L21" sqref="L21"/>
    </sheetView>
  </sheetViews>
  <sheetFormatPr defaultColWidth="9.81640625" defaultRowHeight="15.5"/>
  <cols>
    <col min="1" max="1" width="1.453125" style="250" customWidth="1"/>
    <col min="2" max="2" width="4.7265625" style="250" customWidth="1"/>
    <col min="3" max="3" width="27.1796875" style="251" customWidth="1"/>
    <col min="4" max="5" width="11.7265625" style="250" hidden="1" customWidth="1"/>
    <col min="6" max="7" width="11.7265625" style="250" customWidth="1"/>
    <col min="8" max="9" width="11.7265625" style="251" customWidth="1"/>
    <col min="10" max="10" width="19.36328125" style="250" customWidth="1"/>
    <col min="11" max="13" width="9.81640625" style="252"/>
    <col min="14" max="16384" width="9.81640625" style="250"/>
  </cols>
  <sheetData>
    <row r="2" spans="2:13" ht="18.5">
      <c r="B2" s="788" t="s">
        <v>221</v>
      </c>
      <c r="C2" s="788"/>
      <c r="D2" s="788"/>
      <c r="E2" s="788"/>
      <c r="F2" s="788"/>
      <c r="G2" s="788"/>
      <c r="H2" s="788"/>
      <c r="I2" s="788"/>
      <c r="J2" s="788"/>
      <c r="K2" s="249"/>
      <c r="L2" s="249"/>
      <c r="M2" s="249"/>
    </row>
    <row r="3" spans="2:13" ht="18.5">
      <c r="B3" s="788" t="s">
        <v>222</v>
      </c>
      <c r="C3" s="788"/>
      <c r="D3" s="788"/>
      <c r="E3" s="788"/>
      <c r="F3" s="788"/>
      <c r="G3" s="788"/>
      <c r="H3" s="788"/>
      <c r="I3" s="788"/>
      <c r="J3" s="788"/>
      <c r="K3" s="249"/>
      <c r="L3" s="249"/>
      <c r="M3" s="249"/>
    </row>
    <row r="4" spans="2:13">
      <c r="L4" s="253"/>
      <c r="M4" s="253"/>
    </row>
    <row r="5" spans="2:13" ht="18" customHeight="1">
      <c r="B5" s="789" t="s">
        <v>0</v>
      </c>
      <c r="C5" s="789" t="s">
        <v>223</v>
      </c>
      <c r="D5" s="791" t="s">
        <v>224</v>
      </c>
      <c r="E5" s="792"/>
      <c r="F5" s="792"/>
      <c r="G5" s="792"/>
      <c r="H5" s="793"/>
      <c r="I5" s="789" t="s">
        <v>22</v>
      </c>
      <c r="J5" s="789" t="s">
        <v>225</v>
      </c>
    </row>
    <row r="6" spans="2:13" ht="18" customHeight="1">
      <c r="B6" s="790"/>
      <c r="C6" s="790"/>
      <c r="D6" s="254" t="s">
        <v>226</v>
      </c>
      <c r="E6" s="254" t="s">
        <v>227</v>
      </c>
      <c r="F6" s="254" t="s">
        <v>18</v>
      </c>
      <c r="G6" s="254" t="s">
        <v>228</v>
      </c>
      <c r="H6" s="254" t="s">
        <v>229</v>
      </c>
      <c r="I6" s="790"/>
      <c r="J6" s="794"/>
    </row>
    <row r="7" spans="2:13" ht="18" customHeight="1">
      <c r="B7" s="255">
        <v>1</v>
      </c>
      <c r="C7" s="256" t="s">
        <v>230</v>
      </c>
      <c r="D7" s="255">
        <v>22</v>
      </c>
      <c r="E7" s="255">
        <f>[2]FATMAWATI!B107</f>
        <v>16</v>
      </c>
      <c r="F7" s="255">
        <f>[2]FATMAWATI!B85</f>
        <v>4</v>
      </c>
      <c r="G7" s="255">
        <f>[2]FATMAWATI!B76</f>
        <v>4</v>
      </c>
      <c r="H7" s="257">
        <f>[2]FATMAWATI!B66</f>
        <v>27</v>
      </c>
      <c r="I7" s="258">
        <f t="shared" ref="I7:I21" si="0">D7+E7+F7+G7+H7</f>
        <v>73</v>
      </c>
      <c r="J7" s="259"/>
    </row>
    <row r="8" spans="2:13" ht="18" customHeight="1">
      <c r="B8" s="255">
        <v>2</v>
      </c>
      <c r="C8" s="256" t="s">
        <v>232</v>
      </c>
      <c r="D8" s="255">
        <f>[2]TENDEAN!B16</f>
        <v>7</v>
      </c>
      <c r="E8" s="255">
        <f>[2]TENDEAN!B44</f>
        <v>1</v>
      </c>
      <c r="F8" s="255">
        <f>[2]TENDEAN!B38</f>
        <v>1</v>
      </c>
      <c r="G8" s="255"/>
      <c r="H8" s="257">
        <f>[2]TENDEAN!B31</f>
        <v>8</v>
      </c>
      <c r="I8" s="258">
        <f t="shared" ref="I8:I13" si="1">D8+E8+F8+G8+H8</f>
        <v>17</v>
      </c>
      <c r="J8" s="259"/>
    </row>
    <row r="9" spans="2:13" ht="18" customHeight="1">
      <c r="B9" s="255">
        <v>3</v>
      </c>
      <c r="C9" s="256" t="s">
        <v>233</v>
      </c>
      <c r="D9" s="255">
        <f>[2]MAMPANG!B17</f>
        <v>8</v>
      </c>
      <c r="E9" s="255"/>
      <c r="F9" s="255">
        <f>[2]MAMPANG!B41</f>
        <v>2</v>
      </c>
      <c r="G9" s="255"/>
      <c r="H9" s="257">
        <f>[2]MAMPANG!B32</f>
        <v>9</v>
      </c>
      <c r="I9" s="258">
        <f t="shared" si="1"/>
        <v>19</v>
      </c>
      <c r="J9" s="259"/>
    </row>
    <row r="10" spans="2:13" ht="18" customHeight="1">
      <c r="B10" s="255">
        <v>4</v>
      </c>
      <c r="C10" s="256" t="s">
        <v>234</v>
      </c>
      <c r="D10" s="255">
        <f>[2]GIF!B13</f>
        <v>3</v>
      </c>
      <c r="E10" s="255"/>
      <c r="F10" s="255"/>
      <c r="G10" s="255"/>
      <c r="H10" s="257">
        <f>[2]GIF!B24</f>
        <v>4</v>
      </c>
      <c r="I10" s="258">
        <f t="shared" si="1"/>
        <v>7</v>
      </c>
      <c r="J10" s="259"/>
    </row>
    <row r="11" spans="2:13" ht="18" customHeight="1">
      <c r="B11" s="255">
        <v>5</v>
      </c>
      <c r="C11" s="256" t="s">
        <v>165</v>
      </c>
      <c r="D11" s="255">
        <f>[2]BSD!B28</f>
        <v>6</v>
      </c>
      <c r="E11" s="255">
        <f>[2]BSD!B35</f>
        <v>1</v>
      </c>
      <c r="F11" s="255">
        <f>[2]BSD!B35</f>
        <v>1</v>
      </c>
      <c r="G11" s="255"/>
      <c r="H11" s="257">
        <f>[2]BSD!B28</f>
        <v>6</v>
      </c>
      <c r="I11" s="258">
        <f t="shared" si="1"/>
        <v>14</v>
      </c>
      <c r="J11" s="259"/>
    </row>
    <row r="12" spans="2:13" ht="18" customHeight="1">
      <c r="B12" s="255">
        <v>6</v>
      </c>
      <c r="C12" s="256" t="s">
        <v>182</v>
      </c>
      <c r="D12" s="255">
        <f>'[2]OPMC BOGOR'!B15</f>
        <v>6</v>
      </c>
      <c r="E12" s="255"/>
      <c r="F12" s="255">
        <f>'[2]OPMC BOGOR'!B33</f>
        <v>1</v>
      </c>
      <c r="G12" s="255"/>
      <c r="H12" s="257">
        <f>'[2]OPMC BOGOR'!B27</f>
        <v>6</v>
      </c>
      <c r="I12" s="258">
        <f t="shared" si="1"/>
        <v>13</v>
      </c>
      <c r="J12" s="259"/>
    </row>
    <row r="13" spans="2:13" ht="18" customHeight="1">
      <c r="B13" s="255">
        <v>7</v>
      </c>
      <c r="C13" s="256" t="s">
        <v>235</v>
      </c>
      <c r="D13" s="255">
        <f>[2]CIAWI!B16</f>
        <v>7</v>
      </c>
      <c r="E13" s="255"/>
      <c r="F13" s="255">
        <f>[2]CIAWI!B32</f>
        <v>1</v>
      </c>
      <c r="G13" s="255"/>
      <c r="H13" s="257">
        <f>[2]CIAWI!B26</f>
        <v>4</v>
      </c>
      <c r="I13" s="258">
        <f t="shared" si="1"/>
        <v>12</v>
      </c>
      <c r="J13" s="259"/>
    </row>
    <row r="14" spans="2:13" ht="18" customHeight="1">
      <c r="B14" s="255"/>
      <c r="C14" s="256"/>
      <c r="D14" s="255"/>
      <c r="E14" s="255"/>
      <c r="F14" s="255"/>
      <c r="G14" s="255"/>
      <c r="H14" s="257"/>
      <c r="I14" s="258"/>
      <c r="J14" s="259"/>
    </row>
    <row r="15" spans="2:13" ht="18" customHeight="1">
      <c r="B15" s="255">
        <v>1</v>
      </c>
      <c r="C15" s="260" t="s">
        <v>231</v>
      </c>
      <c r="D15" s="255"/>
      <c r="E15" s="255"/>
      <c r="F15" s="255"/>
      <c r="G15" s="255"/>
      <c r="H15" s="257"/>
      <c r="I15" s="258"/>
      <c r="J15" s="259"/>
    </row>
    <row r="16" spans="2:13" ht="18" customHeight="1">
      <c r="B16" s="255">
        <v>2</v>
      </c>
      <c r="C16" s="256" t="str">
        <f>'[2]GRAPARI AREA 2'!B65</f>
        <v>BINTARO XCHANGE</v>
      </c>
      <c r="D16" s="255">
        <f>'[2]GRAPARI AREA 2'!C65</f>
        <v>2</v>
      </c>
      <c r="E16" s="255"/>
      <c r="F16" s="255"/>
      <c r="G16" s="255"/>
      <c r="H16" s="257">
        <f>'[2]GRAPARI AREA 2'!D65</f>
        <v>2</v>
      </c>
      <c r="I16" s="258">
        <f t="shared" si="0"/>
        <v>4</v>
      </c>
      <c r="J16" s="259"/>
    </row>
    <row r="17" spans="2:10" ht="18" customHeight="1">
      <c r="B17" s="255">
        <v>3</v>
      </c>
      <c r="C17" s="256" t="str">
        <f>'[2]GRAPARI AREA 2'!B66</f>
        <v>ITC DEPOK</v>
      </c>
      <c r="D17" s="255">
        <f>'[2]GRAPARI AREA 2'!C66</f>
        <v>1</v>
      </c>
      <c r="E17" s="255"/>
      <c r="F17" s="255"/>
      <c r="G17" s="255"/>
      <c r="H17" s="257">
        <f>'[2]GRAPARI AREA 2'!D66</f>
        <v>2</v>
      </c>
      <c r="I17" s="258">
        <f t="shared" si="0"/>
        <v>3</v>
      </c>
      <c r="J17" s="259"/>
    </row>
    <row r="18" spans="2:10" ht="18" customHeight="1">
      <c r="B18" s="255">
        <v>4</v>
      </c>
      <c r="C18" s="256" t="str">
        <f>'[2]GRAPARI AREA 2'!B67</f>
        <v>EMPORIUM PLUIT</v>
      </c>
      <c r="D18" s="255">
        <f>'[2]GRAPARI AREA 2'!C67</f>
        <v>2</v>
      </c>
      <c r="E18" s="255"/>
      <c r="F18" s="255"/>
      <c r="G18" s="255"/>
      <c r="H18" s="257">
        <f>'[2]GRAPARI AREA 2'!D67</f>
        <v>2</v>
      </c>
      <c r="I18" s="258">
        <f t="shared" si="0"/>
        <v>4</v>
      </c>
      <c r="J18" s="259"/>
    </row>
    <row r="19" spans="2:10" ht="18" customHeight="1">
      <c r="B19" s="255">
        <v>5</v>
      </c>
      <c r="C19" s="256" t="str">
        <f>'[2]GRAPARI AREA 2'!B68</f>
        <v>BASSURA</v>
      </c>
      <c r="D19" s="255">
        <f>'[2]GRAPARI AREA 2'!C68</f>
        <v>2</v>
      </c>
      <c r="E19" s="255"/>
      <c r="F19" s="255"/>
      <c r="G19" s="255"/>
      <c r="H19" s="257">
        <f>'[2]GRAPARI AREA 2'!D68</f>
        <v>2</v>
      </c>
      <c r="I19" s="258">
        <f t="shared" si="0"/>
        <v>4</v>
      </c>
      <c r="J19" s="259"/>
    </row>
    <row r="20" spans="2:10" ht="18" customHeight="1">
      <c r="B20" s="255">
        <v>6</v>
      </c>
      <c r="C20" s="256" t="str">
        <f>'[2]GRAPARI AREA 2'!B69</f>
        <v>CIKUPA</v>
      </c>
      <c r="D20" s="255">
        <f>'[2]GRAPARI AREA 2'!C69</f>
        <v>1</v>
      </c>
      <c r="E20" s="255"/>
      <c r="F20" s="255"/>
      <c r="G20" s="255"/>
      <c r="H20" s="257">
        <f>'[2]GRAPARI AREA 2'!D69</f>
        <v>1</v>
      </c>
      <c r="I20" s="258">
        <f t="shared" si="0"/>
        <v>2</v>
      </c>
      <c r="J20" s="259"/>
    </row>
    <row r="21" spans="2:10" ht="18" customHeight="1">
      <c r="B21" s="255">
        <v>7</v>
      </c>
      <c r="C21" s="256" t="str">
        <f>'[2]GRAPARI AREA 2'!B70</f>
        <v xml:space="preserve"> KARAWACI</v>
      </c>
      <c r="D21" s="255">
        <f>'[2]GRAPARI AREA 2'!C70</f>
        <v>2</v>
      </c>
      <c r="E21" s="255"/>
      <c r="F21" s="255"/>
      <c r="G21" s="255"/>
      <c r="H21" s="257">
        <f>'[2]GRAPARI AREA 2'!D70</f>
        <v>1</v>
      </c>
      <c r="I21" s="258">
        <f t="shared" si="0"/>
        <v>3</v>
      </c>
      <c r="J21" s="259"/>
    </row>
    <row r="22" spans="2:10" s="264" customFormat="1" ht="23" customHeight="1">
      <c r="B22" s="261" t="s">
        <v>219</v>
      </c>
      <c r="C22" s="262"/>
      <c r="D22" s="302">
        <f>SUM(D7:D21)</f>
        <v>69</v>
      </c>
      <c r="E22" s="302">
        <f t="shared" ref="E22:I22" si="2">SUM(E7:E21)</f>
        <v>18</v>
      </c>
      <c r="F22" s="302">
        <f t="shared" si="2"/>
        <v>10</v>
      </c>
      <c r="G22" s="302">
        <f t="shared" si="2"/>
        <v>4</v>
      </c>
      <c r="H22" s="302">
        <f t="shared" si="2"/>
        <v>74</v>
      </c>
      <c r="I22" s="302">
        <f t="shared" si="2"/>
        <v>175</v>
      </c>
      <c r="J22" s="263"/>
    </row>
  </sheetData>
  <mergeCells count="7">
    <mergeCell ref="B2:J2"/>
    <mergeCell ref="B3:J3"/>
    <mergeCell ref="B5:B6"/>
    <mergeCell ref="C5:C6"/>
    <mergeCell ref="D5:H5"/>
    <mergeCell ref="I5:I6"/>
    <mergeCell ref="J5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F548-45FF-4439-A770-69A508993E8E}">
  <dimension ref="A1:P213"/>
  <sheetViews>
    <sheetView showGridLines="0" zoomScale="118" zoomScaleNormal="118" workbookViewId="0">
      <selection activeCell="E181" sqref="E181"/>
    </sheetView>
  </sheetViews>
  <sheetFormatPr defaultRowHeight="14"/>
  <cols>
    <col min="1" max="1" width="4.36328125" bestFit="1" customWidth="1"/>
    <col min="2" max="2" width="15.54296875" bestFit="1" customWidth="1"/>
    <col min="3" max="3" width="14.54296875" bestFit="1" customWidth="1"/>
    <col min="4" max="4" width="12.36328125" style="656" bestFit="1" customWidth="1"/>
    <col min="5" max="5" width="75.08984375" bestFit="1" customWidth="1"/>
    <col min="6" max="6" width="6.36328125" bestFit="1" customWidth="1"/>
    <col min="7" max="7" width="32.08984375" bestFit="1" customWidth="1"/>
    <col min="8" max="8" width="13.26953125" bestFit="1" customWidth="1"/>
    <col min="9" max="9" width="9.453125" bestFit="1" customWidth="1"/>
    <col min="10" max="10" width="15.54296875" bestFit="1" customWidth="1"/>
    <col min="11" max="11" width="23.6328125" bestFit="1" customWidth="1"/>
    <col min="12" max="12" width="4.6328125" bestFit="1" customWidth="1"/>
    <col min="13" max="13" width="9.1796875" bestFit="1" customWidth="1"/>
    <col min="14" max="14" width="30.90625" bestFit="1" customWidth="1"/>
  </cols>
  <sheetData>
    <row r="1" spans="1:14" ht="21">
      <c r="A1" s="835" t="s">
        <v>548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498"/>
      <c r="M1" s="498"/>
      <c r="N1" s="500"/>
    </row>
    <row r="2" spans="1:14" ht="15" thickBot="1">
      <c r="A2" s="848" t="s">
        <v>549</v>
      </c>
      <c r="B2" s="848"/>
      <c r="C2" s="848"/>
      <c r="D2" s="848"/>
      <c r="E2" s="848"/>
      <c r="F2" s="848"/>
      <c r="G2" s="848"/>
      <c r="H2" s="848"/>
      <c r="I2" s="501"/>
      <c r="J2" s="507"/>
      <c r="K2" s="502"/>
      <c r="L2" s="501"/>
      <c r="M2" s="501"/>
      <c r="N2" s="501"/>
    </row>
    <row r="3" spans="1:14" ht="14.5">
      <c r="A3" s="837" t="s">
        <v>236</v>
      </c>
      <c r="B3" s="839" t="s">
        <v>347</v>
      </c>
      <c r="C3" s="841" t="s">
        <v>348</v>
      </c>
      <c r="D3" s="841" t="s">
        <v>7</v>
      </c>
      <c r="E3" s="843" t="s">
        <v>349</v>
      </c>
      <c r="F3" s="845" t="s">
        <v>350</v>
      </c>
      <c r="G3" s="845"/>
      <c r="H3" s="845"/>
      <c r="I3" s="845"/>
      <c r="J3" s="846" t="s">
        <v>351</v>
      </c>
      <c r="K3" s="841" t="s">
        <v>352</v>
      </c>
      <c r="L3" s="847"/>
      <c r="M3" s="847"/>
      <c r="N3" s="833" t="s">
        <v>8</v>
      </c>
    </row>
    <row r="4" spans="1:14">
      <c r="A4" s="838"/>
      <c r="B4" s="840"/>
      <c r="C4" s="842"/>
      <c r="D4" s="842"/>
      <c r="E4" s="844"/>
      <c r="F4" s="503" t="s">
        <v>278</v>
      </c>
      <c r="G4" s="503" t="s">
        <v>2</v>
      </c>
      <c r="H4" s="503" t="s">
        <v>353</v>
      </c>
      <c r="I4" s="503" t="s">
        <v>354</v>
      </c>
      <c r="J4" s="840"/>
      <c r="K4" s="503" t="s">
        <v>355</v>
      </c>
      <c r="L4" s="503" t="s">
        <v>356</v>
      </c>
      <c r="M4" s="503" t="s">
        <v>357</v>
      </c>
      <c r="N4" s="834"/>
    </row>
    <row r="5" spans="1:14" ht="14.5">
      <c r="A5" s="534">
        <v>1</v>
      </c>
      <c r="B5" s="514">
        <v>46236</v>
      </c>
      <c r="C5" s="533" t="s">
        <v>248</v>
      </c>
      <c r="D5" s="644" t="s">
        <v>17</v>
      </c>
      <c r="E5" s="513" t="s">
        <v>358</v>
      </c>
      <c r="F5" s="512" t="b">
        <v>1</v>
      </c>
      <c r="G5" s="513" t="s">
        <v>359</v>
      </c>
      <c r="H5" s="513" t="s">
        <v>18</v>
      </c>
      <c r="I5" s="512"/>
      <c r="J5" s="514">
        <v>46236</v>
      </c>
      <c r="K5" s="513"/>
      <c r="L5" s="512"/>
      <c r="M5" s="512"/>
      <c r="N5" s="515" t="s">
        <v>360</v>
      </c>
    </row>
    <row r="6" spans="1:14" ht="14.5">
      <c r="A6" s="535">
        <v>2</v>
      </c>
      <c r="B6" s="505">
        <v>46236</v>
      </c>
      <c r="C6" s="510" t="s">
        <v>248</v>
      </c>
      <c r="D6" s="645" t="s">
        <v>361</v>
      </c>
      <c r="E6" s="495" t="s">
        <v>362</v>
      </c>
      <c r="F6" s="496" t="b">
        <v>1</v>
      </c>
      <c r="G6" s="495" t="s">
        <v>361</v>
      </c>
      <c r="H6" s="495" t="s">
        <v>18</v>
      </c>
      <c r="I6" s="496"/>
      <c r="J6" s="505">
        <v>46236</v>
      </c>
      <c r="K6" s="495"/>
      <c r="L6" s="496"/>
      <c r="M6" s="496"/>
      <c r="N6" s="504" t="s">
        <v>360</v>
      </c>
    </row>
    <row r="7" spans="1:14" ht="14.5">
      <c r="A7" s="534">
        <v>3</v>
      </c>
      <c r="B7" s="505">
        <v>46236</v>
      </c>
      <c r="C7" s="510" t="s">
        <v>248</v>
      </c>
      <c r="D7" s="645" t="s">
        <v>361</v>
      </c>
      <c r="E7" s="495" t="s">
        <v>363</v>
      </c>
      <c r="F7" s="496" t="b">
        <v>1</v>
      </c>
      <c r="G7" s="495" t="s">
        <v>361</v>
      </c>
      <c r="H7" s="495" t="s">
        <v>18</v>
      </c>
      <c r="I7" s="496"/>
      <c r="J7" s="505">
        <v>46236</v>
      </c>
      <c r="K7" s="495"/>
      <c r="L7" s="496"/>
      <c r="M7" s="496"/>
      <c r="N7" s="504" t="s">
        <v>360</v>
      </c>
    </row>
    <row r="8" spans="1:14" ht="14.5">
      <c r="A8" s="535">
        <v>4</v>
      </c>
      <c r="B8" s="505">
        <v>46238</v>
      </c>
      <c r="C8" s="510" t="s">
        <v>248</v>
      </c>
      <c r="D8" s="645">
        <v>2</v>
      </c>
      <c r="E8" s="495" t="s">
        <v>364</v>
      </c>
      <c r="F8" s="496" t="b">
        <v>1</v>
      </c>
      <c r="G8" s="495" t="s">
        <v>365</v>
      </c>
      <c r="H8" s="495" t="s">
        <v>18</v>
      </c>
      <c r="I8" s="496"/>
      <c r="J8" s="505">
        <v>46238</v>
      </c>
      <c r="K8" s="495"/>
      <c r="L8" s="496"/>
      <c r="M8" s="496"/>
      <c r="N8" s="504" t="s">
        <v>360</v>
      </c>
    </row>
    <row r="9" spans="1:14" ht="14.5">
      <c r="A9" s="534">
        <v>5</v>
      </c>
      <c r="B9" s="505">
        <v>46239</v>
      </c>
      <c r="C9" s="510" t="s">
        <v>248</v>
      </c>
      <c r="D9" s="645" t="s">
        <v>17</v>
      </c>
      <c r="E9" s="495" t="s">
        <v>366</v>
      </c>
      <c r="F9" s="496" t="b">
        <v>1</v>
      </c>
      <c r="G9" s="495" t="s">
        <v>367</v>
      </c>
      <c r="H9" s="495" t="s">
        <v>18</v>
      </c>
      <c r="I9" s="496"/>
      <c r="J9" s="505">
        <v>46239</v>
      </c>
      <c r="K9" s="495"/>
      <c r="L9" s="496"/>
      <c r="M9" s="496"/>
      <c r="N9" s="504" t="s">
        <v>360</v>
      </c>
    </row>
    <row r="10" spans="1:14" ht="14.5">
      <c r="A10" s="535">
        <v>6</v>
      </c>
      <c r="B10" s="509">
        <v>46240</v>
      </c>
      <c r="C10" s="510" t="s">
        <v>248</v>
      </c>
      <c r="D10" s="646">
        <v>1</v>
      </c>
      <c r="E10" s="510" t="s">
        <v>368</v>
      </c>
      <c r="F10" s="508" t="b">
        <v>1</v>
      </c>
      <c r="G10" s="510" t="s">
        <v>369</v>
      </c>
      <c r="H10" s="510" t="s">
        <v>18</v>
      </c>
      <c r="I10" s="508"/>
      <c r="J10" s="509">
        <v>46240</v>
      </c>
      <c r="K10" s="510"/>
      <c r="L10" s="508"/>
      <c r="M10" s="508"/>
      <c r="N10" s="511" t="s">
        <v>360</v>
      </c>
    </row>
    <row r="11" spans="1:14" ht="14.5">
      <c r="A11" s="534">
        <v>7</v>
      </c>
      <c r="B11" s="505">
        <v>46241</v>
      </c>
      <c r="C11" s="510" t="s">
        <v>248</v>
      </c>
      <c r="D11" s="645" t="s">
        <v>17</v>
      </c>
      <c r="E11" s="495" t="s">
        <v>370</v>
      </c>
      <c r="F11" s="496" t="b">
        <v>1</v>
      </c>
      <c r="G11" s="495"/>
      <c r="H11" s="495" t="s">
        <v>18</v>
      </c>
      <c r="I11" s="496"/>
      <c r="J11" s="505">
        <v>46241</v>
      </c>
      <c r="K11" s="495"/>
      <c r="L11" s="496"/>
      <c r="M11" s="496"/>
      <c r="N11" s="504" t="s">
        <v>360</v>
      </c>
    </row>
    <row r="12" spans="1:14" ht="14.5">
      <c r="A12" s="535">
        <v>8</v>
      </c>
      <c r="B12" s="505">
        <v>46245</v>
      </c>
      <c r="C12" s="510" t="s">
        <v>248</v>
      </c>
      <c r="D12" s="645">
        <v>4</v>
      </c>
      <c r="E12" s="495" t="s">
        <v>371</v>
      </c>
      <c r="F12" s="496" t="b">
        <v>1</v>
      </c>
      <c r="G12" s="495" t="s">
        <v>372</v>
      </c>
      <c r="H12" s="495" t="s">
        <v>18</v>
      </c>
      <c r="I12" s="496"/>
      <c r="J12" s="505">
        <v>46245</v>
      </c>
      <c r="K12" s="495" t="s">
        <v>373</v>
      </c>
      <c r="L12" s="496">
        <v>1</v>
      </c>
      <c r="M12" s="496" t="s">
        <v>374</v>
      </c>
      <c r="N12" s="504" t="s">
        <v>360</v>
      </c>
    </row>
    <row r="13" spans="1:14" ht="14.5">
      <c r="A13" s="534">
        <v>9</v>
      </c>
      <c r="B13" s="505">
        <v>46246</v>
      </c>
      <c r="C13" s="510" t="s">
        <v>248</v>
      </c>
      <c r="D13" s="645" t="s">
        <v>17</v>
      </c>
      <c r="E13" s="495" t="s">
        <v>375</v>
      </c>
      <c r="F13" s="496" t="b">
        <v>1</v>
      </c>
      <c r="G13" s="495"/>
      <c r="H13" s="495" t="s">
        <v>18</v>
      </c>
      <c r="I13" s="496"/>
      <c r="J13" s="505">
        <v>46246</v>
      </c>
      <c r="K13" s="495"/>
      <c r="L13" s="496"/>
      <c r="M13" s="496"/>
      <c r="N13" s="504" t="s">
        <v>360</v>
      </c>
    </row>
    <row r="14" spans="1:14" ht="14.5">
      <c r="A14" s="535">
        <v>10</v>
      </c>
      <c r="B14" s="505">
        <v>46246</v>
      </c>
      <c r="C14" s="510" t="s">
        <v>248</v>
      </c>
      <c r="D14" s="645">
        <v>1</v>
      </c>
      <c r="E14" s="495" t="s">
        <v>364</v>
      </c>
      <c r="F14" s="496" t="b">
        <v>1</v>
      </c>
      <c r="G14" s="495" t="s">
        <v>376</v>
      </c>
      <c r="H14" s="495" t="s">
        <v>18</v>
      </c>
      <c r="I14" s="496"/>
      <c r="J14" s="505">
        <v>46246</v>
      </c>
      <c r="K14" s="495"/>
      <c r="L14" s="496"/>
      <c r="M14" s="496"/>
      <c r="N14" s="504" t="s">
        <v>360</v>
      </c>
    </row>
    <row r="15" spans="1:14" ht="14.5">
      <c r="A15" s="534">
        <v>11</v>
      </c>
      <c r="B15" s="505">
        <v>46246</v>
      </c>
      <c r="C15" s="510" t="s">
        <v>248</v>
      </c>
      <c r="D15" s="645">
        <v>1</v>
      </c>
      <c r="E15" s="495" t="s">
        <v>377</v>
      </c>
      <c r="F15" s="496" t="b">
        <v>1</v>
      </c>
      <c r="G15" s="495"/>
      <c r="H15" s="495" t="s">
        <v>18</v>
      </c>
      <c r="I15" s="496"/>
      <c r="J15" s="505">
        <v>46246</v>
      </c>
      <c r="K15" s="495"/>
      <c r="L15" s="496"/>
      <c r="M15" s="496"/>
      <c r="N15" s="504" t="s">
        <v>360</v>
      </c>
    </row>
    <row r="16" spans="1:14" ht="14.5">
      <c r="A16" s="535">
        <v>12</v>
      </c>
      <c r="B16" s="505">
        <v>46246</v>
      </c>
      <c r="C16" s="510" t="s">
        <v>248</v>
      </c>
      <c r="D16" s="645">
        <v>1</v>
      </c>
      <c r="E16" s="495" t="s">
        <v>378</v>
      </c>
      <c r="F16" s="496" t="b">
        <v>1</v>
      </c>
      <c r="G16" s="495" t="s">
        <v>376</v>
      </c>
      <c r="H16" s="495" t="s">
        <v>18</v>
      </c>
      <c r="I16" s="496"/>
      <c r="J16" s="505">
        <v>46246</v>
      </c>
      <c r="K16" s="495"/>
      <c r="L16" s="496"/>
      <c r="M16" s="496"/>
      <c r="N16" s="504" t="s">
        <v>360</v>
      </c>
    </row>
    <row r="17" spans="1:14" ht="14.5">
      <c r="A17" s="534">
        <v>13</v>
      </c>
      <c r="B17" s="505">
        <v>46246</v>
      </c>
      <c r="C17" s="510" t="s">
        <v>248</v>
      </c>
      <c r="D17" s="645">
        <v>2</v>
      </c>
      <c r="E17" s="495" t="s">
        <v>379</v>
      </c>
      <c r="F17" s="496" t="b">
        <v>1</v>
      </c>
      <c r="G17" s="495" t="s">
        <v>380</v>
      </c>
      <c r="H17" s="495" t="s">
        <v>18</v>
      </c>
      <c r="I17" s="496"/>
      <c r="J17" s="505">
        <v>46246</v>
      </c>
      <c r="K17" s="495"/>
      <c r="L17" s="496"/>
      <c r="M17" s="496"/>
      <c r="N17" s="504" t="s">
        <v>360</v>
      </c>
    </row>
    <row r="18" spans="1:14" ht="14.5">
      <c r="A18" s="535">
        <v>14</v>
      </c>
      <c r="B18" s="505">
        <v>46246</v>
      </c>
      <c r="C18" s="510" t="s">
        <v>248</v>
      </c>
      <c r="D18" s="645">
        <v>2</v>
      </c>
      <c r="E18" s="495" t="s">
        <v>381</v>
      </c>
      <c r="F18" s="496" t="b">
        <v>1</v>
      </c>
      <c r="G18" s="495" t="s">
        <v>382</v>
      </c>
      <c r="H18" s="495" t="s">
        <v>18</v>
      </c>
      <c r="I18" s="496"/>
      <c r="J18" s="505">
        <v>46246</v>
      </c>
      <c r="K18" s="495" t="s">
        <v>383</v>
      </c>
      <c r="L18" s="496">
        <v>2</v>
      </c>
      <c r="M18" s="496" t="s">
        <v>374</v>
      </c>
      <c r="N18" s="504" t="s">
        <v>360</v>
      </c>
    </row>
    <row r="19" spans="1:14" ht="14.5">
      <c r="A19" s="534">
        <v>15</v>
      </c>
      <c r="B19" s="505">
        <v>46246</v>
      </c>
      <c r="C19" s="510" t="s">
        <v>248</v>
      </c>
      <c r="D19" s="645">
        <v>3</v>
      </c>
      <c r="E19" s="495" t="s">
        <v>384</v>
      </c>
      <c r="F19" s="496" t="b">
        <v>1</v>
      </c>
      <c r="G19" s="495"/>
      <c r="H19" s="495" t="s">
        <v>18</v>
      </c>
      <c r="I19" s="496"/>
      <c r="J19" s="505">
        <v>46246</v>
      </c>
      <c r="K19" s="495"/>
      <c r="L19" s="496"/>
      <c r="M19" s="496"/>
      <c r="N19" s="504" t="s">
        <v>360</v>
      </c>
    </row>
    <row r="20" spans="1:14" ht="14.5">
      <c r="A20" s="535">
        <v>16</v>
      </c>
      <c r="B20" s="509">
        <v>46247</v>
      </c>
      <c r="C20" s="510" t="s">
        <v>248</v>
      </c>
      <c r="D20" s="646">
        <v>5</v>
      </c>
      <c r="E20" s="510" t="s">
        <v>385</v>
      </c>
      <c r="F20" s="508" t="b">
        <v>1</v>
      </c>
      <c r="G20" s="510" t="s">
        <v>258</v>
      </c>
      <c r="H20" s="510" t="s">
        <v>18</v>
      </c>
      <c r="I20" s="508"/>
      <c r="J20" s="509">
        <v>46247</v>
      </c>
      <c r="K20" s="510"/>
      <c r="L20" s="508"/>
      <c r="M20" s="508"/>
      <c r="N20" s="511" t="s">
        <v>386</v>
      </c>
    </row>
    <row r="21" spans="1:14" ht="14.5">
      <c r="A21" s="534">
        <v>17</v>
      </c>
      <c r="B21" s="505">
        <v>46249</v>
      </c>
      <c r="C21" s="510" t="s">
        <v>248</v>
      </c>
      <c r="D21" s="645">
        <v>4</v>
      </c>
      <c r="E21" s="495" t="s">
        <v>387</v>
      </c>
      <c r="F21" s="496" t="b">
        <v>1</v>
      </c>
      <c r="G21" s="495" t="s">
        <v>388</v>
      </c>
      <c r="H21" s="495" t="s">
        <v>18</v>
      </c>
      <c r="I21" s="496"/>
      <c r="J21" s="505">
        <v>46249</v>
      </c>
      <c r="K21" s="495"/>
      <c r="L21" s="496"/>
      <c r="M21" s="496"/>
      <c r="N21" s="504" t="s">
        <v>389</v>
      </c>
    </row>
    <row r="22" spans="1:14" ht="14.5">
      <c r="A22" s="535">
        <v>18</v>
      </c>
      <c r="B22" s="505">
        <v>46250</v>
      </c>
      <c r="C22" s="510" t="s">
        <v>248</v>
      </c>
      <c r="D22" s="645">
        <v>4</v>
      </c>
      <c r="E22" s="495" t="s">
        <v>387</v>
      </c>
      <c r="F22" s="496" t="b">
        <v>1</v>
      </c>
      <c r="G22" s="495" t="s">
        <v>388</v>
      </c>
      <c r="H22" s="495" t="s">
        <v>18</v>
      </c>
      <c r="I22" s="496"/>
      <c r="J22" s="505">
        <v>46250</v>
      </c>
      <c r="K22" s="495"/>
      <c r="L22" s="496"/>
      <c r="M22" s="496"/>
      <c r="N22" s="504" t="s">
        <v>389</v>
      </c>
    </row>
    <row r="23" spans="1:14" ht="14.5">
      <c r="A23" s="534">
        <v>19</v>
      </c>
      <c r="B23" s="505">
        <v>46251</v>
      </c>
      <c r="C23" s="510" t="s">
        <v>248</v>
      </c>
      <c r="D23" s="645">
        <v>4</v>
      </c>
      <c r="E23" s="495" t="s">
        <v>387</v>
      </c>
      <c r="F23" s="496" t="b">
        <v>1</v>
      </c>
      <c r="G23" s="495" t="s">
        <v>388</v>
      </c>
      <c r="H23" s="495" t="s">
        <v>18</v>
      </c>
      <c r="I23" s="496"/>
      <c r="J23" s="505">
        <v>46251</v>
      </c>
      <c r="K23" s="495"/>
      <c r="L23" s="496"/>
      <c r="M23" s="496"/>
      <c r="N23" s="504" t="s">
        <v>389</v>
      </c>
    </row>
    <row r="24" spans="1:14" ht="14.5">
      <c r="A24" s="535">
        <v>20</v>
      </c>
      <c r="B24" s="505">
        <v>46253</v>
      </c>
      <c r="C24" s="510" t="s">
        <v>248</v>
      </c>
      <c r="D24" s="645">
        <v>4</v>
      </c>
      <c r="E24" s="495" t="s">
        <v>390</v>
      </c>
      <c r="F24" s="496" t="b">
        <v>1</v>
      </c>
      <c r="G24" s="495" t="s">
        <v>391</v>
      </c>
      <c r="H24" s="495" t="s">
        <v>18</v>
      </c>
      <c r="I24" s="496"/>
      <c r="J24" s="505">
        <v>46253</v>
      </c>
      <c r="K24" s="495"/>
      <c r="L24" s="496"/>
      <c r="M24" s="496"/>
      <c r="N24" s="504" t="s">
        <v>360</v>
      </c>
    </row>
    <row r="25" spans="1:14" ht="14.5">
      <c r="A25" s="534">
        <v>21</v>
      </c>
      <c r="B25" s="505">
        <v>46253</v>
      </c>
      <c r="C25" s="510" t="s">
        <v>248</v>
      </c>
      <c r="D25" s="645">
        <v>3</v>
      </c>
      <c r="E25" s="495" t="s">
        <v>392</v>
      </c>
      <c r="F25" s="496" t="b">
        <v>1</v>
      </c>
      <c r="G25" s="495"/>
      <c r="H25" s="495" t="s">
        <v>18</v>
      </c>
      <c r="I25" s="496"/>
      <c r="J25" s="505">
        <v>46253</v>
      </c>
      <c r="K25" s="495"/>
      <c r="L25" s="496"/>
      <c r="M25" s="496"/>
      <c r="N25" s="504" t="s">
        <v>360</v>
      </c>
    </row>
    <row r="26" spans="1:14" ht="14.5">
      <c r="A26" s="535">
        <v>22</v>
      </c>
      <c r="B26" s="505">
        <v>46254</v>
      </c>
      <c r="C26" s="510" t="s">
        <v>248</v>
      </c>
      <c r="D26" s="645">
        <v>1</v>
      </c>
      <c r="E26" s="495" t="s">
        <v>393</v>
      </c>
      <c r="F26" s="496" t="b">
        <v>1</v>
      </c>
      <c r="G26" s="495" t="s">
        <v>394</v>
      </c>
      <c r="H26" s="495" t="s">
        <v>18</v>
      </c>
      <c r="I26" s="496"/>
      <c r="J26" s="505">
        <v>46254</v>
      </c>
      <c r="K26" s="495"/>
      <c r="L26" s="496"/>
      <c r="M26" s="496"/>
      <c r="N26" s="504" t="s">
        <v>360</v>
      </c>
    </row>
    <row r="27" spans="1:14" ht="14.5">
      <c r="A27" s="534">
        <v>23</v>
      </c>
      <c r="B27" s="505">
        <v>46254</v>
      </c>
      <c r="C27" s="510" t="s">
        <v>248</v>
      </c>
      <c r="D27" s="645">
        <v>3</v>
      </c>
      <c r="E27" s="495" t="s">
        <v>395</v>
      </c>
      <c r="F27" s="496" t="b">
        <v>1</v>
      </c>
      <c r="G27" s="495" t="s">
        <v>367</v>
      </c>
      <c r="H27" s="495" t="s">
        <v>18</v>
      </c>
      <c r="I27" s="496"/>
      <c r="J27" s="505">
        <v>46254</v>
      </c>
      <c r="K27" s="495"/>
      <c r="L27" s="496"/>
      <c r="M27" s="496"/>
      <c r="N27" s="504" t="s">
        <v>360</v>
      </c>
    </row>
    <row r="28" spans="1:14" ht="14.5">
      <c r="A28" s="535">
        <v>24</v>
      </c>
      <c r="B28" s="505">
        <v>46254</v>
      </c>
      <c r="C28" s="510" t="s">
        <v>248</v>
      </c>
      <c r="D28" s="645">
        <v>1</v>
      </c>
      <c r="E28" s="495" t="s">
        <v>393</v>
      </c>
      <c r="F28" s="496" t="b">
        <v>1</v>
      </c>
      <c r="G28" s="495" t="s">
        <v>394</v>
      </c>
      <c r="H28" s="495" t="s">
        <v>18</v>
      </c>
      <c r="I28" s="496"/>
      <c r="J28" s="505">
        <v>46254</v>
      </c>
      <c r="K28" s="495"/>
      <c r="L28" s="496"/>
      <c r="M28" s="496"/>
      <c r="N28" s="504" t="s">
        <v>360</v>
      </c>
    </row>
    <row r="29" spans="1:14" ht="14.5">
      <c r="A29" s="534">
        <v>25</v>
      </c>
      <c r="B29" s="505">
        <v>46255</v>
      </c>
      <c r="C29" s="510" t="s">
        <v>248</v>
      </c>
      <c r="D29" s="645">
        <v>1</v>
      </c>
      <c r="E29" s="495" t="s">
        <v>393</v>
      </c>
      <c r="F29" s="496" t="b">
        <v>1</v>
      </c>
      <c r="G29" s="495" t="s">
        <v>394</v>
      </c>
      <c r="H29" s="495" t="s">
        <v>18</v>
      </c>
      <c r="I29" s="496"/>
      <c r="J29" s="505">
        <v>46255</v>
      </c>
      <c r="K29" s="495"/>
      <c r="L29" s="496"/>
      <c r="M29" s="496"/>
      <c r="N29" s="504" t="s">
        <v>360</v>
      </c>
    </row>
    <row r="30" spans="1:14" ht="14.5">
      <c r="A30" s="535">
        <v>26</v>
      </c>
      <c r="B30" s="505">
        <v>46255</v>
      </c>
      <c r="C30" s="510" t="s">
        <v>248</v>
      </c>
      <c r="D30" s="645">
        <v>1</v>
      </c>
      <c r="E30" s="495" t="s">
        <v>396</v>
      </c>
      <c r="F30" s="496" t="b">
        <v>1</v>
      </c>
      <c r="G30" s="495" t="s">
        <v>394</v>
      </c>
      <c r="H30" s="495" t="s">
        <v>18</v>
      </c>
      <c r="I30" s="496"/>
      <c r="J30" s="505">
        <v>46255</v>
      </c>
      <c r="K30" s="495"/>
      <c r="L30" s="496"/>
      <c r="M30" s="496"/>
      <c r="N30" s="504" t="s">
        <v>360</v>
      </c>
    </row>
    <row r="31" spans="1:14" ht="14.5">
      <c r="A31" s="534">
        <v>27</v>
      </c>
      <c r="B31" s="505">
        <v>46255</v>
      </c>
      <c r="C31" s="495" t="s">
        <v>248</v>
      </c>
      <c r="D31" s="645" t="s">
        <v>17</v>
      </c>
      <c r="E31" s="495" t="s">
        <v>397</v>
      </c>
      <c r="F31" s="496" t="b">
        <v>1</v>
      </c>
      <c r="G31" s="495" t="s">
        <v>398</v>
      </c>
      <c r="H31" s="495" t="s">
        <v>18</v>
      </c>
      <c r="I31" s="496"/>
      <c r="J31" s="505">
        <v>46255</v>
      </c>
      <c r="K31" s="495"/>
      <c r="L31" s="496"/>
      <c r="M31" s="496"/>
      <c r="N31" s="504" t="s">
        <v>360</v>
      </c>
    </row>
    <row r="32" spans="1:14" ht="14.5">
      <c r="A32" s="535">
        <v>28</v>
      </c>
      <c r="B32" s="505">
        <v>46255</v>
      </c>
      <c r="C32" s="495" t="s">
        <v>248</v>
      </c>
      <c r="D32" s="645" t="s">
        <v>17</v>
      </c>
      <c r="E32" s="513" t="s">
        <v>399</v>
      </c>
      <c r="F32" s="496" t="b">
        <v>1</v>
      </c>
      <c r="G32" s="513"/>
      <c r="H32" s="495" t="s">
        <v>18</v>
      </c>
      <c r="I32" s="512"/>
      <c r="J32" s="505">
        <v>46255</v>
      </c>
      <c r="K32" s="513"/>
      <c r="L32" s="512"/>
      <c r="M32" s="512"/>
      <c r="N32" s="504" t="s">
        <v>360</v>
      </c>
    </row>
    <row r="33" spans="1:14" ht="14.5">
      <c r="A33" s="534">
        <v>29</v>
      </c>
      <c r="B33" s="505">
        <v>46255</v>
      </c>
      <c r="C33" s="495" t="s">
        <v>248</v>
      </c>
      <c r="D33" s="645" t="s">
        <v>17</v>
      </c>
      <c r="E33" s="495" t="s">
        <v>400</v>
      </c>
      <c r="F33" s="496" t="b">
        <v>1</v>
      </c>
      <c r="G33" s="495"/>
      <c r="H33" s="495" t="s">
        <v>18</v>
      </c>
      <c r="I33" s="512"/>
      <c r="J33" s="505">
        <v>46255</v>
      </c>
      <c r="K33" s="495"/>
      <c r="L33" s="496"/>
      <c r="M33" s="496"/>
      <c r="N33" s="504" t="s">
        <v>360</v>
      </c>
    </row>
    <row r="34" spans="1:14" ht="14.5">
      <c r="A34" s="535">
        <v>30</v>
      </c>
      <c r="B34" s="505">
        <v>46256</v>
      </c>
      <c r="C34" s="495" t="s">
        <v>248</v>
      </c>
      <c r="D34" s="645">
        <v>5</v>
      </c>
      <c r="E34" s="495" t="s">
        <v>401</v>
      </c>
      <c r="F34" s="496" t="b">
        <v>1</v>
      </c>
      <c r="G34" s="495"/>
      <c r="H34" s="495" t="s">
        <v>18</v>
      </c>
      <c r="I34" s="496"/>
      <c r="J34" s="505">
        <v>46256</v>
      </c>
      <c r="K34" s="495"/>
      <c r="L34" s="496"/>
      <c r="M34" s="496"/>
      <c r="N34" s="504" t="s">
        <v>360</v>
      </c>
    </row>
    <row r="35" spans="1:14" ht="14.5">
      <c r="A35" s="534">
        <v>31</v>
      </c>
      <c r="B35" s="505">
        <v>46256</v>
      </c>
      <c r="C35" s="495" t="s">
        <v>248</v>
      </c>
      <c r="D35" s="647">
        <v>3</v>
      </c>
      <c r="E35" s="495" t="s">
        <v>402</v>
      </c>
      <c r="F35" s="496" t="b">
        <v>1</v>
      </c>
      <c r="G35" s="495" t="s">
        <v>367</v>
      </c>
      <c r="H35" s="495" t="s">
        <v>18</v>
      </c>
      <c r="I35" s="520"/>
      <c r="J35" s="523" t="s">
        <v>403</v>
      </c>
      <c r="K35" s="510" t="s">
        <v>404</v>
      </c>
      <c r="L35" s="497"/>
      <c r="M35" s="508"/>
      <c r="N35" s="504" t="s">
        <v>360</v>
      </c>
    </row>
    <row r="36" spans="1:14" ht="14.5">
      <c r="A36" s="535">
        <v>32</v>
      </c>
      <c r="B36" s="505" t="s">
        <v>405</v>
      </c>
      <c r="C36" s="495" t="s">
        <v>248</v>
      </c>
      <c r="D36" s="647">
        <v>2</v>
      </c>
      <c r="E36" s="495" t="s">
        <v>406</v>
      </c>
      <c r="F36" s="496" t="b">
        <v>1</v>
      </c>
      <c r="G36" s="495" t="s">
        <v>407</v>
      </c>
      <c r="H36" s="495" t="s">
        <v>18</v>
      </c>
      <c r="I36" s="524"/>
      <c r="J36" s="519" t="s">
        <v>405</v>
      </c>
      <c r="K36" s="495" t="s">
        <v>408</v>
      </c>
      <c r="L36" s="496"/>
      <c r="M36" s="496"/>
      <c r="N36" s="504" t="s">
        <v>360</v>
      </c>
    </row>
    <row r="37" spans="1:14" ht="14.5">
      <c r="A37" s="534">
        <v>33</v>
      </c>
      <c r="B37" s="505" t="s">
        <v>409</v>
      </c>
      <c r="C37" s="495" t="s">
        <v>248</v>
      </c>
      <c r="D37" s="647">
        <v>3</v>
      </c>
      <c r="E37" s="495" t="s">
        <v>410</v>
      </c>
      <c r="F37" s="496" t="b">
        <v>1</v>
      </c>
      <c r="G37" s="495" t="s">
        <v>407</v>
      </c>
      <c r="H37" s="495" t="s">
        <v>18</v>
      </c>
      <c r="I37" s="524"/>
      <c r="J37" s="519" t="s">
        <v>411</v>
      </c>
      <c r="K37" s="495" t="s">
        <v>383</v>
      </c>
      <c r="L37" s="496"/>
      <c r="M37" s="496"/>
      <c r="N37" s="504" t="s">
        <v>360</v>
      </c>
    </row>
    <row r="38" spans="1:14" ht="14.5">
      <c r="A38" s="535">
        <v>34</v>
      </c>
      <c r="B38" s="505" t="s">
        <v>412</v>
      </c>
      <c r="C38" s="495" t="s">
        <v>248</v>
      </c>
      <c r="D38" s="647">
        <v>2</v>
      </c>
      <c r="E38" s="495" t="s">
        <v>410</v>
      </c>
      <c r="F38" s="496" t="b">
        <v>1</v>
      </c>
      <c r="G38" s="495" t="s">
        <v>407</v>
      </c>
      <c r="H38" s="495" t="s">
        <v>18</v>
      </c>
      <c r="I38" s="524"/>
      <c r="J38" s="519" t="s">
        <v>412</v>
      </c>
      <c r="K38" s="495" t="s">
        <v>383</v>
      </c>
      <c r="L38" s="496"/>
      <c r="M38" s="496"/>
      <c r="N38" s="504" t="s">
        <v>360</v>
      </c>
    </row>
    <row r="39" spans="1:14" ht="14.5">
      <c r="A39" s="534">
        <v>35</v>
      </c>
      <c r="B39" s="505" t="s">
        <v>413</v>
      </c>
      <c r="C39" s="495" t="s">
        <v>248</v>
      </c>
      <c r="D39" s="647">
        <v>2</v>
      </c>
      <c r="E39" s="495" t="s">
        <v>414</v>
      </c>
      <c r="F39" s="496" t="b">
        <v>1</v>
      </c>
      <c r="G39" s="495" t="s">
        <v>388</v>
      </c>
      <c r="H39" s="495" t="s">
        <v>18</v>
      </c>
      <c r="I39" s="524"/>
      <c r="J39" s="519" t="s">
        <v>413</v>
      </c>
      <c r="K39" s="495" t="s">
        <v>415</v>
      </c>
      <c r="L39" s="496"/>
      <c r="M39" s="496"/>
      <c r="N39" s="504" t="s">
        <v>360</v>
      </c>
    </row>
    <row r="40" spans="1:14" ht="14.5">
      <c r="A40" s="535">
        <v>36</v>
      </c>
      <c r="B40" s="505" t="s">
        <v>416</v>
      </c>
      <c r="C40" s="495" t="s">
        <v>248</v>
      </c>
      <c r="D40" s="647">
        <v>4</v>
      </c>
      <c r="E40" s="495" t="s">
        <v>417</v>
      </c>
      <c r="F40" s="496" t="b">
        <v>1</v>
      </c>
      <c r="G40" s="495" t="s">
        <v>418</v>
      </c>
      <c r="H40" s="495" t="s">
        <v>18</v>
      </c>
      <c r="I40" s="496"/>
      <c r="J40" s="519" t="s">
        <v>416</v>
      </c>
      <c r="K40" s="495" t="s">
        <v>419</v>
      </c>
      <c r="L40" s="496"/>
      <c r="M40" s="496"/>
      <c r="N40" s="504" t="s">
        <v>360</v>
      </c>
    </row>
    <row r="41" spans="1:14" ht="14.5">
      <c r="A41" s="534">
        <v>37</v>
      </c>
      <c r="B41" s="505" t="s">
        <v>420</v>
      </c>
      <c r="C41" s="495" t="s">
        <v>248</v>
      </c>
      <c r="D41" s="647">
        <v>3</v>
      </c>
      <c r="E41" s="495" t="s">
        <v>421</v>
      </c>
      <c r="F41" s="496" t="b">
        <v>1</v>
      </c>
      <c r="G41" s="495" t="s">
        <v>407</v>
      </c>
      <c r="H41" s="495" t="s">
        <v>18</v>
      </c>
      <c r="I41" s="496"/>
      <c r="J41" s="519" t="s">
        <v>420</v>
      </c>
      <c r="K41" s="495" t="s">
        <v>383</v>
      </c>
      <c r="L41" s="496"/>
      <c r="M41" s="496"/>
      <c r="N41" s="504" t="s">
        <v>360</v>
      </c>
    </row>
    <row r="42" spans="1:14" ht="14.5">
      <c r="A42" s="535">
        <v>38</v>
      </c>
      <c r="B42" s="505">
        <v>46257</v>
      </c>
      <c r="C42" s="495" t="s">
        <v>248</v>
      </c>
      <c r="D42" s="645" t="s">
        <v>17</v>
      </c>
      <c r="E42" s="495" t="s">
        <v>422</v>
      </c>
      <c r="F42" s="496" t="b">
        <v>1</v>
      </c>
      <c r="G42" s="495"/>
      <c r="H42" s="495" t="s">
        <v>18</v>
      </c>
      <c r="I42" s="496"/>
      <c r="J42" s="505">
        <v>46257</v>
      </c>
      <c r="K42" s="495"/>
      <c r="L42" s="496"/>
      <c r="M42" s="496"/>
      <c r="N42" s="504" t="s">
        <v>360</v>
      </c>
    </row>
    <row r="43" spans="1:14" ht="14.5">
      <c r="A43" s="534">
        <v>39</v>
      </c>
      <c r="B43" s="505">
        <v>46257</v>
      </c>
      <c r="C43" s="495" t="s">
        <v>248</v>
      </c>
      <c r="D43" s="645">
        <v>5</v>
      </c>
      <c r="E43" s="495" t="s">
        <v>423</v>
      </c>
      <c r="F43" s="496" t="b">
        <v>1</v>
      </c>
      <c r="G43" s="495"/>
      <c r="H43" s="495" t="s">
        <v>18</v>
      </c>
      <c r="I43" s="496"/>
      <c r="J43" s="505">
        <v>46257</v>
      </c>
      <c r="K43" s="495"/>
      <c r="L43" s="496"/>
      <c r="M43" s="496"/>
      <c r="N43" s="504" t="s">
        <v>360</v>
      </c>
    </row>
    <row r="44" spans="1:14" ht="14.5">
      <c r="A44" s="535">
        <v>40</v>
      </c>
      <c r="B44" s="505">
        <v>46257</v>
      </c>
      <c r="C44" s="495" t="s">
        <v>248</v>
      </c>
      <c r="D44" s="645" t="s">
        <v>184</v>
      </c>
      <c r="E44" s="495" t="s">
        <v>424</v>
      </c>
      <c r="F44" s="496" t="b">
        <v>1</v>
      </c>
      <c r="G44" s="495"/>
      <c r="H44" s="495" t="s">
        <v>18</v>
      </c>
      <c r="I44" s="496"/>
      <c r="J44" s="505">
        <v>46257</v>
      </c>
      <c r="K44" s="495"/>
      <c r="L44" s="496"/>
      <c r="M44" s="496"/>
      <c r="N44" s="504" t="s">
        <v>360</v>
      </c>
    </row>
    <row r="45" spans="1:14" ht="14.5">
      <c r="A45" s="534">
        <v>41</v>
      </c>
      <c r="B45" s="505">
        <v>46258</v>
      </c>
      <c r="C45" s="495" t="s">
        <v>248</v>
      </c>
      <c r="D45" s="645" t="s">
        <v>184</v>
      </c>
      <c r="E45" s="495" t="s">
        <v>425</v>
      </c>
      <c r="F45" s="496" t="b">
        <v>1</v>
      </c>
      <c r="G45" s="495"/>
      <c r="H45" s="495" t="s">
        <v>18</v>
      </c>
      <c r="I45" s="496"/>
      <c r="J45" s="505">
        <v>46258</v>
      </c>
      <c r="K45" s="495"/>
      <c r="L45" s="496"/>
      <c r="M45" s="496"/>
      <c r="N45" s="504" t="s">
        <v>360</v>
      </c>
    </row>
    <row r="46" spans="1:14" ht="14.5">
      <c r="A46" s="535">
        <v>42</v>
      </c>
      <c r="B46" s="505">
        <v>46258</v>
      </c>
      <c r="C46" s="495" t="s">
        <v>248</v>
      </c>
      <c r="D46" s="645" t="s">
        <v>184</v>
      </c>
      <c r="E46" s="495" t="s">
        <v>426</v>
      </c>
      <c r="F46" s="496" t="b">
        <v>1</v>
      </c>
      <c r="G46" s="495"/>
      <c r="H46" s="495" t="s">
        <v>18</v>
      </c>
      <c r="I46" s="496"/>
      <c r="J46" s="505">
        <v>46258</v>
      </c>
      <c r="K46" s="495"/>
      <c r="L46" s="496"/>
      <c r="M46" s="496"/>
      <c r="N46" s="504" t="s">
        <v>360</v>
      </c>
    </row>
    <row r="47" spans="1:14" ht="14.5">
      <c r="A47" s="534">
        <v>43</v>
      </c>
      <c r="B47" s="505">
        <v>46258</v>
      </c>
      <c r="C47" s="495" t="s">
        <v>248</v>
      </c>
      <c r="D47" s="645" t="s">
        <v>184</v>
      </c>
      <c r="E47" s="513" t="s">
        <v>399</v>
      </c>
      <c r="F47" s="496" t="b">
        <v>1</v>
      </c>
      <c r="G47" s="495"/>
      <c r="H47" s="495" t="s">
        <v>18</v>
      </c>
      <c r="I47" s="496"/>
      <c r="J47" s="505">
        <v>46258</v>
      </c>
      <c r="K47" s="495"/>
      <c r="L47" s="496"/>
      <c r="M47" s="496"/>
      <c r="N47" s="504" t="s">
        <v>360</v>
      </c>
    </row>
    <row r="48" spans="1:14" ht="14.5">
      <c r="A48" s="535">
        <v>44</v>
      </c>
      <c r="B48" s="505">
        <v>46258</v>
      </c>
      <c r="C48" s="495" t="s">
        <v>248</v>
      </c>
      <c r="D48" s="645">
        <v>4</v>
      </c>
      <c r="E48" s="495" t="s">
        <v>427</v>
      </c>
      <c r="F48" s="496" t="b">
        <v>1</v>
      </c>
      <c r="G48" s="495"/>
      <c r="H48" s="495" t="s">
        <v>18</v>
      </c>
      <c r="I48" s="496"/>
      <c r="J48" s="505">
        <v>46258</v>
      </c>
      <c r="K48" s="495"/>
      <c r="L48" s="496"/>
      <c r="M48" s="496"/>
      <c r="N48" s="504" t="s">
        <v>360</v>
      </c>
    </row>
    <row r="49" spans="1:14" ht="14.5">
      <c r="A49" s="534">
        <v>45</v>
      </c>
      <c r="B49" s="505">
        <v>46259</v>
      </c>
      <c r="C49" s="495" t="s">
        <v>248</v>
      </c>
      <c r="D49" s="645">
        <v>2</v>
      </c>
      <c r="E49" s="495" t="s">
        <v>422</v>
      </c>
      <c r="F49" s="496" t="b">
        <v>1</v>
      </c>
      <c r="G49" s="495"/>
      <c r="H49" s="495" t="s">
        <v>18</v>
      </c>
      <c r="I49" s="496"/>
      <c r="J49" s="505">
        <v>46259</v>
      </c>
      <c r="K49" s="495"/>
      <c r="L49" s="496"/>
      <c r="M49" s="496"/>
      <c r="N49" s="504" t="s">
        <v>360</v>
      </c>
    </row>
    <row r="50" spans="1:14" ht="14.5">
      <c r="A50" s="535">
        <v>46</v>
      </c>
      <c r="B50" s="505">
        <v>46259</v>
      </c>
      <c r="C50" s="495" t="s">
        <v>248</v>
      </c>
      <c r="D50" s="645">
        <v>2</v>
      </c>
      <c r="E50" s="495" t="s">
        <v>428</v>
      </c>
      <c r="F50" s="496" t="b">
        <v>1</v>
      </c>
      <c r="G50" s="495"/>
      <c r="H50" s="495" t="s">
        <v>18</v>
      </c>
      <c r="I50" s="496"/>
      <c r="J50" s="505">
        <v>46259</v>
      </c>
      <c r="K50" s="495"/>
      <c r="L50" s="496"/>
      <c r="M50" s="496"/>
      <c r="N50" s="504" t="s">
        <v>360</v>
      </c>
    </row>
    <row r="51" spans="1:14" ht="14.5">
      <c r="A51" s="534">
        <v>47</v>
      </c>
      <c r="B51" s="505">
        <v>46259</v>
      </c>
      <c r="C51" s="495" t="s">
        <v>248</v>
      </c>
      <c r="D51" s="645" t="s">
        <v>184</v>
      </c>
      <c r="E51" s="495" t="s">
        <v>429</v>
      </c>
      <c r="F51" s="496" t="b">
        <v>1</v>
      </c>
      <c r="G51" s="495"/>
      <c r="H51" s="495" t="s">
        <v>18</v>
      </c>
      <c r="I51" s="496"/>
      <c r="J51" s="505">
        <v>46259</v>
      </c>
      <c r="K51" s="495"/>
      <c r="L51" s="496"/>
      <c r="M51" s="496"/>
      <c r="N51" s="504" t="s">
        <v>360</v>
      </c>
    </row>
    <row r="52" spans="1:14" ht="14.5">
      <c r="A52" s="535">
        <v>48</v>
      </c>
      <c r="B52" s="505">
        <v>46260</v>
      </c>
      <c r="C52" s="495" t="s">
        <v>248</v>
      </c>
      <c r="D52" s="645" t="s">
        <v>17</v>
      </c>
      <c r="E52" s="495" t="s">
        <v>422</v>
      </c>
      <c r="F52" s="496" t="b">
        <v>1</v>
      </c>
      <c r="G52" s="495"/>
      <c r="H52" s="495" t="s">
        <v>18</v>
      </c>
      <c r="I52" s="496"/>
      <c r="J52" s="505">
        <v>46260</v>
      </c>
      <c r="K52" s="495"/>
      <c r="L52" s="496"/>
      <c r="M52" s="496"/>
      <c r="N52" s="504" t="s">
        <v>360</v>
      </c>
    </row>
    <row r="53" spans="1:14" ht="14.5">
      <c r="A53" s="534">
        <v>49</v>
      </c>
      <c r="B53" s="505">
        <v>46260</v>
      </c>
      <c r="C53" s="495" t="s">
        <v>248</v>
      </c>
      <c r="D53" s="645">
        <v>5</v>
      </c>
      <c r="E53" s="495" t="s">
        <v>430</v>
      </c>
      <c r="F53" s="496" t="b">
        <v>1</v>
      </c>
      <c r="G53" s="495"/>
      <c r="H53" s="495" t="s">
        <v>18</v>
      </c>
      <c r="I53" s="496"/>
      <c r="J53" s="505">
        <v>46260</v>
      </c>
      <c r="K53" s="495"/>
      <c r="L53" s="496"/>
      <c r="M53" s="496"/>
      <c r="N53" s="504" t="s">
        <v>360</v>
      </c>
    </row>
    <row r="54" spans="1:14" ht="14.5">
      <c r="A54" s="535">
        <v>50</v>
      </c>
      <c r="B54" s="505">
        <v>46260</v>
      </c>
      <c r="C54" s="495" t="s">
        <v>248</v>
      </c>
      <c r="D54" s="645" t="s">
        <v>17</v>
      </c>
      <c r="E54" s="513" t="s">
        <v>399</v>
      </c>
      <c r="F54" s="496" t="b">
        <v>1</v>
      </c>
      <c r="G54" s="495"/>
      <c r="H54" s="495" t="s">
        <v>18</v>
      </c>
      <c r="I54" s="496" t="s">
        <v>431</v>
      </c>
      <c r="J54" s="505">
        <v>46260</v>
      </c>
      <c r="K54" s="495"/>
      <c r="L54" s="496"/>
      <c r="M54" s="496"/>
      <c r="N54" s="504" t="s">
        <v>360</v>
      </c>
    </row>
    <row r="55" spans="1:14" ht="14.5">
      <c r="A55" s="534">
        <v>51</v>
      </c>
      <c r="B55" s="505">
        <v>46260</v>
      </c>
      <c r="C55" s="495" t="s">
        <v>248</v>
      </c>
      <c r="D55" s="645" t="s">
        <v>17</v>
      </c>
      <c r="E55" s="495" t="s">
        <v>432</v>
      </c>
      <c r="F55" s="496" t="b">
        <v>1</v>
      </c>
      <c r="G55" s="495"/>
      <c r="H55" s="495" t="s">
        <v>18</v>
      </c>
      <c r="I55" s="496"/>
      <c r="J55" s="505">
        <v>46260</v>
      </c>
      <c r="K55" s="495"/>
      <c r="L55" s="496"/>
      <c r="M55" s="496"/>
      <c r="N55" s="504" t="s">
        <v>360</v>
      </c>
    </row>
    <row r="56" spans="1:14" ht="14.5">
      <c r="A56" s="535">
        <v>52</v>
      </c>
      <c r="B56" s="505">
        <v>46260</v>
      </c>
      <c r="C56" s="495" t="s">
        <v>248</v>
      </c>
      <c r="D56" s="645" t="s">
        <v>17</v>
      </c>
      <c r="E56" s="495" t="s">
        <v>433</v>
      </c>
      <c r="F56" s="496" t="b">
        <v>1</v>
      </c>
      <c r="G56" s="495"/>
      <c r="H56" s="495" t="s">
        <v>18</v>
      </c>
      <c r="I56" s="496"/>
      <c r="J56" s="505">
        <v>46260</v>
      </c>
      <c r="K56" s="495"/>
      <c r="L56" s="496"/>
      <c r="M56" s="496"/>
      <c r="N56" s="504" t="s">
        <v>360</v>
      </c>
    </row>
    <row r="57" spans="1:14" ht="14.5">
      <c r="A57" s="534">
        <v>53</v>
      </c>
      <c r="B57" s="505">
        <v>46260</v>
      </c>
      <c r="C57" s="495" t="s">
        <v>248</v>
      </c>
      <c r="D57" s="645">
        <v>2</v>
      </c>
      <c r="E57" s="495" t="s">
        <v>434</v>
      </c>
      <c r="F57" s="496" t="b">
        <v>1</v>
      </c>
      <c r="G57" s="495"/>
      <c r="H57" s="495" t="s">
        <v>18</v>
      </c>
      <c r="I57" s="496"/>
      <c r="J57" s="505">
        <v>46260</v>
      </c>
      <c r="K57" s="495"/>
      <c r="L57" s="496"/>
      <c r="M57" s="496"/>
      <c r="N57" s="504" t="s">
        <v>360</v>
      </c>
    </row>
    <row r="58" spans="1:14" ht="14.5">
      <c r="A58" s="535">
        <v>54</v>
      </c>
      <c r="B58" s="505">
        <v>46260</v>
      </c>
      <c r="C58" s="495" t="s">
        <v>248</v>
      </c>
      <c r="D58" s="645">
        <v>2</v>
      </c>
      <c r="E58" s="495" t="s">
        <v>429</v>
      </c>
      <c r="F58" s="496" t="b">
        <v>1</v>
      </c>
      <c r="G58" s="495"/>
      <c r="H58" s="495" t="s">
        <v>18</v>
      </c>
      <c r="I58" s="496"/>
      <c r="J58" s="505">
        <v>46260</v>
      </c>
      <c r="K58" s="495"/>
      <c r="L58" s="496"/>
      <c r="M58" s="496"/>
      <c r="N58" s="504" t="s">
        <v>360</v>
      </c>
    </row>
    <row r="59" spans="1:14" ht="14.5">
      <c r="A59" s="534">
        <v>55</v>
      </c>
      <c r="B59" s="505">
        <v>46261</v>
      </c>
      <c r="C59" s="495" t="s">
        <v>248</v>
      </c>
      <c r="D59" s="645">
        <v>4</v>
      </c>
      <c r="E59" s="495" t="s">
        <v>435</v>
      </c>
      <c r="F59" s="496" t="b">
        <v>1</v>
      </c>
      <c r="G59" s="495"/>
      <c r="H59" s="495" t="s">
        <v>18</v>
      </c>
      <c r="I59" s="496"/>
      <c r="J59" s="505">
        <v>46261</v>
      </c>
      <c r="K59" s="495"/>
      <c r="L59" s="496"/>
      <c r="M59" s="496"/>
      <c r="N59" s="504" t="s">
        <v>360</v>
      </c>
    </row>
    <row r="60" spans="1:14" ht="14.5">
      <c r="A60" s="535">
        <v>56</v>
      </c>
      <c r="B60" s="505">
        <v>46261</v>
      </c>
      <c r="C60" s="495" t="s">
        <v>248</v>
      </c>
      <c r="D60" s="645">
        <v>4</v>
      </c>
      <c r="E60" s="495" t="s">
        <v>436</v>
      </c>
      <c r="F60" s="496" t="b">
        <v>1</v>
      </c>
      <c r="G60" s="495"/>
      <c r="H60" s="495" t="s">
        <v>18</v>
      </c>
      <c r="I60" s="496"/>
      <c r="J60" s="505">
        <v>46261</v>
      </c>
      <c r="K60" s="495"/>
      <c r="L60" s="496"/>
      <c r="M60" s="496"/>
      <c r="N60" s="504" t="s">
        <v>360</v>
      </c>
    </row>
    <row r="61" spans="1:14" ht="14.5">
      <c r="A61" s="534">
        <v>57</v>
      </c>
      <c r="B61" s="505">
        <v>46261</v>
      </c>
      <c r="C61" s="495" t="s">
        <v>248</v>
      </c>
      <c r="D61" s="645" t="s">
        <v>17</v>
      </c>
      <c r="E61" s="495" t="s">
        <v>437</v>
      </c>
      <c r="F61" s="496" t="b">
        <v>1</v>
      </c>
      <c r="G61" s="495"/>
      <c r="H61" s="495" t="s">
        <v>18</v>
      </c>
      <c r="I61" s="496"/>
      <c r="J61" s="505">
        <v>46261</v>
      </c>
      <c r="K61" s="495"/>
      <c r="L61" s="496"/>
      <c r="M61" s="496"/>
      <c r="N61" s="504" t="s">
        <v>360</v>
      </c>
    </row>
    <row r="62" spans="1:14" ht="14.5">
      <c r="A62" s="535">
        <v>58</v>
      </c>
      <c r="B62" s="505">
        <v>46261</v>
      </c>
      <c r="C62" s="495" t="s">
        <v>248</v>
      </c>
      <c r="D62" s="645">
        <v>4</v>
      </c>
      <c r="E62" s="495" t="s">
        <v>438</v>
      </c>
      <c r="F62" s="496" t="b">
        <v>1</v>
      </c>
      <c r="G62" s="495"/>
      <c r="H62" s="495" t="s">
        <v>18</v>
      </c>
      <c r="I62" s="496"/>
      <c r="J62" s="505">
        <v>46261</v>
      </c>
      <c r="K62" s="495"/>
      <c r="L62" s="496"/>
      <c r="M62" s="496"/>
      <c r="N62" s="504" t="s">
        <v>360</v>
      </c>
    </row>
    <row r="63" spans="1:14" ht="14.5">
      <c r="A63" s="534">
        <v>59</v>
      </c>
      <c r="B63" s="505">
        <v>46261</v>
      </c>
      <c r="C63" s="495" t="s">
        <v>248</v>
      </c>
      <c r="D63" s="645" t="s">
        <v>184</v>
      </c>
      <c r="E63" s="495" t="s">
        <v>429</v>
      </c>
      <c r="F63" s="496" t="b">
        <v>1</v>
      </c>
      <c r="G63" s="495"/>
      <c r="H63" s="495" t="s">
        <v>18</v>
      </c>
      <c r="I63" s="496"/>
      <c r="J63" s="505">
        <v>46261</v>
      </c>
      <c r="K63" s="495"/>
      <c r="L63" s="496"/>
      <c r="M63" s="496"/>
      <c r="N63" s="504" t="s">
        <v>360</v>
      </c>
    </row>
    <row r="64" spans="1:14" ht="14.5">
      <c r="A64" s="535">
        <v>60</v>
      </c>
      <c r="B64" s="505">
        <v>46261</v>
      </c>
      <c r="C64" s="495" t="s">
        <v>248</v>
      </c>
      <c r="D64" s="645">
        <v>3</v>
      </c>
      <c r="E64" s="495" t="s">
        <v>439</v>
      </c>
      <c r="F64" s="496" t="b">
        <v>1</v>
      </c>
      <c r="G64" s="495"/>
      <c r="H64" s="495" t="s">
        <v>18</v>
      </c>
      <c r="I64" s="496"/>
      <c r="J64" s="505">
        <v>46261</v>
      </c>
      <c r="K64" s="495"/>
      <c r="L64" s="496"/>
      <c r="M64" s="496"/>
      <c r="N64" s="504" t="s">
        <v>360</v>
      </c>
    </row>
    <row r="65" spans="1:14" ht="14.5">
      <c r="A65" s="534">
        <v>61</v>
      </c>
      <c r="B65" s="505">
        <v>46262</v>
      </c>
      <c r="C65" s="495" t="s">
        <v>248</v>
      </c>
      <c r="D65" s="645" t="s">
        <v>17</v>
      </c>
      <c r="E65" s="513" t="s">
        <v>399</v>
      </c>
      <c r="F65" s="496" t="b">
        <v>1</v>
      </c>
      <c r="G65" s="495"/>
      <c r="H65" s="495" t="s">
        <v>18</v>
      </c>
      <c r="I65" s="496" t="s">
        <v>431</v>
      </c>
      <c r="J65" s="505">
        <v>46262</v>
      </c>
      <c r="K65" s="495"/>
      <c r="L65" s="496"/>
      <c r="M65" s="496"/>
      <c r="N65" s="504" t="s">
        <v>360</v>
      </c>
    </row>
    <row r="66" spans="1:14" ht="14.5">
      <c r="A66" s="535">
        <v>62</v>
      </c>
      <c r="B66" s="509">
        <v>46262</v>
      </c>
      <c r="C66" s="510" t="s">
        <v>248</v>
      </c>
      <c r="D66" s="646" t="s">
        <v>184</v>
      </c>
      <c r="E66" s="510" t="s">
        <v>440</v>
      </c>
      <c r="F66" s="508" t="b">
        <v>1</v>
      </c>
      <c r="G66" s="510"/>
      <c r="H66" s="510" t="s">
        <v>18</v>
      </c>
      <c r="I66" s="508" t="s">
        <v>431</v>
      </c>
      <c r="J66" s="509">
        <v>46262</v>
      </c>
      <c r="K66" s="510"/>
      <c r="L66" s="508"/>
      <c r="M66" s="508"/>
      <c r="N66" s="504" t="s">
        <v>360</v>
      </c>
    </row>
    <row r="67" spans="1:14" ht="14.5">
      <c r="A67" s="534">
        <v>63</v>
      </c>
      <c r="B67" s="505">
        <v>46262</v>
      </c>
      <c r="C67" s="495" t="s">
        <v>248</v>
      </c>
      <c r="D67" s="645">
        <v>3</v>
      </c>
      <c r="E67" s="495" t="s">
        <v>441</v>
      </c>
      <c r="F67" s="496" t="b">
        <v>1</v>
      </c>
      <c r="G67" s="495"/>
      <c r="H67" s="495" t="s">
        <v>18</v>
      </c>
      <c r="I67" s="496" t="s">
        <v>431</v>
      </c>
      <c r="J67" s="505">
        <v>46262</v>
      </c>
      <c r="K67" s="495"/>
      <c r="L67" s="496"/>
      <c r="M67" s="496"/>
      <c r="N67" s="504" t="s">
        <v>360</v>
      </c>
    </row>
    <row r="68" spans="1:14" ht="42">
      <c r="A68" s="535">
        <v>64</v>
      </c>
      <c r="B68" s="506">
        <v>46263</v>
      </c>
      <c r="C68" s="517" t="s">
        <v>248</v>
      </c>
      <c r="D68" s="645" t="s">
        <v>442</v>
      </c>
      <c r="E68" s="499" t="s">
        <v>551</v>
      </c>
      <c r="F68" s="516" t="b">
        <v>1</v>
      </c>
      <c r="G68" s="517"/>
      <c r="H68" s="517"/>
      <c r="I68" s="516"/>
      <c r="J68" s="506">
        <v>46263</v>
      </c>
      <c r="K68" s="517"/>
      <c r="L68" s="516"/>
      <c r="M68" s="516"/>
      <c r="N68" s="518" t="s">
        <v>360</v>
      </c>
    </row>
    <row r="69" spans="1:14" ht="14.5">
      <c r="A69" s="534">
        <v>65</v>
      </c>
      <c r="B69" s="506">
        <v>46263</v>
      </c>
      <c r="C69" s="517" t="s">
        <v>248</v>
      </c>
      <c r="D69" s="645"/>
      <c r="E69" s="495" t="s">
        <v>443</v>
      </c>
      <c r="F69" s="496" t="b">
        <v>1</v>
      </c>
      <c r="G69" s="495"/>
      <c r="H69" s="495"/>
      <c r="I69" s="496"/>
      <c r="J69" s="506">
        <v>46263</v>
      </c>
      <c r="K69" s="495"/>
      <c r="L69" s="496"/>
      <c r="M69" s="496"/>
      <c r="N69" s="504" t="s">
        <v>360</v>
      </c>
    </row>
    <row r="70" spans="1:14" ht="28">
      <c r="A70" s="535">
        <v>66</v>
      </c>
      <c r="B70" s="506">
        <v>46263</v>
      </c>
      <c r="C70" s="517" t="s">
        <v>248</v>
      </c>
      <c r="D70" s="645"/>
      <c r="E70" s="525" t="s">
        <v>550</v>
      </c>
      <c r="F70" s="496" t="b">
        <v>1</v>
      </c>
      <c r="G70" s="517"/>
      <c r="H70" s="517"/>
      <c r="I70" s="516"/>
      <c r="J70" s="506">
        <v>46263</v>
      </c>
      <c r="K70" s="517"/>
      <c r="L70" s="516"/>
      <c r="M70" s="516"/>
      <c r="N70" s="504" t="s">
        <v>360</v>
      </c>
    </row>
    <row r="71" spans="1:14" ht="14.5">
      <c r="A71" s="534">
        <v>67</v>
      </c>
      <c r="B71" s="506">
        <v>46263</v>
      </c>
      <c r="C71" s="517" t="s">
        <v>248</v>
      </c>
      <c r="D71" s="646"/>
      <c r="E71" s="510" t="s">
        <v>444</v>
      </c>
      <c r="F71" s="496" t="b">
        <v>1</v>
      </c>
      <c r="G71" s="510"/>
      <c r="H71" s="510"/>
      <c r="I71" s="508"/>
      <c r="J71" s="506">
        <v>46263</v>
      </c>
      <c r="K71" s="510"/>
      <c r="L71" s="508"/>
      <c r="M71" s="508"/>
      <c r="N71" s="504" t="s">
        <v>360</v>
      </c>
    </row>
    <row r="72" spans="1:14" ht="14.5">
      <c r="A72" s="535">
        <v>68</v>
      </c>
      <c r="B72" s="506">
        <v>46264</v>
      </c>
      <c r="C72" s="517" t="s">
        <v>248</v>
      </c>
      <c r="D72" s="645"/>
      <c r="E72" s="510" t="s">
        <v>444</v>
      </c>
      <c r="F72" s="496" t="b">
        <v>1</v>
      </c>
      <c r="G72" s="495"/>
      <c r="H72" s="495"/>
      <c r="I72" s="496"/>
      <c r="J72" s="506">
        <v>46264</v>
      </c>
      <c r="K72" s="495"/>
      <c r="L72" s="496"/>
      <c r="M72" s="496"/>
      <c r="N72" s="504" t="s">
        <v>360</v>
      </c>
    </row>
    <row r="73" spans="1:14" ht="14.5">
      <c r="A73" s="534">
        <v>69</v>
      </c>
      <c r="B73" s="521">
        <v>46265</v>
      </c>
      <c r="C73" s="528" t="s">
        <v>248</v>
      </c>
      <c r="D73" s="646"/>
      <c r="E73" s="510" t="s">
        <v>444</v>
      </c>
      <c r="F73" s="508" t="b">
        <v>1</v>
      </c>
      <c r="G73" s="510"/>
      <c r="H73" s="510"/>
      <c r="I73" s="508"/>
      <c r="J73" s="521">
        <v>46265</v>
      </c>
      <c r="K73" s="510"/>
      <c r="L73" s="508"/>
      <c r="M73" s="508"/>
      <c r="N73" s="511" t="s">
        <v>360</v>
      </c>
    </row>
    <row r="74" spans="1:14" ht="28.5" thickBot="1">
      <c r="A74" s="535">
        <v>70</v>
      </c>
      <c r="B74" s="526">
        <v>46264</v>
      </c>
      <c r="C74" s="527" t="s">
        <v>248</v>
      </c>
      <c r="D74" s="648" t="s">
        <v>442</v>
      </c>
      <c r="E74" s="529" t="s">
        <v>445</v>
      </c>
      <c r="F74" s="530"/>
      <c r="G74" s="527" t="s">
        <v>446</v>
      </c>
      <c r="H74" s="530" t="s">
        <v>447</v>
      </c>
      <c r="I74" s="527"/>
      <c r="J74" s="522">
        <v>46261</v>
      </c>
      <c r="K74" s="527"/>
      <c r="L74" s="531">
        <v>1</v>
      </c>
      <c r="M74" s="527" t="s">
        <v>448</v>
      </c>
      <c r="N74" s="532" t="s">
        <v>360</v>
      </c>
    </row>
    <row r="76" spans="1:14" ht="15" thickBot="1">
      <c r="A76" s="795" t="s">
        <v>552</v>
      </c>
      <c r="B76" s="795"/>
      <c r="C76" s="795"/>
      <c r="D76" s="795"/>
      <c r="E76" s="795"/>
      <c r="F76" s="795"/>
      <c r="G76" s="795"/>
      <c r="H76" s="795"/>
      <c r="I76" s="538"/>
      <c r="J76" s="547"/>
      <c r="K76" s="539"/>
      <c r="L76" s="538"/>
      <c r="M76" s="538"/>
      <c r="N76" s="538"/>
    </row>
    <row r="77" spans="1:14" ht="14.5">
      <c r="A77" s="823" t="s">
        <v>236</v>
      </c>
      <c r="B77" s="825" t="s">
        <v>347</v>
      </c>
      <c r="C77" s="827" t="s">
        <v>348</v>
      </c>
      <c r="D77" s="827" t="s">
        <v>7</v>
      </c>
      <c r="E77" s="828" t="s">
        <v>349</v>
      </c>
      <c r="F77" s="829" t="s">
        <v>350</v>
      </c>
      <c r="G77" s="829"/>
      <c r="H77" s="829"/>
      <c r="I77" s="829"/>
      <c r="J77" s="830" t="s">
        <v>449</v>
      </c>
      <c r="K77" s="831" t="s">
        <v>450</v>
      </c>
      <c r="L77" s="832"/>
      <c r="M77" s="832"/>
      <c r="N77" s="821" t="s">
        <v>8</v>
      </c>
    </row>
    <row r="78" spans="1:14">
      <c r="A78" s="824"/>
      <c r="B78" s="826"/>
      <c r="C78" s="809"/>
      <c r="D78" s="809"/>
      <c r="E78" s="815"/>
      <c r="F78" s="541" t="s">
        <v>278</v>
      </c>
      <c r="G78" s="541" t="s">
        <v>2</v>
      </c>
      <c r="H78" s="541" t="s">
        <v>353</v>
      </c>
      <c r="I78" s="541" t="s">
        <v>354</v>
      </c>
      <c r="J78" s="811"/>
      <c r="K78" s="542" t="s">
        <v>355</v>
      </c>
      <c r="L78" s="541" t="s">
        <v>356</v>
      </c>
      <c r="M78" s="546" t="s">
        <v>357</v>
      </c>
      <c r="N78" s="822"/>
    </row>
    <row r="79" spans="1:14" ht="14.5">
      <c r="A79" s="552">
        <v>1</v>
      </c>
      <c r="B79" s="548">
        <v>46237</v>
      </c>
      <c r="C79" s="537" t="s">
        <v>273</v>
      </c>
      <c r="D79" s="649">
        <v>4</v>
      </c>
      <c r="E79" s="545" t="s">
        <v>451</v>
      </c>
      <c r="F79" s="537"/>
      <c r="G79" s="536" t="s">
        <v>452</v>
      </c>
      <c r="H79" s="537" t="s">
        <v>447</v>
      </c>
      <c r="I79" s="536"/>
      <c r="J79" s="548">
        <v>46237</v>
      </c>
      <c r="K79" s="536" t="s">
        <v>453</v>
      </c>
      <c r="L79" s="540">
        <v>1</v>
      </c>
      <c r="M79" s="536" t="s">
        <v>454</v>
      </c>
      <c r="N79" s="544" t="s">
        <v>360</v>
      </c>
    </row>
    <row r="80" spans="1:14" ht="14.5">
      <c r="A80" s="552">
        <v>2</v>
      </c>
      <c r="B80" s="548">
        <v>46237</v>
      </c>
      <c r="C80" s="537" t="s">
        <v>273</v>
      </c>
      <c r="D80" s="649">
        <v>1</v>
      </c>
      <c r="E80" s="545" t="s">
        <v>455</v>
      </c>
      <c r="F80" s="537" t="s">
        <v>278</v>
      </c>
      <c r="G80" s="536" t="s">
        <v>456</v>
      </c>
      <c r="H80" s="537"/>
      <c r="I80" s="536"/>
      <c r="J80" s="548">
        <v>46237</v>
      </c>
      <c r="K80" s="536" t="s">
        <v>457</v>
      </c>
      <c r="L80" s="540">
        <v>3</v>
      </c>
      <c r="M80" s="536" t="s">
        <v>458</v>
      </c>
      <c r="N80" s="544" t="s">
        <v>360</v>
      </c>
    </row>
    <row r="81" spans="1:14" ht="14.5">
      <c r="A81" s="552">
        <v>3</v>
      </c>
      <c r="B81" s="548">
        <v>46237</v>
      </c>
      <c r="C81" s="537" t="s">
        <v>273</v>
      </c>
      <c r="D81" s="649">
        <v>4</v>
      </c>
      <c r="E81" s="545" t="s">
        <v>459</v>
      </c>
      <c r="F81" s="537" t="s">
        <v>278</v>
      </c>
      <c r="G81" s="536" t="s">
        <v>460</v>
      </c>
      <c r="H81" s="537"/>
      <c r="I81" s="536"/>
      <c r="J81" s="548">
        <v>46237</v>
      </c>
      <c r="K81" s="536" t="s">
        <v>461</v>
      </c>
      <c r="L81" s="540">
        <v>1</v>
      </c>
      <c r="M81" s="536" t="s">
        <v>448</v>
      </c>
      <c r="N81" s="544" t="s">
        <v>360</v>
      </c>
    </row>
    <row r="82" spans="1:14" ht="14.5">
      <c r="A82" s="552">
        <v>4</v>
      </c>
      <c r="B82" s="548">
        <v>46238</v>
      </c>
      <c r="C82" s="537" t="s">
        <v>462</v>
      </c>
      <c r="D82" s="649">
        <v>3</v>
      </c>
      <c r="E82" s="545" t="s">
        <v>463</v>
      </c>
      <c r="F82" s="537" t="s">
        <v>278</v>
      </c>
      <c r="G82" s="536" t="s">
        <v>464</v>
      </c>
      <c r="H82" s="537"/>
      <c r="I82" s="536"/>
      <c r="J82" s="548">
        <v>46238</v>
      </c>
      <c r="K82" s="536" t="s">
        <v>465</v>
      </c>
      <c r="L82" s="540">
        <v>5</v>
      </c>
      <c r="M82" s="536" t="s">
        <v>448</v>
      </c>
      <c r="N82" s="544" t="s">
        <v>360</v>
      </c>
    </row>
    <row r="83" spans="1:14" ht="14.5">
      <c r="A83" s="552">
        <v>5</v>
      </c>
      <c r="B83" s="548">
        <v>46239</v>
      </c>
      <c r="C83" s="537" t="s">
        <v>462</v>
      </c>
      <c r="D83" s="649">
        <v>3</v>
      </c>
      <c r="E83" s="545" t="s">
        <v>466</v>
      </c>
      <c r="F83" s="537"/>
      <c r="G83" s="536" t="s">
        <v>446</v>
      </c>
      <c r="H83" s="537" t="s">
        <v>447</v>
      </c>
      <c r="I83" s="536"/>
      <c r="J83" s="548">
        <v>46239</v>
      </c>
      <c r="K83" s="536" t="s">
        <v>467</v>
      </c>
      <c r="L83" s="540">
        <v>1</v>
      </c>
      <c r="M83" s="536" t="s">
        <v>448</v>
      </c>
      <c r="N83" s="544" t="s">
        <v>360</v>
      </c>
    </row>
    <row r="84" spans="1:14" ht="14.5">
      <c r="A84" s="552">
        <v>6</v>
      </c>
      <c r="B84" s="548">
        <v>46239</v>
      </c>
      <c r="C84" s="537" t="s">
        <v>462</v>
      </c>
      <c r="D84" s="649">
        <v>2</v>
      </c>
      <c r="E84" s="545" t="s">
        <v>468</v>
      </c>
      <c r="F84" s="537"/>
      <c r="G84" s="536" t="s">
        <v>446</v>
      </c>
      <c r="H84" s="537" t="s">
        <v>447</v>
      </c>
      <c r="I84" s="536"/>
      <c r="J84" s="548">
        <v>46239</v>
      </c>
      <c r="K84" s="536" t="s">
        <v>469</v>
      </c>
      <c r="L84" s="540">
        <v>1</v>
      </c>
      <c r="M84" s="536" t="s">
        <v>448</v>
      </c>
      <c r="N84" s="544" t="s">
        <v>360</v>
      </c>
    </row>
    <row r="85" spans="1:14" ht="14.5">
      <c r="A85" s="552">
        <v>7</v>
      </c>
      <c r="B85" s="548">
        <v>46239</v>
      </c>
      <c r="C85" s="537" t="s">
        <v>273</v>
      </c>
      <c r="D85" s="649">
        <v>4</v>
      </c>
      <c r="E85" s="545" t="s">
        <v>470</v>
      </c>
      <c r="F85" s="537" t="s">
        <v>278</v>
      </c>
      <c r="G85" s="536" t="s">
        <v>446</v>
      </c>
      <c r="H85" s="537"/>
      <c r="I85" s="536"/>
      <c r="J85" s="548">
        <v>46239</v>
      </c>
      <c r="K85" s="536" t="s">
        <v>471</v>
      </c>
      <c r="L85" s="540">
        <v>1</v>
      </c>
      <c r="M85" s="536" t="s">
        <v>448</v>
      </c>
      <c r="N85" s="544" t="s">
        <v>360</v>
      </c>
    </row>
    <row r="86" spans="1:14" ht="14.5">
      <c r="A86" s="552">
        <v>8</v>
      </c>
      <c r="B86" s="548">
        <v>46240</v>
      </c>
      <c r="C86" s="537" t="s">
        <v>273</v>
      </c>
      <c r="D86" s="649">
        <v>1</v>
      </c>
      <c r="E86" s="545" t="s">
        <v>472</v>
      </c>
      <c r="F86" s="537" t="s">
        <v>278</v>
      </c>
      <c r="G86" s="536" t="s">
        <v>456</v>
      </c>
      <c r="H86" s="537"/>
      <c r="I86" s="536"/>
      <c r="J86" s="548">
        <v>46240</v>
      </c>
      <c r="K86" s="536" t="s">
        <v>473</v>
      </c>
      <c r="L86" s="540">
        <v>1</v>
      </c>
      <c r="M86" s="536" t="s">
        <v>454</v>
      </c>
      <c r="N86" s="544" t="s">
        <v>360</v>
      </c>
    </row>
    <row r="87" spans="1:14" ht="14.5">
      <c r="A87" s="552">
        <v>9</v>
      </c>
      <c r="B87" s="548">
        <v>46240</v>
      </c>
      <c r="C87" s="537" t="s">
        <v>273</v>
      </c>
      <c r="D87" s="649">
        <v>4</v>
      </c>
      <c r="E87" s="545" t="s">
        <v>474</v>
      </c>
      <c r="F87" s="537" t="s">
        <v>278</v>
      </c>
      <c r="G87" s="536" t="s">
        <v>475</v>
      </c>
      <c r="H87" s="537"/>
      <c r="I87" s="536"/>
      <c r="J87" s="548">
        <v>46240</v>
      </c>
      <c r="K87" s="536" t="s">
        <v>476</v>
      </c>
      <c r="L87" s="540">
        <v>1</v>
      </c>
      <c r="M87" s="536" t="s">
        <v>448</v>
      </c>
      <c r="N87" s="544" t="s">
        <v>360</v>
      </c>
    </row>
    <row r="88" spans="1:14" ht="14.5">
      <c r="A88" s="552">
        <v>10</v>
      </c>
      <c r="B88" s="548">
        <v>46241</v>
      </c>
      <c r="C88" s="537" t="s">
        <v>462</v>
      </c>
      <c r="D88" s="649">
        <v>3</v>
      </c>
      <c r="E88" s="545" t="s">
        <v>477</v>
      </c>
      <c r="F88" s="537"/>
      <c r="G88" s="536" t="s">
        <v>446</v>
      </c>
      <c r="H88" s="537" t="s">
        <v>447</v>
      </c>
      <c r="I88" s="536"/>
      <c r="J88" s="548">
        <v>46241</v>
      </c>
      <c r="K88" s="536" t="s">
        <v>478</v>
      </c>
      <c r="L88" s="540">
        <v>1</v>
      </c>
      <c r="M88" s="536" t="s">
        <v>448</v>
      </c>
      <c r="N88" s="544" t="s">
        <v>360</v>
      </c>
    </row>
    <row r="89" spans="1:14" ht="14.5">
      <c r="A89" s="552">
        <v>11</v>
      </c>
      <c r="B89" s="548">
        <v>46244</v>
      </c>
      <c r="C89" s="537" t="s">
        <v>462</v>
      </c>
      <c r="D89" s="649">
        <v>3</v>
      </c>
      <c r="E89" s="545" t="s">
        <v>479</v>
      </c>
      <c r="F89" s="537"/>
      <c r="G89" s="536" t="s">
        <v>446</v>
      </c>
      <c r="H89" s="537" t="s">
        <v>447</v>
      </c>
      <c r="I89" s="536"/>
      <c r="J89" s="548">
        <v>46244</v>
      </c>
      <c r="K89" s="536" t="s">
        <v>480</v>
      </c>
      <c r="L89" s="540">
        <v>1</v>
      </c>
      <c r="M89" s="536" t="s">
        <v>481</v>
      </c>
      <c r="N89" s="544" t="s">
        <v>360</v>
      </c>
    </row>
    <row r="90" spans="1:14" ht="14.5">
      <c r="A90" s="552">
        <v>12</v>
      </c>
      <c r="B90" s="548">
        <v>46244</v>
      </c>
      <c r="C90" s="537" t="s">
        <v>462</v>
      </c>
      <c r="D90" s="649">
        <v>3</v>
      </c>
      <c r="E90" s="545" t="s">
        <v>451</v>
      </c>
      <c r="F90" s="537"/>
      <c r="G90" s="536" t="s">
        <v>482</v>
      </c>
      <c r="H90" s="537" t="s">
        <v>447</v>
      </c>
      <c r="I90" s="536"/>
      <c r="J90" s="548">
        <v>46244</v>
      </c>
      <c r="K90" s="536" t="s">
        <v>453</v>
      </c>
      <c r="L90" s="540">
        <v>2</v>
      </c>
      <c r="M90" s="536" t="s">
        <v>454</v>
      </c>
      <c r="N90" s="544" t="s">
        <v>360</v>
      </c>
    </row>
    <row r="91" spans="1:14" ht="14.5">
      <c r="A91" s="552">
        <v>13</v>
      </c>
      <c r="B91" s="548">
        <v>46244</v>
      </c>
      <c r="C91" s="537" t="s">
        <v>273</v>
      </c>
      <c r="D91" s="649">
        <v>4</v>
      </c>
      <c r="E91" s="545" t="s">
        <v>483</v>
      </c>
      <c r="F91" s="537" t="s">
        <v>278</v>
      </c>
      <c r="G91" s="536" t="s">
        <v>484</v>
      </c>
      <c r="H91" s="537"/>
      <c r="I91" s="536"/>
      <c r="J91" s="548">
        <v>46244</v>
      </c>
      <c r="K91" s="536" t="s">
        <v>485</v>
      </c>
      <c r="L91" s="540">
        <v>1</v>
      </c>
      <c r="M91" s="536" t="s">
        <v>486</v>
      </c>
      <c r="N91" s="544" t="s">
        <v>360</v>
      </c>
    </row>
    <row r="92" spans="1:14" ht="14.5">
      <c r="A92" s="552">
        <v>14</v>
      </c>
      <c r="B92" s="548">
        <v>46244</v>
      </c>
      <c r="C92" s="537" t="s">
        <v>273</v>
      </c>
      <c r="D92" s="649">
        <v>4</v>
      </c>
      <c r="E92" s="545" t="s">
        <v>487</v>
      </c>
      <c r="F92" s="537" t="s">
        <v>278</v>
      </c>
      <c r="G92" s="536" t="s">
        <v>488</v>
      </c>
      <c r="H92" s="537"/>
      <c r="I92" s="536"/>
      <c r="J92" s="548">
        <v>46244</v>
      </c>
      <c r="K92" s="536" t="s">
        <v>489</v>
      </c>
      <c r="L92" s="540">
        <v>1</v>
      </c>
      <c r="M92" s="536" t="s">
        <v>448</v>
      </c>
      <c r="N92" s="544" t="s">
        <v>360</v>
      </c>
    </row>
    <row r="93" spans="1:14" ht="14.5">
      <c r="A93" s="552">
        <v>15</v>
      </c>
      <c r="B93" s="548">
        <v>46245</v>
      </c>
      <c r="C93" s="537" t="s">
        <v>273</v>
      </c>
      <c r="D93" s="649">
        <v>4</v>
      </c>
      <c r="E93" s="545" t="s">
        <v>490</v>
      </c>
      <c r="F93" s="537" t="s">
        <v>278</v>
      </c>
      <c r="G93" s="536" t="s">
        <v>491</v>
      </c>
      <c r="H93" s="537"/>
      <c r="I93" s="536"/>
      <c r="J93" s="548">
        <v>46245</v>
      </c>
      <c r="K93" s="536" t="s">
        <v>492</v>
      </c>
      <c r="L93" s="540">
        <v>4</v>
      </c>
      <c r="M93" s="536" t="s">
        <v>448</v>
      </c>
      <c r="N93" s="544" t="s">
        <v>360</v>
      </c>
    </row>
    <row r="94" spans="1:14" ht="14.5">
      <c r="A94" s="552">
        <v>16</v>
      </c>
      <c r="B94" s="548">
        <v>46245</v>
      </c>
      <c r="C94" s="537" t="s">
        <v>273</v>
      </c>
      <c r="D94" s="649">
        <v>4</v>
      </c>
      <c r="E94" s="545" t="s">
        <v>493</v>
      </c>
      <c r="F94" s="537" t="s">
        <v>278</v>
      </c>
      <c r="G94" s="536" t="s">
        <v>491</v>
      </c>
      <c r="H94" s="537"/>
      <c r="I94" s="536"/>
      <c r="J94" s="548">
        <v>46245</v>
      </c>
      <c r="K94" s="536" t="s">
        <v>494</v>
      </c>
      <c r="L94" s="540">
        <v>2</v>
      </c>
      <c r="M94" s="536" t="s">
        <v>495</v>
      </c>
      <c r="N94" s="544" t="s">
        <v>360</v>
      </c>
    </row>
    <row r="95" spans="1:14" ht="14.5">
      <c r="A95" s="552">
        <v>17</v>
      </c>
      <c r="B95" s="548">
        <v>46245</v>
      </c>
      <c r="C95" s="537" t="s">
        <v>462</v>
      </c>
      <c r="D95" s="649">
        <v>2</v>
      </c>
      <c r="E95" s="545" t="s">
        <v>451</v>
      </c>
      <c r="F95" s="537"/>
      <c r="G95" s="536" t="s">
        <v>496</v>
      </c>
      <c r="H95" s="537" t="s">
        <v>447</v>
      </c>
      <c r="I95" s="536"/>
      <c r="J95" s="548">
        <v>46245</v>
      </c>
      <c r="K95" s="536" t="s">
        <v>473</v>
      </c>
      <c r="L95" s="540">
        <v>1</v>
      </c>
      <c r="M95" s="536" t="s">
        <v>454</v>
      </c>
      <c r="N95" s="544" t="s">
        <v>360</v>
      </c>
    </row>
    <row r="96" spans="1:14" ht="14.5">
      <c r="A96" s="552">
        <v>18</v>
      </c>
      <c r="B96" s="548">
        <v>46245</v>
      </c>
      <c r="C96" s="537" t="s">
        <v>273</v>
      </c>
      <c r="D96" s="649">
        <v>1</v>
      </c>
      <c r="E96" s="545" t="s">
        <v>497</v>
      </c>
      <c r="F96" s="537"/>
      <c r="G96" s="536" t="s">
        <v>446</v>
      </c>
      <c r="H96" s="537" t="s">
        <v>447</v>
      </c>
      <c r="I96" s="536"/>
      <c r="J96" s="548">
        <v>46245</v>
      </c>
      <c r="K96" s="536" t="s">
        <v>498</v>
      </c>
      <c r="L96" s="540">
        <v>1</v>
      </c>
      <c r="M96" s="536" t="s">
        <v>448</v>
      </c>
      <c r="N96" s="544" t="s">
        <v>360</v>
      </c>
    </row>
    <row r="97" spans="1:14" ht="14.5">
      <c r="A97" s="552">
        <v>19</v>
      </c>
      <c r="B97" s="548">
        <v>46246</v>
      </c>
      <c r="C97" s="537" t="s">
        <v>273</v>
      </c>
      <c r="D97" s="649">
        <v>4</v>
      </c>
      <c r="E97" s="545" t="s">
        <v>499</v>
      </c>
      <c r="F97" s="537" t="s">
        <v>278</v>
      </c>
      <c r="G97" s="536" t="s">
        <v>500</v>
      </c>
      <c r="H97" s="537"/>
      <c r="I97" s="536"/>
      <c r="J97" s="548">
        <v>46246</v>
      </c>
      <c r="K97" s="536" t="s">
        <v>501</v>
      </c>
      <c r="L97" s="540">
        <v>1</v>
      </c>
      <c r="M97" s="536" t="s">
        <v>486</v>
      </c>
      <c r="N97" s="544" t="s">
        <v>360</v>
      </c>
    </row>
    <row r="98" spans="1:14" ht="14.5">
      <c r="A98" s="552">
        <v>20</v>
      </c>
      <c r="B98" s="548">
        <v>46246</v>
      </c>
      <c r="C98" s="537" t="s">
        <v>273</v>
      </c>
      <c r="D98" s="649">
        <v>4</v>
      </c>
      <c r="E98" s="545" t="s">
        <v>502</v>
      </c>
      <c r="F98" s="537" t="s">
        <v>278</v>
      </c>
      <c r="G98" s="536" t="s">
        <v>500</v>
      </c>
      <c r="H98" s="537"/>
      <c r="I98" s="536"/>
      <c r="J98" s="548">
        <v>46246</v>
      </c>
      <c r="K98" s="536" t="s">
        <v>503</v>
      </c>
      <c r="L98" s="540">
        <v>8</v>
      </c>
      <c r="M98" s="536" t="s">
        <v>458</v>
      </c>
      <c r="N98" s="544" t="s">
        <v>360</v>
      </c>
    </row>
    <row r="99" spans="1:14" ht="28">
      <c r="A99" s="554">
        <v>21</v>
      </c>
      <c r="B99" s="548">
        <v>46246</v>
      </c>
      <c r="C99" s="537" t="s">
        <v>462</v>
      </c>
      <c r="D99" s="649">
        <v>2</v>
      </c>
      <c r="E99" s="545" t="s">
        <v>504</v>
      </c>
      <c r="F99" s="537" t="s">
        <v>278</v>
      </c>
      <c r="G99" s="536" t="s">
        <v>505</v>
      </c>
      <c r="H99" s="537"/>
      <c r="I99" s="536"/>
      <c r="J99" s="548">
        <v>46246</v>
      </c>
      <c r="K99" s="536" t="s">
        <v>506</v>
      </c>
      <c r="L99" s="540">
        <v>1</v>
      </c>
      <c r="M99" s="536" t="s">
        <v>448</v>
      </c>
      <c r="N99" s="544" t="s">
        <v>360</v>
      </c>
    </row>
    <row r="100" spans="1:14" ht="14.5">
      <c r="A100" s="554">
        <v>22</v>
      </c>
      <c r="B100" s="548">
        <v>46247</v>
      </c>
      <c r="C100" s="537" t="s">
        <v>462</v>
      </c>
      <c r="D100" s="649">
        <v>3</v>
      </c>
      <c r="E100" s="545" t="s">
        <v>451</v>
      </c>
      <c r="F100" s="537"/>
      <c r="G100" s="536" t="s">
        <v>507</v>
      </c>
      <c r="H100" s="537" t="s">
        <v>447</v>
      </c>
      <c r="I100" s="536"/>
      <c r="J100" s="548">
        <v>46247</v>
      </c>
      <c r="K100" s="536" t="s">
        <v>473</v>
      </c>
      <c r="L100" s="540">
        <v>2</v>
      </c>
      <c r="M100" s="536" t="s">
        <v>454</v>
      </c>
      <c r="N100" s="544" t="s">
        <v>360</v>
      </c>
    </row>
    <row r="101" spans="1:14" ht="14.5">
      <c r="A101" s="554">
        <v>23</v>
      </c>
      <c r="B101" s="548">
        <v>46247</v>
      </c>
      <c r="C101" s="537" t="s">
        <v>273</v>
      </c>
      <c r="D101" s="649">
        <v>4</v>
      </c>
      <c r="E101" s="545" t="s">
        <v>508</v>
      </c>
      <c r="F101" s="537" t="s">
        <v>278</v>
      </c>
      <c r="G101" s="536" t="s">
        <v>278</v>
      </c>
      <c r="H101" s="537"/>
      <c r="I101" s="536"/>
      <c r="J101" s="548">
        <v>46247</v>
      </c>
      <c r="K101" s="536" t="s">
        <v>509</v>
      </c>
      <c r="L101" s="540">
        <v>5</v>
      </c>
      <c r="M101" s="536" t="s">
        <v>448</v>
      </c>
      <c r="N101" s="544" t="s">
        <v>360</v>
      </c>
    </row>
    <row r="102" spans="1:14" ht="28">
      <c r="A102" s="554">
        <v>24</v>
      </c>
      <c r="B102" s="548">
        <v>46247</v>
      </c>
      <c r="C102" s="537" t="s">
        <v>273</v>
      </c>
      <c r="D102" s="649">
        <v>4</v>
      </c>
      <c r="E102" s="545" t="s">
        <v>510</v>
      </c>
      <c r="F102" s="537" t="s">
        <v>278</v>
      </c>
      <c r="G102" s="536" t="s">
        <v>491</v>
      </c>
      <c r="H102" s="537"/>
      <c r="I102" s="536"/>
      <c r="J102" s="548">
        <v>46247</v>
      </c>
      <c r="K102" s="536" t="s">
        <v>511</v>
      </c>
      <c r="L102" s="540">
        <v>1</v>
      </c>
      <c r="M102" s="536" t="s">
        <v>486</v>
      </c>
      <c r="N102" s="544" t="s">
        <v>360</v>
      </c>
    </row>
    <row r="103" spans="1:14" ht="14.5">
      <c r="A103" s="552">
        <v>25</v>
      </c>
      <c r="B103" s="548">
        <v>46251</v>
      </c>
      <c r="C103" s="537" t="s">
        <v>462</v>
      </c>
      <c r="D103" s="649">
        <v>3</v>
      </c>
      <c r="E103" s="545" t="s">
        <v>451</v>
      </c>
      <c r="F103" s="537"/>
      <c r="G103" s="536" t="s">
        <v>464</v>
      </c>
      <c r="H103" s="537" t="s">
        <v>447</v>
      </c>
      <c r="I103" s="536"/>
      <c r="J103" s="548">
        <v>46251</v>
      </c>
      <c r="K103" s="536" t="s">
        <v>473</v>
      </c>
      <c r="L103" s="540">
        <v>2</v>
      </c>
      <c r="M103" s="536" t="s">
        <v>454</v>
      </c>
      <c r="N103" s="544" t="s">
        <v>360</v>
      </c>
    </row>
    <row r="104" spans="1:14" ht="14.5">
      <c r="A104" s="552">
        <v>26</v>
      </c>
      <c r="B104" s="548">
        <v>46252</v>
      </c>
      <c r="C104" s="537" t="s">
        <v>462</v>
      </c>
      <c r="D104" s="649">
        <v>3</v>
      </c>
      <c r="E104" s="545" t="s">
        <v>451</v>
      </c>
      <c r="F104" s="537"/>
      <c r="G104" s="536" t="s">
        <v>464</v>
      </c>
      <c r="H104" s="537" t="s">
        <v>447</v>
      </c>
      <c r="I104" s="536"/>
      <c r="J104" s="548">
        <v>46252</v>
      </c>
      <c r="K104" s="536" t="s">
        <v>473</v>
      </c>
      <c r="L104" s="540">
        <v>3</v>
      </c>
      <c r="M104" s="536" t="s">
        <v>454</v>
      </c>
      <c r="N104" s="544" t="s">
        <v>360</v>
      </c>
    </row>
    <row r="105" spans="1:14" ht="14.5">
      <c r="A105" s="552">
        <v>27</v>
      </c>
      <c r="B105" s="548">
        <v>46252</v>
      </c>
      <c r="C105" s="537" t="s">
        <v>273</v>
      </c>
      <c r="D105" s="649">
        <v>1</v>
      </c>
      <c r="E105" s="545" t="s">
        <v>512</v>
      </c>
      <c r="F105" s="537"/>
      <c r="G105" s="536" t="s">
        <v>446</v>
      </c>
      <c r="H105" s="537"/>
      <c r="I105" s="536" t="s">
        <v>513</v>
      </c>
      <c r="J105" s="548">
        <v>46252</v>
      </c>
      <c r="K105" s="536" t="s">
        <v>514</v>
      </c>
      <c r="L105" s="540">
        <v>1</v>
      </c>
      <c r="M105" s="536" t="s">
        <v>448</v>
      </c>
      <c r="N105" s="544" t="s">
        <v>360</v>
      </c>
    </row>
    <row r="106" spans="1:14" ht="14.5">
      <c r="A106" s="552">
        <v>28</v>
      </c>
      <c r="B106" s="548">
        <v>46253</v>
      </c>
      <c r="C106" s="537" t="s">
        <v>462</v>
      </c>
      <c r="D106" s="649">
        <v>2</v>
      </c>
      <c r="E106" s="545" t="s">
        <v>515</v>
      </c>
      <c r="F106" s="537" t="s">
        <v>278</v>
      </c>
      <c r="G106" s="536" t="s">
        <v>505</v>
      </c>
      <c r="H106" s="537"/>
      <c r="I106" s="536"/>
      <c r="J106" s="548">
        <v>46253</v>
      </c>
      <c r="K106" s="536" t="s">
        <v>516</v>
      </c>
      <c r="L106" s="540">
        <v>2</v>
      </c>
      <c r="M106" s="536" t="s">
        <v>448</v>
      </c>
      <c r="N106" s="544" t="s">
        <v>360</v>
      </c>
    </row>
    <row r="107" spans="1:14" ht="14.5">
      <c r="A107" s="552">
        <v>29</v>
      </c>
      <c r="B107" s="548">
        <v>46253</v>
      </c>
      <c r="C107" s="537" t="s">
        <v>273</v>
      </c>
      <c r="D107" s="649">
        <v>1</v>
      </c>
      <c r="E107" s="545" t="s">
        <v>517</v>
      </c>
      <c r="F107" s="537"/>
      <c r="G107" s="536" t="s">
        <v>446</v>
      </c>
      <c r="H107" s="537" t="s">
        <v>447</v>
      </c>
      <c r="I107" s="536"/>
      <c r="J107" s="548">
        <v>46253</v>
      </c>
      <c r="K107" s="536" t="s">
        <v>518</v>
      </c>
      <c r="L107" s="540">
        <v>1</v>
      </c>
      <c r="M107" s="536" t="s">
        <v>486</v>
      </c>
      <c r="N107" s="544" t="s">
        <v>360</v>
      </c>
    </row>
    <row r="108" spans="1:14" ht="14.5">
      <c r="A108" s="552">
        <v>30</v>
      </c>
      <c r="B108" s="548">
        <v>46254</v>
      </c>
      <c r="C108" s="537" t="s">
        <v>462</v>
      </c>
      <c r="D108" s="649">
        <v>2</v>
      </c>
      <c r="E108" s="545" t="s">
        <v>519</v>
      </c>
      <c r="F108" s="537"/>
      <c r="G108" s="536" t="s">
        <v>446</v>
      </c>
      <c r="H108" s="537" t="s">
        <v>447</v>
      </c>
      <c r="I108" s="536"/>
      <c r="J108" s="548">
        <v>46254</v>
      </c>
      <c r="K108" s="536" t="s">
        <v>453</v>
      </c>
      <c r="L108" s="540">
        <v>1</v>
      </c>
      <c r="M108" s="536" t="s">
        <v>454</v>
      </c>
      <c r="N108" s="544" t="s">
        <v>360</v>
      </c>
    </row>
    <row r="109" spans="1:14" ht="14.5">
      <c r="A109" s="552">
        <v>31</v>
      </c>
      <c r="B109" s="548">
        <v>46254</v>
      </c>
      <c r="C109" s="537" t="s">
        <v>462</v>
      </c>
      <c r="D109" s="649">
        <v>2</v>
      </c>
      <c r="E109" s="545" t="s">
        <v>520</v>
      </c>
      <c r="F109" s="537" t="s">
        <v>278</v>
      </c>
      <c r="G109" s="536" t="s">
        <v>521</v>
      </c>
      <c r="H109" s="537"/>
      <c r="I109" s="536"/>
      <c r="J109" s="548">
        <v>46254</v>
      </c>
      <c r="K109" s="536" t="s">
        <v>522</v>
      </c>
      <c r="L109" s="540">
        <v>2</v>
      </c>
      <c r="M109" s="536" t="s">
        <v>448</v>
      </c>
      <c r="N109" s="544" t="s">
        <v>360</v>
      </c>
    </row>
    <row r="110" spans="1:14" ht="14.5">
      <c r="A110" s="552">
        <v>32</v>
      </c>
      <c r="B110" s="548">
        <v>46254</v>
      </c>
      <c r="C110" s="537" t="s">
        <v>462</v>
      </c>
      <c r="D110" s="649">
        <v>2</v>
      </c>
      <c r="E110" s="545" t="s">
        <v>523</v>
      </c>
      <c r="F110" s="537" t="s">
        <v>278</v>
      </c>
      <c r="G110" s="536" t="s">
        <v>524</v>
      </c>
      <c r="H110" s="537"/>
      <c r="I110" s="536"/>
      <c r="J110" s="548">
        <v>46254</v>
      </c>
      <c r="K110" s="536" t="s">
        <v>525</v>
      </c>
      <c r="L110" s="540">
        <v>1</v>
      </c>
      <c r="M110" s="536" t="s">
        <v>448</v>
      </c>
      <c r="N110" s="544" t="s">
        <v>360</v>
      </c>
    </row>
    <row r="111" spans="1:14" ht="14.5">
      <c r="A111" s="552">
        <v>33</v>
      </c>
      <c r="B111" s="548">
        <v>46254</v>
      </c>
      <c r="C111" s="537" t="s">
        <v>273</v>
      </c>
      <c r="D111" s="649">
        <v>4</v>
      </c>
      <c r="E111" s="545" t="s">
        <v>526</v>
      </c>
      <c r="F111" s="537" t="s">
        <v>278</v>
      </c>
      <c r="G111" s="536" t="s">
        <v>527</v>
      </c>
      <c r="H111" s="537"/>
      <c r="I111" s="536"/>
      <c r="J111" s="548">
        <v>46254</v>
      </c>
      <c r="K111" s="536" t="s">
        <v>528</v>
      </c>
      <c r="L111" s="540">
        <v>1</v>
      </c>
      <c r="M111" s="536" t="s">
        <v>448</v>
      </c>
      <c r="N111" s="544" t="s">
        <v>360</v>
      </c>
    </row>
    <row r="112" spans="1:14" ht="28">
      <c r="A112" s="554">
        <v>34</v>
      </c>
      <c r="B112" s="548">
        <v>46255</v>
      </c>
      <c r="C112" s="537" t="s">
        <v>273</v>
      </c>
      <c r="D112" s="649">
        <v>1</v>
      </c>
      <c r="E112" s="545" t="s">
        <v>529</v>
      </c>
      <c r="F112" s="537" t="s">
        <v>278</v>
      </c>
      <c r="G112" s="536" t="s">
        <v>456</v>
      </c>
      <c r="H112" s="537"/>
      <c r="I112" s="536"/>
      <c r="J112" s="548">
        <v>46255</v>
      </c>
      <c r="K112" s="536" t="s">
        <v>465</v>
      </c>
      <c r="L112" s="540">
        <v>2</v>
      </c>
      <c r="M112" s="536" t="s">
        <v>448</v>
      </c>
      <c r="N112" s="544" t="s">
        <v>360</v>
      </c>
    </row>
    <row r="113" spans="1:14" ht="28">
      <c r="A113" s="554">
        <v>35</v>
      </c>
      <c r="B113" s="548">
        <v>46255</v>
      </c>
      <c r="C113" s="537" t="s">
        <v>273</v>
      </c>
      <c r="D113" s="649">
        <v>1</v>
      </c>
      <c r="E113" s="545" t="s">
        <v>530</v>
      </c>
      <c r="F113" s="537"/>
      <c r="G113" s="536" t="s">
        <v>446</v>
      </c>
      <c r="H113" s="537" t="s">
        <v>447</v>
      </c>
      <c r="I113" s="536"/>
      <c r="J113" s="548">
        <v>46255</v>
      </c>
      <c r="K113" s="536" t="s">
        <v>531</v>
      </c>
      <c r="L113" s="540">
        <v>1</v>
      </c>
      <c r="M113" s="536" t="s">
        <v>448</v>
      </c>
      <c r="N113" s="544" t="s">
        <v>360</v>
      </c>
    </row>
    <row r="114" spans="1:14" ht="14.5">
      <c r="A114" s="552">
        <v>36</v>
      </c>
      <c r="B114" s="548">
        <v>46258</v>
      </c>
      <c r="C114" s="537" t="s">
        <v>273</v>
      </c>
      <c r="D114" s="649">
        <v>4</v>
      </c>
      <c r="E114" s="545" t="s">
        <v>532</v>
      </c>
      <c r="F114" s="537"/>
      <c r="G114" s="536" t="s">
        <v>533</v>
      </c>
      <c r="H114" s="537"/>
      <c r="I114" s="536" t="s">
        <v>513</v>
      </c>
      <c r="J114" s="548">
        <v>46258</v>
      </c>
      <c r="K114" s="536" t="s">
        <v>534</v>
      </c>
      <c r="L114" s="540">
        <v>5</v>
      </c>
      <c r="M114" s="536" t="s">
        <v>448</v>
      </c>
      <c r="N114" s="544" t="s">
        <v>360</v>
      </c>
    </row>
    <row r="115" spans="1:14" ht="14.5">
      <c r="A115" s="552">
        <v>37</v>
      </c>
      <c r="B115" s="548">
        <v>46260</v>
      </c>
      <c r="C115" s="537" t="s">
        <v>462</v>
      </c>
      <c r="D115" s="649">
        <v>2</v>
      </c>
      <c r="E115" s="545" t="s">
        <v>535</v>
      </c>
      <c r="F115" s="537" t="s">
        <v>278</v>
      </c>
      <c r="G115" s="536" t="s">
        <v>446</v>
      </c>
      <c r="H115" s="537"/>
      <c r="I115" s="536"/>
      <c r="J115" s="548">
        <v>46260</v>
      </c>
      <c r="K115" s="536" t="s">
        <v>536</v>
      </c>
      <c r="L115" s="540">
        <v>1</v>
      </c>
      <c r="M115" s="536" t="s">
        <v>448</v>
      </c>
      <c r="N115" s="544" t="s">
        <v>360</v>
      </c>
    </row>
    <row r="116" spans="1:14" ht="14.5">
      <c r="A116" s="552">
        <v>38</v>
      </c>
      <c r="B116" s="548">
        <v>46260</v>
      </c>
      <c r="C116" s="537" t="s">
        <v>462</v>
      </c>
      <c r="D116" s="649">
        <v>3</v>
      </c>
      <c r="E116" s="545" t="s">
        <v>451</v>
      </c>
      <c r="F116" s="537"/>
      <c r="G116" s="536" t="s">
        <v>464</v>
      </c>
      <c r="H116" s="537" t="s">
        <v>447</v>
      </c>
      <c r="I116" s="536"/>
      <c r="J116" s="548">
        <v>46260</v>
      </c>
      <c r="K116" s="536" t="s">
        <v>453</v>
      </c>
      <c r="L116" s="540">
        <v>2</v>
      </c>
      <c r="M116" s="536" t="s">
        <v>454</v>
      </c>
      <c r="N116" s="544" t="s">
        <v>360</v>
      </c>
    </row>
    <row r="117" spans="1:14" ht="14.5">
      <c r="A117" s="552">
        <v>39</v>
      </c>
      <c r="B117" s="548">
        <v>46260</v>
      </c>
      <c r="C117" s="537" t="s">
        <v>462</v>
      </c>
      <c r="D117" s="649">
        <v>3</v>
      </c>
      <c r="E117" s="545" t="s">
        <v>451</v>
      </c>
      <c r="F117" s="537"/>
      <c r="G117" s="536" t="s">
        <v>507</v>
      </c>
      <c r="H117" s="537" t="s">
        <v>447</v>
      </c>
      <c r="I117" s="536"/>
      <c r="J117" s="548">
        <v>46260</v>
      </c>
      <c r="K117" s="536" t="s">
        <v>453</v>
      </c>
      <c r="L117" s="540">
        <v>5</v>
      </c>
      <c r="M117" s="536" t="s">
        <v>454</v>
      </c>
      <c r="N117" s="544" t="s">
        <v>360</v>
      </c>
    </row>
    <row r="118" spans="1:14" ht="14.5">
      <c r="A118" s="552">
        <v>40</v>
      </c>
      <c r="B118" s="548">
        <v>46261</v>
      </c>
      <c r="C118" s="537" t="s">
        <v>462</v>
      </c>
      <c r="D118" s="649">
        <v>3</v>
      </c>
      <c r="E118" s="545" t="s">
        <v>537</v>
      </c>
      <c r="F118" s="537"/>
      <c r="G118" s="536" t="s">
        <v>464</v>
      </c>
      <c r="H118" s="537" t="s">
        <v>447</v>
      </c>
      <c r="I118" s="536"/>
      <c r="J118" s="548">
        <v>46261</v>
      </c>
      <c r="K118" s="536" t="s">
        <v>538</v>
      </c>
      <c r="L118" s="540">
        <v>1</v>
      </c>
      <c r="M118" s="536" t="s">
        <v>448</v>
      </c>
      <c r="N118" s="544" t="s">
        <v>360</v>
      </c>
    </row>
    <row r="119" spans="1:14" ht="14.5">
      <c r="A119" s="552">
        <v>41</v>
      </c>
      <c r="B119" s="548">
        <v>46261</v>
      </c>
      <c r="C119" s="537" t="s">
        <v>273</v>
      </c>
      <c r="D119" s="649">
        <v>1</v>
      </c>
      <c r="E119" s="545" t="s">
        <v>539</v>
      </c>
      <c r="F119" s="537" t="s">
        <v>278</v>
      </c>
      <c r="G119" s="536" t="s">
        <v>446</v>
      </c>
      <c r="H119" s="537"/>
      <c r="I119" s="536"/>
      <c r="J119" s="548">
        <v>46261</v>
      </c>
      <c r="K119" s="536" t="s">
        <v>540</v>
      </c>
      <c r="L119" s="540">
        <v>5</v>
      </c>
      <c r="M119" s="536" t="s">
        <v>448</v>
      </c>
      <c r="N119" s="544" t="s">
        <v>360</v>
      </c>
    </row>
    <row r="120" spans="1:14" ht="28">
      <c r="A120" s="554">
        <v>42</v>
      </c>
      <c r="B120" s="548">
        <v>46261</v>
      </c>
      <c r="C120" s="537" t="s">
        <v>273</v>
      </c>
      <c r="D120" s="649">
        <v>4</v>
      </c>
      <c r="E120" s="545" t="s">
        <v>541</v>
      </c>
      <c r="F120" s="537" t="s">
        <v>278</v>
      </c>
      <c r="G120" s="536" t="s">
        <v>533</v>
      </c>
      <c r="H120" s="537"/>
      <c r="I120" s="536"/>
      <c r="J120" s="548">
        <v>46261</v>
      </c>
      <c r="K120" s="536" t="s">
        <v>522</v>
      </c>
      <c r="L120" s="540">
        <v>1</v>
      </c>
      <c r="M120" s="536" t="s">
        <v>486</v>
      </c>
      <c r="N120" s="544" t="s">
        <v>360</v>
      </c>
    </row>
    <row r="121" spans="1:14" ht="14.5">
      <c r="A121" s="552">
        <v>43</v>
      </c>
      <c r="B121" s="548">
        <v>46261</v>
      </c>
      <c r="C121" s="537" t="s">
        <v>273</v>
      </c>
      <c r="D121" s="649">
        <v>4</v>
      </c>
      <c r="E121" s="545" t="s">
        <v>542</v>
      </c>
      <c r="F121" s="537"/>
      <c r="G121" s="536" t="s">
        <v>446</v>
      </c>
      <c r="H121" s="537"/>
      <c r="I121" s="536" t="s">
        <v>513</v>
      </c>
      <c r="J121" s="548">
        <v>46261</v>
      </c>
      <c r="K121" s="536" t="s">
        <v>543</v>
      </c>
      <c r="L121" s="540">
        <v>2</v>
      </c>
      <c r="M121" s="536" t="s">
        <v>448</v>
      </c>
      <c r="N121" s="544" t="s">
        <v>360</v>
      </c>
    </row>
    <row r="122" spans="1:14" ht="14.5">
      <c r="A122" s="552">
        <v>44</v>
      </c>
      <c r="B122" s="548">
        <v>46261</v>
      </c>
      <c r="C122" s="537" t="s">
        <v>462</v>
      </c>
      <c r="D122" s="649">
        <v>2</v>
      </c>
      <c r="E122" s="545" t="s">
        <v>544</v>
      </c>
      <c r="F122" s="537"/>
      <c r="G122" s="536" t="s">
        <v>446</v>
      </c>
      <c r="H122" s="537" t="s">
        <v>447</v>
      </c>
      <c r="I122" s="536"/>
      <c r="J122" s="548">
        <v>46261</v>
      </c>
      <c r="K122" s="536" t="s">
        <v>545</v>
      </c>
      <c r="L122" s="540">
        <v>1</v>
      </c>
      <c r="M122" s="536" t="s">
        <v>448</v>
      </c>
      <c r="N122" s="544" t="s">
        <v>360</v>
      </c>
    </row>
    <row r="123" spans="1:14" ht="14.5">
      <c r="A123" s="552">
        <v>45</v>
      </c>
      <c r="B123" s="548">
        <v>46261</v>
      </c>
      <c r="C123" s="537" t="s">
        <v>462</v>
      </c>
      <c r="D123" s="649">
        <v>2</v>
      </c>
      <c r="E123" s="545" t="s">
        <v>546</v>
      </c>
      <c r="F123" s="537"/>
      <c r="G123" s="536" t="s">
        <v>446</v>
      </c>
      <c r="H123" s="537" t="s">
        <v>447</v>
      </c>
      <c r="I123" s="536"/>
      <c r="J123" s="548">
        <v>46261</v>
      </c>
      <c r="K123" s="536"/>
      <c r="L123" s="540">
        <v>1</v>
      </c>
      <c r="M123" s="536" t="s">
        <v>448</v>
      </c>
      <c r="N123" s="544" t="s">
        <v>360</v>
      </c>
    </row>
    <row r="124" spans="1:14" ht="15" thickBot="1">
      <c r="A124" s="552">
        <v>46</v>
      </c>
      <c r="B124" s="522">
        <v>46261</v>
      </c>
      <c r="C124" s="543" t="s">
        <v>462</v>
      </c>
      <c r="D124" s="648">
        <v>2</v>
      </c>
      <c r="E124" s="553" t="s">
        <v>547</v>
      </c>
      <c r="F124" s="543"/>
      <c r="G124" s="549" t="s">
        <v>446</v>
      </c>
      <c r="H124" s="543" t="s">
        <v>447</v>
      </c>
      <c r="I124" s="549"/>
      <c r="J124" s="522">
        <v>46261</v>
      </c>
      <c r="K124" s="549"/>
      <c r="L124" s="550">
        <v>1</v>
      </c>
      <c r="M124" s="549" t="s">
        <v>448</v>
      </c>
      <c r="N124" s="551" t="s">
        <v>360</v>
      </c>
    </row>
    <row r="127" spans="1:14" ht="15" thickBot="1">
      <c r="A127" s="795" t="s">
        <v>574</v>
      </c>
      <c r="B127" s="795"/>
      <c r="C127" s="795"/>
      <c r="D127" s="795"/>
      <c r="E127" s="795"/>
      <c r="F127" s="795"/>
      <c r="G127" s="795"/>
      <c r="H127" s="795"/>
      <c r="I127" s="538"/>
    </row>
    <row r="128" spans="1:14">
      <c r="A128" s="807" t="s">
        <v>553</v>
      </c>
      <c r="B128" s="819" t="s">
        <v>347</v>
      </c>
      <c r="C128" s="807" t="s">
        <v>220</v>
      </c>
      <c r="D128" s="807" t="s">
        <v>7</v>
      </c>
      <c r="E128" s="807" t="s">
        <v>349</v>
      </c>
      <c r="F128" s="807" t="s">
        <v>350</v>
      </c>
      <c r="G128" s="807"/>
      <c r="H128" s="807"/>
      <c r="I128" s="807"/>
    </row>
    <row r="129" spans="1:9">
      <c r="A129" s="818"/>
      <c r="B129" s="820"/>
      <c r="C129" s="818"/>
      <c r="D129" s="818"/>
      <c r="E129" s="818"/>
      <c r="F129" s="555" t="s">
        <v>278</v>
      </c>
      <c r="G129" s="555" t="s">
        <v>2</v>
      </c>
      <c r="H129" s="555" t="s">
        <v>353</v>
      </c>
      <c r="I129" s="555" t="s">
        <v>354</v>
      </c>
    </row>
    <row r="130" spans="1:9" ht="14.5">
      <c r="A130" s="552">
        <v>1</v>
      </c>
      <c r="B130" s="564">
        <v>46235</v>
      </c>
      <c r="C130" s="563" t="s">
        <v>272</v>
      </c>
      <c r="D130" s="649" t="s">
        <v>118</v>
      </c>
      <c r="E130" s="537" t="s">
        <v>554</v>
      </c>
      <c r="F130" s="556" t="s">
        <v>555</v>
      </c>
      <c r="G130" s="557"/>
      <c r="H130" s="557"/>
      <c r="I130" s="537"/>
    </row>
    <row r="131" spans="1:9" ht="14.5">
      <c r="A131" s="552">
        <v>2</v>
      </c>
      <c r="B131" s="564">
        <v>46238</v>
      </c>
      <c r="C131" s="563" t="s">
        <v>272</v>
      </c>
      <c r="D131" s="649">
        <v>1</v>
      </c>
      <c r="E131" s="559" t="s">
        <v>556</v>
      </c>
      <c r="F131" s="557" t="s">
        <v>555</v>
      </c>
      <c r="G131" s="557"/>
      <c r="H131" s="557"/>
      <c r="I131" s="537"/>
    </row>
    <row r="132" spans="1:9" ht="14.5">
      <c r="A132" s="552">
        <v>3</v>
      </c>
      <c r="B132" s="564">
        <v>46240</v>
      </c>
      <c r="C132" s="563" t="s">
        <v>272</v>
      </c>
      <c r="D132" s="649">
        <v>1</v>
      </c>
      <c r="E132" s="559" t="s">
        <v>557</v>
      </c>
      <c r="F132" s="556" t="s">
        <v>555</v>
      </c>
      <c r="G132" s="557"/>
      <c r="H132" s="557"/>
      <c r="I132" s="537"/>
    </row>
    <row r="133" spans="1:9" ht="14.5">
      <c r="A133" s="552">
        <v>4</v>
      </c>
      <c r="B133" s="564">
        <v>46240</v>
      </c>
      <c r="C133" s="563" t="s">
        <v>272</v>
      </c>
      <c r="D133" s="649">
        <v>3</v>
      </c>
      <c r="E133" s="559" t="s">
        <v>558</v>
      </c>
      <c r="F133" s="557" t="s">
        <v>555</v>
      </c>
      <c r="G133" s="557"/>
      <c r="H133" s="557"/>
      <c r="I133" s="557"/>
    </row>
    <row r="134" spans="1:9" ht="14.5">
      <c r="A134" s="552">
        <v>5</v>
      </c>
      <c r="B134" s="564">
        <v>46240</v>
      </c>
      <c r="C134" s="563" t="s">
        <v>272</v>
      </c>
      <c r="D134" s="650">
        <v>4</v>
      </c>
      <c r="E134" s="568" t="s">
        <v>559</v>
      </c>
      <c r="F134" s="566" t="s">
        <v>555</v>
      </c>
      <c r="G134" s="567"/>
      <c r="H134" s="567"/>
      <c r="I134" s="563"/>
    </row>
    <row r="135" spans="1:9" ht="14.5">
      <c r="A135" s="552">
        <v>6</v>
      </c>
      <c r="B135" s="564">
        <v>46242</v>
      </c>
      <c r="C135" s="563" t="s">
        <v>272</v>
      </c>
      <c r="D135" s="649" t="s">
        <v>118</v>
      </c>
      <c r="E135" s="537" t="s">
        <v>554</v>
      </c>
      <c r="F135" s="566" t="s">
        <v>555</v>
      </c>
      <c r="G135" s="557"/>
      <c r="H135" s="557"/>
      <c r="I135" s="537"/>
    </row>
    <row r="136" spans="1:9" ht="14.5">
      <c r="A136" s="552">
        <v>7</v>
      </c>
      <c r="B136" s="564">
        <v>46242</v>
      </c>
      <c r="C136" s="563" t="s">
        <v>272</v>
      </c>
      <c r="D136" s="650">
        <v>4</v>
      </c>
      <c r="E136" s="568" t="s">
        <v>559</v>
      </c>
      <c r="F136" s="566" t="s">
        <v>555</v>
      </c>
      <c r="G136" s="567"/>
      <c r="H136" s="567"/>
      <c r="I136" s="563"/>
    </row>
    <row r="137" spans="1:9" ht="14.5">
      <c r="A137" s="552">
        <v>8</v>
      </c>
      <c r="B137" s="564">
        <v>46242</v>
      </c>
      <c r="C137" s="563" t="s">
        <v>272</v>
      </c>
      <c r="D137" s="649">
        <v>4</v>
      </c>
      <c r="E137" s="559" t="s">
        <v>560</v>
      </c>
      <c r="F137" s="557" t="s">
        <v>555</v>
      </c>
      <c r="G137" s="557"/>
      <c r="H137" s="557"/>
      <c r="I137" s="537"/>
    </row>
    <row r="138" spans="1:9" ht="14.5">
      <c r="A138" s="552">
        <v>9</v>
      </c>
      <c r="B138" s="564">
        <v>46244</v>
      </c>
      <c r="C138" s="563" t="s">
        <v>272</v>
      </c>
      <c r="D138" s="649" t="s">
        <v>118</v>
      </c>
      <c r="E138" s="559" t="s">
        <v>561</v>
      </c>
      <c r="F138" s="556" t="s">
        <v>555</v>
      </c>
      <c r="G138" s="557"/>
      <c r="H138" s="557"/>
      <c r="I138" s="537"/>
    </row>
    <row r="139" spans="1:9" ht="14.5">
      <c r="A139" s="552">
        <v>10</v>
      </c>
      <c r="B139" s="564">
        <v>46244</v>
      </c>
      <c r="C139" s="563" t="s">
        <v>272</v>
      </c>
      <c r="D139" s="649">
        <v>3</v>
      </c>
      <c r="E139" s="559" t="s">
        <v>562</v>
      </c>
      <c r="F139" s="557" t="s">
        <v>555</v>
      </c>
      <c r="G139" s="557"/>
      <c r="H139" s="557"/>
      <c r="I139" s="557"/>
    </row>
    <row r="140" spans="1:9" ht="14.5">
      <c r="A140" s="552">
        <v>11</v>
      </c>
      <c r="B140" s="564">
        <v>46246</v>
      </c>
      <c r="C140" s="563" t="s">
        <v>272</v>
      </c>
      <c r="D140" s="650">
        <v>1</v>
      </c>
      <c r="E140" s="559" t="s">
        <v>563</v>
      </c>
      <c r="F140" s="566" t="s">
        <v>555</v>
      </c>
      <c r="G140" s="567"/>
      <c r="H140" s="567"/>
      <c r="I140" s="563"/>
    </row>
    <row r="141" spans="1:9" ht="14.5">
      <c r="A141" s="552">
        <v>12</v>
      </c>
      <c r="B141" s="564">
        <v>46246</v>
      </c>
      <c r="C141" s="563" t="s">
        <v>272</v>
      </c>
      <c r="D141" s="650">
        <v>4</v>
      </c>
      <c r="E141" s="568" t="s">
        <v>559</v>
      </c>
      <c r="F141" s="567" t="s">
        <v>555</v>
      </c>
      <c r="G141" s="567"/>
      <c r="H141" s="567"/>
      <c r="I141" s="563"/>
    </row>
    <row r="142" spans="1:9" ht="14.5">
      <c r="A142" s="552">
        <v>13</v>
      </c>
      <c r="B142" s="564">
        <v>46249</v>
      </c>
      <c r="C142" s="563" t="s">
        <v>272</v>
      </c>
      <c r="D142" s="649" t="s">
        <v>118</v>
      </c>
      <c r="E142" s="537" t="s">
        <v>564</v>
      </c>
      <c r="F142" s="567" t="s">
        <v>555</v>
      </c>
      <c r="G142" s="557"/>
      <c r="H142" s="557"/>
      <c r="I142" s="537"/>
    </row>
    <row r="143" spans="1:9" ht="14.5">
      <c r="A143" s="552">
        <v>14</v>
      </c>
      <c r="B143" s="564">
        <v>46249</v>
      </c>
      <c r="C143" s="563" t="s">
        <v>272</v>
      </c>
      <c r="D143" s="649">
        <v>3</v>
      </c>
      <c r="E143" s="559" t="s">
        <v>565</v>
      </c>
      <c r="F143" s="557" t="s">
        <v>555</v>
      </c>
      <c r="G143" s="557"/>
      <c r="H143" s="557"/>
      <c r="I143" s="557"/>
    </row>
    <row r="144" spans="1:9" ht="14.5">
      <c r="A144" s="552">
        <v>15</v>
      </c>
      <c r="B144" s="564">
        <v>46249</v>
      </c>
      <c r="C144" s="563" t="s">
        <v>272</v>
      </c>
      <c r="D144" s="650">
        <v>1</v>
      </c>
      <c r="E144" s="559" t="s">
        <v>566</v>
      </c>
      <c r="F144" s="566" t="s">
        <v>555</v>
      </c>
      <c r="G144" s="567"/>
      <c r="H144" s="567"/>
      <c r="I144" s="563"/>
    </row>
    <row r="145" spans="1:16" ht="14.5">
      <c r="A145" s="552">
        <v>16</v>
      </c>
      <c r="B145" s="564">
        <v>46249</v>
      </c>
      <c r="C145" s="563" t="s">
        <v>272</v>
      </c>
      <c r="D145" s="649">
        <v>3</v>
      </c>
      <c r="E145" s="559" t="s">
        <v>567</v>
      </c>
      <c r="F145" s="557" t="s">
        <v>555</v>
      </c>
      <c r="G145" s="557"/>
      <c r="H145" s="557"/>
      <c r="I145" s="537"/>
    </row>
    <row r="146" spans="1:16" ht="14.5">
      <c r="A146" s="552">
        <v>17</v>
      </c>
      <c r="B146" s="558">
        <v>46252</v>
      </c>
      <c r="C146" s="537" t="s">
        <v>272</v>
      </c>
      <c r="D146" s="649">
        <v>4</v>
      </c>
      <c r="E146" s="537" t="s">
        <v>559</v>
      </c>
      <c r="F146" s="556" t="s">
        <v>555</v>
      </c>
      <c r="G146" s="557"/>
      <c r="H146" s="557"/>
      <c r="I146" s="537"/>
    </row>
    <row r="147" spans="1:16" ht="14.5">
      <c r="A147" s="552">
        <v>18</v>
      </c>
      <c r="B147" s="558">
        <v>46252</v>
      </c>
      <c r="C147" s="537" t="s">
        <v>272</v>
      </c>
      <c r="D147" s="651">
        <v>3</v>
      </c>
      <c r="E147" s="570" t="s">
        <v>567</v>
      </c>
      <c r="F147" s="569" t="s">
        <v>555</v>
      </c>
      <c r="G147" s="569"/>
      <c r="H147" s="569"/>
      <c r="I147" s="565"/>
    </row>
    <row r="148" spans="1:16" ht="14.5">
      <c r="A148" s="552">
        <v>19</v>
      </c>
      <c r="B148" s="558">
        <v>46254</v>
      </c>
      <c r="C148" s="537" t="s">
        <v>272</v>
      </c>
      <c r="D148" s="649">
        <v>4</v>
      </c>
      <c r="E148" s="537" t="s">
        <v>559</v>
      </c>
      <c r="F148" s="556" t="s">
        <v>555</v>
      </c>
      <c r="G148" s="557"/>
      <c r="H148" s="557"/>
      <c r="I148" s="537"/>
    </row>
    <row r="149" spans="1:16" ht="14.5">
      <c r="A149" s="552">
        <v>20</v>
      </c>
      <c r="B149" s="558">
        <v>46254</v>
      </c>
      <c r="C149" s="537" t="s">
        <v>272</v>
      </c>
      <c r="D149" s="649">
        <v>3</v>
      </c>
      <c r="E149" s="559" t="s">
        <v>568</v>
      </c>
      <c r="F149" s="557" t="s">
        <v>555</v>
      </c>
      <c r="G149" s="557"/>
      <c r="H149" s="557"/>
      <c r="I149" s="557"/>
    </row>
    <row r="150" spans="1:16" ht="14.5">
      <c r="A150" s="552">
        <v>21</v>
      </c>
      <c r="B150" s="558">
        <v>46256</v>
      </c>
      <c r="C150" s="537" t="s">
        <v>272</v>
      </c>
      <c r="D150" s="650" t="s">
        <v>118</v>
      </c>
      <c r="E150" s="559" t="s">
        <v>554</v>
      </c>
      <c r="F150" s="566" t="s">
        <v>555</v>
      </c>
      <c r="G150" s="567"/>
      <c r="H150" s="567"/>
      <c r="I150" s="563"/>
    </row>
    <row r="151" spans="1:16" ht="14.5">
      <c r="A151" s="552">
        <v>22</v>
      </c>
      <c r="B151" s="558">
        <v>46256</v>
      </c>
      <c r="C151" s="537" t="s">
        <v>272</v>
      </c>
      <c r="D151" s="649">
        <v>4</v>
      </c>
      <c r="E151" s="537" t="s">
        <v>559</v>
      </c>
      <c r="F151" s="557" t="s">
        <v>555</v>
      </c>
      <c r="G151" s="557"/>
      <c r="H151" s="557"/>
      <c r="I151" s="537"/>
    </row>
    <row r="152" spans="1:16" ht="14.5">
      <c r="A152" s="552">
        <v>23</v>
      </c>
      <c r="B152" s="558">
        <v>46256</v>
      </c>
      <c r="C152" s="537" t="s">
        <v>272</v>
      </c>
      <c r="D152" s="649">
        <v>1</v>
      </c>
      <c r="E152" s="559" t="s">
        <v>569</v>
      </c>
      <c r="F152" s="557" t="s">
        <v>555</v>
      </c>
      <c r="G152" s="557"/>
      <c r="H152" s="557"/>
      <c r="I152" s="537"/>
    </row>
    <row r="153" spans="1:16" ht="14.5">
      <c r="A153" s="552">
        <v>24</v>
      </c>
      <c r="B153" s="558">
        <v>46260</v>
      </c>
      <c r="C153" s="537" t="s">
        <v>272</v>
      </c>
      <c r="D153" s="649">
        <v>4</v>
      </c>
      <c r="E153" s="559" t="s">
        <v>570</v>
      </c>
      <c r="F153" s="556" t="s">
        <v>555</v>
      </c>
      <c r="G153" s="557"/>
      <c r="H153" s="557"/>
      <c r="I153" s="537"/>
    </row>
    <row r="154" spans="1:16" ht="14.5">
      <c r="A154" s="552">
        <v>25</v>
      </c>
      <c r="B154" s="558">
        <v>46260</v>
      </c>
      <c r="C154" s="537" t="s">
        <v>272</v>
      </c>
      <c r="D154" s="649">
        <v>5</v>
      </c>
      <c r="E154" s="559" t="s">
        <v>571</v>
      </c>
      <c r="F154" s="557" t="s">
        <v>555</v>
      </c>
      <c r="G154" s="557"/>
      <c r="H154" s="557"/>
      <c r="I154" s="557"/>
    </row>
    <row r="155" spans="1:16" ht="15" thickBot="1">
      <c r="A155" s="552">
        <v>26</v>
      </c>
      <c r="B155" s="560">
        <v>46261</v>
      </c>
      <c r="C155" s="543" t="s">
        <v>272</v>
      </c>
      <c r="D155" s="648">
        <v>1</v>
      </c>
      <c r="E155" s="561" t="s">
        <v>572</v>
      </c>
      <c r="F155" s="571" t="s">
        <v>555</v>
      </c>
      <c r="G155" s="562"/>
      <c r="H155" s="562"/>
      <c r="I155" s="543" t="s">
        <v>573</v>
      </c>
    </row>
    <row r="158" spans="1:16" ht="15">
      <c r="A158" s="817" t="s">
        <v>622</v>
      </c>
      <c r="B158" s="817"/>
      <c r="C158" s="817"/>
      <c r="D158" s="817"/>
      <c r="E158" s="817"/>
      <c r="F158" s="817"/>
      <c r="G158" s="817"/>
      <c r="H158" s="817"/>
      <c r="I158" s="538"/>
      <c r="J158" s="547"/>
      <c r="K158" s="539"/>
      <c r="L158" s="538"/>
      <c r="M158" s="538"/>
      <c r="N158" s="538"/>
      <c r="O158" s="572"/>
      <c r="P158" s="572"/>
    </row>
    <row r="159" spans="1:16" ht="15">
      <c r="A159" s="808" t="s">
        <v>553</v>
      </c>
      <c r="B159" s="812" t="s">
        <v>347</v>
      </c>
      <c r="C159" s="808" t="s">
        <v>348</v>
      </c>
      <c r="D159" s="808" t="s">
        <v>7</v>
      </c>
      <c r="E159" s="814" t="s">
        <v>349</v>
      </c>
      <c r="F159" s="816" t="s">
        <v>350</v>
      </c>
      <c r="G159" s="816"/>
      <c r="H159" s="816"/>
      <c r="I159" s="816"/>
      <c r="J159" s="810" t="s">
        <v>449</v>
      </c>
      <c r="K159" s="808" t="s">
        <v>450</v>
      </c>
      <c r="L159" s="808"/>
      <c r="M159" s="808"/>
      <c r="N159" s="808" t="s">
        <v>8</v>
      </c>
      <c r="O159" s="572"/>
      <c r="P159" s="572"/>
    </row>
    <row r="160" spans="1:16" ht="15">
      <c r="A160" s="809"/>
      <c r="B160" s="813"/>
      <c r="C160" s="809"/>
      <c r="D160" s="809"/>
      <c r="E160" s="815"/>
      <c r="F160" s="541" t="s">
        <v>278</v>
      </c>
      <c r="G160" s="541" t="s">
        <v>2</v>
      </c>
      <c r="H160" s="541" t="s">
        <v>353</v>
      </c>
      <c r="I160" s="541" t="s">
        <v>354</v>
      </c>
      <c r="J160" s="811"/>
      <c r="K160" s="541" t="s">
        <v>355</v>
      </c>
      <c r="L160" s="541" t="s">
        <v>224</v>
      </c>
      <c r="M160" s="541" t="s">
        <v>357</v>
      </c>
      <c r="N160" s="809"/>
      <c r="O160" s="572"/>
      <c r="P160" s="572"/>
    </row>
    <row r="161" spans="1:16" ht="14.5">
      <c r="A161" s="586">
        <v>1</v>
      </c>
      <c r="B161" s="573" t="s">
        <v>575</v>
      </c>
      <c r="C161" s="587" t="s">
        <v>275</v>
      </c>
      <c r="D161" s="578">
        <v>8</v>
      </c>
      <c r="E161" s="536" t="s">
        <v>576</v>
      </c>
      <c r="F161" s="574" t="s">
        <v>577</v>
      </c>
      <c r="G161" s="588"/>
      <c r="H161" s="587"/>
      <c r="I161" s="589"/>
      <c r="J161" s="573" t="s">
        <v>575</v>
      </c>
      <c r="K161" s="587"/>
      <c r="L161" s="587"/>
      <c r="M161" s="587"/>
      <c r="N161" s="581" t="s">
        <v>360</v>
      </c>
      <c r="O161" s="591"/>
      <c r="P161" s="591"/>
    </row>
    <row r="162" spans="1:16" ht="14.5">
      <c r="A162" s="586">
        <v>2</v>
      </c>
      <c r="B162" s="573" t="s">
        <v>578</v>
      </c>
      <c r="C162" s="587" t="s">
        <v>275</v>
      </c>
      <c r="D162" s="578">
        <v>8</v>
      </c>
      <c r="E162" s="536" t="s">
        <v>579</v>
      </c>
      <c r="F162" s="574" t="s">
        <v>577</v>
      </c>
      <c r="G162" s="588"/>
      <c r="H162" s="587"/>
      <c r="I162" s="589"/>
      <c r="J162" s="573" t="s">
        <v>578</v>
      </c>
      <c r="K162" s="587"/>
      <c r="L162" s="587"/>
      <c r="M162" s="587"/>
      <c r="N162" s="581" t="s">
        <v>360</v>
      </c>
      <c r="O162" s="591"/>
      <c r="P162" s="591"/>
    </row>
    <row r="163" spans="1:16" ht="14.5">
      <c r="A163" s="586">
        <v>3</v>
      </c>
      <c r="B163" s="573" t="s">
        <v>580</v>
      </c>
      <c r="C163" s="587" t="s">
        <v>275</v>
      </c>
      <c r="D163" s="578">
        <v>4</v>
      </c>
      <c r="E163" s="536" t="s">
        <v>581</v>
      </c>
      <c r="F163" s="574" t="s">
        <v>577</v>
      </c>
      <c r="G163" s="588"/>
      <c r="H163" s="587"/>
      <c r="I163" s="589"/>
      <c r="J163" s="573" t="s">
        <v>580</v>
      </c>
      <c r="K163" s="587"/>
      <c r="L163" s="587"/>
      <c r="M163" s="587"/>
      <c r="N163" s="581" t="s">
        <v>360</v>
      </c>
      <c r="O163" s="591"/>
      <c r="P163" s="591"/>
    </row>
    <row r="164" spans="1:16" ht="14.5">
      <c r="A164" s="586">
        <v>4</v>
      </c>
      <c r="B164" s="573" t="s">
        <v>582</v>
      </c>
      <c r="C164" s="587" t="s">
        <v>275</v>
      </c>
      <c r="D164" s="578">
        <v>4</v>
      </c>
      <c r="E164" s="536" t="s">
        <v>583</v>
      </c>
      <c r="F164" s="574" t="s">
        <v>577</v>
      </c>
      <c r="G164" s="588"/>
      <c r="H164" s="574" t="s">
        <v>577</v>
      </c>
      <c r="I164" s="589"/>
      <c r="J164" s="573" t="s">
        <v>582</v>
      </c>
      <c r="K164" s="587"/>
      <c r="L164" s="587"/>
      <c r="M164" s="587"/>
      <c r="N164" s="581" t="s">
        <v>360</v>
      </c>
      <c r="O164" s="591"/>
      <c r="P164" s="591"/>
    </row>
    <row r="165" spans="1:16" ht="14.5">
      <c r="A165" s="586">
        <v>5</v>
      </c>
      <c r="B165" s="576" t="s">
        <v>584</v>
      </c>
      <c r="C165" s="590" t="s">
        <v>275</v>
      </c>
      <c r="D165" s="652">
        <v>8</v>
      </c>
      <c r="E165" s="579" t="s">
        <v>585</v>
      </c>
      <c r="F165" s="577" t="s">
        <v>577</v>
      </c>
      <c r="G165" s="592"/>
      <c r="H165" s="590"/>
      <c r="I165" s="593"/>
      <c r="J165" s="576" t="s">
        <v>584</v>
      </c>
      <c r="K165" s="590"/>
      <c r="L165" s="590"/>
      <c r="M165" s="590"/>
      <c r="N165" s="581" t="s">
        <v>360</v>
      </c>
      <c r="O165" s="591"/>
      <c r="P165" s="591"/>
    </row>
    <row r="166" spans="1:16" ht="14.5">
      <c r="A166" s="586">
        <v>6</v>
      </c>
      <c r="B166" s="576" t="s">
        <v>586</v>
      </c>
      <c r="C166" s="587" t="s">
        <v>275</v>
      </c>
      <c r="D166" s="578">
        <v>4</v>
      </c>
      <c r="E166" s="536" t="s">
        <v>587</v>
      </c>
      <c r="F166" s="574" t="s">
        <v>577</v>
      </c>
      <c r="G166" s="588"/>
      <c r="H166" s="587"/>
      <c r="I166" s="589"/>
      <c r="J166" s="576" t="s">
        <v>586</v>
      </c>
      <c r="K166" s="587"/>
      <c r="L166" s="587"/>
      <c r="M166" s="587"/>
      <c r="N166" s="581" t="s">
        <v>360</v>
      </c>
      <c r="O166" s="591"/>
      <c r="P166" s="591"/>
    </row>
    <row r="167" spans="1:16" ht="14.5">
      <c r="A167" s="586">
        <v>7</v>
      </c>
      <c r="B167" s="576" t="s">
        <v>588</v>
      </c>
      <c r="C167" s="587" t="s">
        <v>275</v>
      </c>
      <c r="D167" s="578">
        <v>4</v>
      </c>
      <c r="E167" s="536" t="s">
        <v>589</v>
      </c>
      <c r="F167" s="574" t="s">
        <v>577</v>
      </c>
      <c r="G167" s="588"/>
      <c r="H167" s="587"/>
      <c r="I167" s="589"/>
      <c r="J167" s="576" t="s">
        <v>588</v>
      </c>
      <c r="K167" s="587"/>
      <c r="L167" s="587"/>
      <c r="M167" s="587"/>
      <c r="N167" s="581" t="s">
        <v>360</v>
      </c>
      <c r="O167" s="591"/>
      <c r="P167" s="591"/>
    </row>
    <row r="168" spans="1:16" ht="14.5">
      <c r="A168" s="586">
        <v>8</v>
      </c>
      <c r="B168" s="576" t="s">
        <v>590</v>
      </c>
      <c r="C168" s="587" t="s">
        <v>275</v>
      </c>
      <c r="D168" s="578">
        <v>8</v>
      </c>
      <c r="E168" s="536" t="s">
        <v>591</v>
      </c>
      <c r="F168" s="574" t="s">
        <v>577</v>
      </c>
      <c r="G168" s="588"/>
      <c r="H168" s="587"/>
      <c r="I168" s="589"/>
      <c r="J168" s="576" t="s">
        <v>590</v>
      </c>
      <c r="K168" s="587"/>
      <c r="L168" s="587"/>
      <c r="M168" s="587"/>
      <c r="N168" s="581" t="s">
        <v>360</v>
      </c>
      <c r="O168" s="591"/>
      <c r="P168" s="591"/>
    </row>
    <row r="169" spans="1:16" ht="14.5">
      <c r="A169" s="586">
        <v>9</v>
      </c>
      <c r="B169" s="576" t="s">
        <v>592</v>
      </c>
      <c r="C169" s="587" t="s">
        <v>275</v>
      </c>
      <c r="D169" s="578">
        <v>4</v>
      </c>
      <c r="E169" s="536" t="s">
        <v>593</v>
      </c>
      <c r="F169" s="574" t="s">
        <v>577</v>
      </c>
      <c r="G169" s="588"/>
      <c r="H169" s="587"/>
      <c r="I169" s="589"/>
      <c r="J169" s="576" t="s">
        <v>592</v>
      </c>
      <c r="K169" s="587"/>
      <c r="L169" s="587"/>
      <c r="M169" s="587"/>
      <c r="N169" s="581" t="s">
        <v>360</v>
      </c>
      <c r="O169" s="591"/>
      <c r="P169" s="591"/>
    </row>
    <row r="170" spans="1:16" ht="14.5">
      <c r="A170" s="586">
        <v>10</v>
      </c>
      <c r="B170" s="576" t="s">
        <v>594</v>
      </c>
      <c r="C170" s="587" t="s">
        <v>275</v>
      </c>
      <c r="D170" s="578">
        <v>8</v>
      </c>
      <c r="E170" s="536" t="s">
        <v>595</v>
      </c>
      <c r="F170" s="574" t="s">
        <v>577</v>
      </c>
      <c r="G170" s="588"/>
      <c r="H170" s="587"/>
      <c r="I170" s="589"/>
      <c r="J170" s="576" t="s">
        <v>594</v>
      </c>
      <c r="K170" s="587"/>
      <c r="L170" s="587"/>
      <c r="M170" s="587"/>
      <c r="N170" s="581" t="s">
        <v>360</v>
      </c>
      <c r="O170" s="591"/>
      <c r="P170" s="591"/>
    </row>
    <row r="171" spans="1:16" ht="14.5">
      <c r="A171" s="586">
        <v>11</v>
      </c>
      <c r="B171" s="576" t="s">
        <v>596</v>
      </c>
      <c r="C171" s="587" t="s">
        <v>275</v>
      </c>
      <c r="D171" s="578">
        <v>4</v>
      </c>
      <c r="E171" s="536" t="s">
        <v>597</v>
      </c>
      <c r="F171" s="574" t="s">
        <v>577</v>
      </c>
      <c r="G171" s="588"/>
      <c r="H171" s="587"/>
      <c r="I171" s="589"/>
      <c r="J171" s="576" t="s">
        <v>596</v>
      </c>
      <c r="K171" s="587"/>
      <c r="L171" s="587"/>
      <c r="M171" s="587"/>
      <c r="N171" s="581" t="s">
        <v>360</v>
      </c>
      <c r="O171" s="591"/>
      <c r="P171" s="591"/>
    </row>
    <row r="172" spans="1:16" ht="14.5">
      <c r="A172" s="586">
        <v>12</v>
      </c>
      <c r="B172" s="576" t="s">
        <v>598</v>
      </c>
      <c r="C172" s="587" t="s">
        <v>275</v>
      </c>
      <c r="D172" s="578">
        <v>4</v>
      </c>
      <c r="E172" s="536" t="s">
        <v>599</v>
      </c>
      <c r="F172" s="574" t="s">
        <v>577</v>
      </c>
      <c r="G172" s="588"/>
      <c r="H172" s="587"/>
      <c r="I172" s="589"/>
      <c r="J172" s="576" t="s">
        <v>598</v>
      </c>
      <c r="K172" s="587"/>
      <c r="L172" s="587"/>
      <c r="M172" s="587"/>
      <c r="N172" s="581" t="s">
        <v>360</v>
      </c>
      <c r="O172" s="591"/>
      <c r="P172" s="591"/>
    </row>
    <row r="173" spans="1:16" ht="14.5">
      <c r="A173" s="586">
        <v>13</v>
      </c>
      <c r="B173" s="576" t="s">
        <v>600</v>
      </c>
      <c r="C173" s="587" t="s">
        <v>275</v>
      </c>
      <c r="D173" s="578">
        <v>4</v>
      </c>
      <c r="E173" s="536" t="s">
        <v>601</v>
      </c>
      <c r="F173" s="574" t="s">
        <v>577</v>
      </c>
      <c r="G173" s="588"/>
      <c r="H173" s="587"/>
      <c r="I173" s="589"/>
      <c r="J173" s="576" t="s">
        <v>600</v>
      </c>
      <c r="K173" s="587"/>
      <c r="L173" s="587"/>
      <c r="M173" s="587"/>
      <c r="N173" s="581" t="s">
        <v>360</v>
      </c>
      <c r="O173" s="591"/>
      <c r="P173" s="591"/>
    </row>
    <row r="174" spans="1:16" ht="14.5">
      <c r="A174" s="586">
        <v>14</v>
      </c>
      <c r="B174" s="573" t="s">
        <v>602</v>
      </c>
      <c r="C174" s="587" t="s">
        <v>275</v>
      </c>
      <c r="D174" s="578">
        <v>4</v>
      </c>
      <c r="E174" s="536" t="s">
        <v>603</v>
      </c>
      <c r="F174" s="574" t="s">
        <v>577</v>
      </c>
      <c r="G174" s="588"/>
      <c r="H174" s="587"/>
      <c r="I174" s="589"/>
      <c r="J174" s="573" t="s">
        <v>602</v>
      </c>
      <c r="K174" s="587"/>
      <c r="L174" s="587"/>
      <c r="M174" s="587"/>
      <c r="N174" s="601" t="s">
        <v>360</v>
      </c>
      <c r="O174" s="591"/>
      <c r="P174" s="591"/>
    </row>
    <row r="175" spans="1:16" ht="14.5">
      <c r="A175" s="586">
        <v>15</v>
      </c>
      <c r="B175" s="573" t="s">
        <v>602</v>
      </c>
      <c r="C175" s="587" t="s">
        <v>275</v>
      </c>
      <c r="D175" s="653" t="s">
        <v>604</v>
      </c>
      <c r="E175" s="580" t="s">
        <v>605</v>
      </c>
      <c r="F175" s="574" t="s">
        <v>577</v>
      </c>
      <c r="G175" s="599"/>
      <c r="H175" s="583"/>
      <c r="I175" s="600"/>
      <c r="J175" s="573" t="s">
        <v>602</v>
      </c>
      <c r="K175" s="598"/>
      <c r="L175" s="598"/>
      <c r="M175" s="598"/>
      <c r="N175" s="601" t="s">
        <v>360</v>
      </c>
      <c r="O175" s="591"/>
      <c r="P175" s="591"/>
    </row>
    <row r="176" spans="1:16" ht="14.5">
      <c r="A176" s="586">
        <v>16</v>
      </c>
      <c r="B176" s="573" t="s">
        <v>602</v>
      </c>
      <c r="C176" s="587" t="s">
        <v>275</v>
      </c>
      <c r="D176" s="652">
        <v>8</v>
      </c>
      <c r="E176" s="536" t="s">
        <v>606</v>
      </c>
      <c r="F176" s="574" t="s">
        <v>577</v>
      </c>
      <c r="G176" s="592"/>
      <c r="H176" s="590"/>
      <c r="I176" s="593"/>
      <c r="J176" s="573" t="s">
        <v>602</v>
      </c>
      <c r="K176" s="590"/>
      <c r="L176" s="590"/>
      <c r="M176" s="590"/>
      <c r="N176" s="601" t="s">
        <v>360</v>
      </c>
      <c r="O176" s="591"/>
      <c r="P176" s="591"/>
    </row>
    <row r="177" spans="1:16" ht="14.5">
      <c r="A177" s="586">
        <v>17</v>
      </c>
      <c r="B177" s="573" t="s">
        <v>602</v>
      </c>
      <c r="C177" s="587" t="s">
        <v>275</v>
      </c>
      <c r="D177" s="578" t="s">
        <v>604</v>
      </c>
      <c r="E177" s="536" t="s">
        <v>607</v>
      </c>
      <c r="F177" s="574" t="s">
        <v>577</v>
      </c>
      <c r="G177" s="588"/>
      <c r="H177" s="587"/>
      <c r="I177" s="589"/>
      <c r="J177" s="573" t="s">
        <v>602</v>
      </c>
      <c r="K177" s="587"/>
      <c r="L177" s="587"/>
      <c r="M177" s="587"/>
      <c r="N177" s="601" t="s">
        <v>360</v>
      </c>
      <c r="O177" s="591"/>
      <c r="P177" s="591"/>
    </row>
    <row r="178" spans="1:16" ht="14.5">
      <c r="A178" s="586">
        <v>18</v>
      </c>
      <c r="B178" s="573" t="s">
        <v>409</v>
      </c>
      <c r="C178" s="587" t="s">
        <v>275</v>
      </c>
      <c r="D178" s="578" t="s">
        <v>608</v>
      </c>
      <c r="E178" s="536" t="s">
        <v>609</v>
      </c>
      <c r="F178" s="574" t="s">
        <v>577</v>
      </c>
      <c r="G178" s="588"/>
      <c r="H178" s="587"/>
      <c r="I178" s="589"/>
      <c r="J178" s="573" t="s">
        <v>409</v>
      </c>
      <c r="K178" s="587"/>
      <c r="L178" s="587"/>
      <c r="M178" s="587"/>
      <c r="N178" s="601" t="s">
        <v>360</v>
      </c>
      <c r="O178" s="591"/>
      <c r="P178" s="591"/>
    </row>
    <row r="179" spans="1:16" ht="14.5">
      <c r="A179" s="586">
        <v>19</v>
      </c>
      <c r="B179" s="573" t="s">
        <v>409</v>
      </c>
      <c r="C179" s="587" t="s">
        <v>275</v>
      </c>
      <c r="D179" s="578">
        <v>8</v>
      </c>
      <c r="E179" s="536" t="s">
        <v>610</v>
      </c>
      <c r="F179" s="574" t="s">
        <v>577</v>
      </c>
      <c r="G179" s="588"/>
      <c r="H179" s="587"/>
      <c r="I179" s="589"/>
      <c r="J179" s="573" t="s">
        <v>409</v>
      </c>
      <c r="K179" s="587"/>
      <c r="L179" s="587"/>
      <c r="M179" s="587"/>
      <c r="N179" s="601" t="s">
        <v>360</v>
      </c>
      <c r="O179" s="591"/>
      <c r="P179" s="591"/>
    </row>
    <row r="180" spans="1:16" ht="14.5">
      <c r="A180" s="586">
        <v>20</v>
      </c>
      <c r="B180" s="573" t="s">
        <v>413</v>
      </c>
      <c r="C180" s="587" t="s">
        <v>275</v>
      </c>
      <c r="D180" s="578">
        <v>4</v>
      </c>
      <c r="E180" s="536" t="s">
        <v>611</v>
      </c>
      <c r="F180" s="574" t="s">
        <v>577</v>
      </c>
      <c r="G180" s="588"/>
      <c r="H180" s="587"/>
      <c r="I180" s="589"/>
      <c r="J180" s="573" t="s">
        <v>413</v>
      </c>
      <c r="K180" s="587"/>
      <c r="L180" s="587"/>
      <c r="M180" s="587"/>
      <c r="N180" s="601" t="s">
        <v>360</v>
      </c>
      <c r="O180" s="591"/>
      <c r="P180" s="591"/>
    </row>
    <row r="181" spans="1:16" ht="14.5">
      <c r="A181" s="586">
        <v>21</v>
      </c>
      <c r="B181" s="573" t="s">
        <v>413</v>
      </c>
      <c r="C181" s="587" t="s">
        <v>275</v>
      </c>
      <c r="D181" s="652">
        <v>4</v>
      </c>
      <c r="E181" s="579" t="s">
        <v>612</v>
      </c>
      <c r="F181" s="574" t="s">
        <v>577</v>
      </c>
      <c r="G181" s="592"/>
      <c r="H181" s="590"/>
      <c r="I181" s="593"/>
      <c r="J181" s="573" t="s">
        <v>413</v>
      </c>
      <c r="K181" s="590"/>
      <c r="L181" s="590"/>
      <c r="M181" s="590"/>
      <c r="N181" s="601" t="s">
        <v>360</v>
      </c>
      <c r="O181" s="591"/>
      <c r="P181" s="591"/>
    </row>
    <row r="182" spans="1:16" ht="14.5">
      <c r="A182" s="586">
        <v>22</v>
      </c>
      <c r="B182" s="573" t="s">
        <v>413</v>
      </c>
      <c r="C182" s="587" t="s">
        <v>275</v>
      </c>
      <c r="D182" s="578">
        <v>4</v>
      </c>
      <c r="E182" s="536" t="s">
        <v>613</v>
      </c>
      <c r="F182" s="578"/>
      <c r="G182" s="588"/>
      <c r="H182" s="574" t="s">
        <v>577</v>
      </c>
      <c r="I182" s="589"/>
      <c r="J182" s="573" t="s">
        <v>413</v>
      </c>
      <c r="K182" s="587"/>
      <c r="L182" s="587"/>
      <c r="M182" s="587"/>
      <c r="N182" s="601" t="s">
        <v>360</v>
      </c>
      <c r="O182" s="591"/>
      <c r="P182" s="591"/>
    </row>
    <row r="183" spans="1:16" ht="14.5">
      <c r="A183" s="586">
        <v>23</v>
      </c>
      <c r="B183" s="582" t="s">
        <v>413</v>
      </c>
      <c r="C183" s="598" t="s">
        <v>275</v>
      </c>
      <c r="D183" s="654">
        <v>8</v>
      </c>
      <c r="E183" s="580" t="s">
        <v>614</v>
      </c>
      <c r="F183" s="583" t="s">
        <v>577</v>
      </c>
      <c r="G183" s="605"/>
      <c r="H183" s="606"/>
      <c r="I183" s="607"/>
      <c r="J183" s="582" t="s">
        <v>413</v>
      </c>
      <c r="K183" s="606"/>
      <c r="L183" s="606"/>
      <c r="M183" s="606"/>
      <c r="N183" s="608" t="s">
        <v>360</v>
      </c>
      <c r="O183" s="591"/>
      <c r="P183" s="591"/>
    </row>
    <row r="184" spans="1:16" ht="14.5">
      <c r="A184" s="586">
        <v>24</v>
      </c>
      <c r="B184" s="573" t="s">
        <v>416</v>
      </c>
      <c r="C184" s="587" t="s">
        <v>275</v>
      </c>
      <c r="D184" s="578">
        <v>8</v>
      </c>
      <c r="E184" s="536" t="s">
        <v>614</v>
      </c>
      <c r="F184" s="574" t="s">
        <v>577</v>
      </c>
      <c r="G184" s="588"/>
      <c r="H184" s="587"/>
      <c r="I184" s="589"/>
      <c r="J184" s="573" t="s">
        <v>416</v>
      </c>
      <c r="K184" s="587"/>
      <c r="L184" s="587"/>
      <c r="M184" s="587"/>
      <c r="N184" s="601" t="s">
        <v>360</v>
      </c>
      <c r="O184" s="591"/>
      <c r="P184" s="591"/>
    </row>
    <row r="185" spans="1:16" ht="14.5">
      <c r="A185" s="586">
        <v>25</v>
      </c>
      <c r="B185" s="573" t="s">
        <v>416</v>
      </c>
      <c r="C185" s="587" t="s">
        <v>275</v>
      </c>
      <c r="D185" s="578">
        <v>4</v>
      </c>
      <c r="E185" s="536" t="s">
        <v>615</v>
      </c>
      <c r="F185" s="574" t="s">
        <v>577</v>
      </c>
      <c r="G185" s="588"/>
      <c r="H185" s="587"/>
      <c r="I185" s="589"/>
      <c r="J185" s="573" t="s">
        <v>416</v>
      </c>
      <c r="K185" s="587"/>
      <c r="L185" s="587"/>
      <c r="M185" s="587"/>
      <c r="N185" s="601" t="s">
        <v>360</v>
      </c>
      <c r="O185" s="591"/>
      <c r="P185" s="591"/>
    </row>
    <row r="186" spans="1:16" ht="14.5">
      <c r="A186" s="586">
        <v>26</v>
      </c>
      <c r="B186" s="573" t="s">
        <v>420</v>
      </c>
      <c r="C186" s="587" t="s">
        <v>275</v>
      </c>
      <c r="D186" s="578">
        <v>8</v>
      </c>
      <c r="E186" s="536" t="s">
        <v>616</v>
      </c>
      <c r="F186" s="574" t="s">
        <v>577</v>
      </c>
      <c r="G186" s="588"/>
      <c r="H186" s="587"/>
      <c r="I186" s="589"/>
      <c r="J186" s="573" t="s">
        <v>420</v>
      </c>
      <c r="K186" s="587"/>
      <c r="L186" s="587"/>
      <c r="M186" s="587"/>
      <c r="N186" s="601" t="s">
        <v>360</v>
      </c>
      <c r="O186" s="591"/>
      <c r="P186" s="591"/>
    </row>
    <row r="187" spans="1:16" ht="28">
      <c r="A187" s="604">
        <v>27</v>
      </c>
      <c r="B187" s="613">
        <v>46263</v>
      </c>
      <c r="C187" s="587" t="s">
        <v>275</v>
      </c>
      <c r="D187" s="642">
        <v>8</v>
      </c>
      <c r="E187" s="585" t="s">
        <v>617</v>
      </c>
      <c r="F187" s="615" t="s">
        <v>577</v>
      </c>
      <c r="G187" s="616"/>
      <c r="H187" s="616"/>
      <c r="I187" s="616"/>
      <c r="J187" s="613">
        <v>46263</v>
      </c>
      <c r="K187" s="616"/>
      <c r="L187" s="614"/>
      <c r="M187" s="614"/>
      <c r="N187" s="601" t="s">
        <v>360</v>
      </c>
    </row>
    <row r="188" spans="1:16" ht="28">
      <c r="A188" s="586">
        <v>28</v>
      </c>
      <c r="B188" s="609">
        <v>46263</v>
      </c>
      <c r="C188" s="587" t="s">
        <v>275</v>
      </c>
      <c r="D188" s="597">
        <v>8</v>
      </c>
      <c r="E188" s="584" t="s">
        <v>618</v>
      </c>
      <c r="F188" s="611" t="s">
        <v>577</v>
      </c>
      <c r="G188" s="612"/>
      <c r="H188" s="612"/>
      <c r="I188" s="612"/>
      <c r="J188" s="609">
        <v>46263</v>
      </c>
      <c r="K188" s="612"/>
      <c r="L188" s="610"/>
      <c r="M188" s="610"/>
      <c r="N188" s="601" t="s">
        <v>360</v>
      </c>
    </row>
    <row r="189" spans="1:16" ht="14.5">
      <c r="A189" s="586">
        <v>29</v>
      </c>
      <c r="B189" s="595">
        <v>46264</v>
      </c>
      <c r="C189" s="587" t="s">
        <v>275</v>
      </c>
      <c r="D189" s="597" t="s">
        <v>619</v>
      </c>
      <c r="E189" s="575" t="s">
        <v>620</v>
      </c>
      <c r="F189" s="597" t="s">
        <v>577</v>
      </c>
      <c r="G189" s="594"/>
      <c r="H189" s="594"/>
      <c r="I189" s="594"/>
      <c r="J189" s="595">
        <v>46264</v>
      </c>
      <c r="K189" s="594"/>
      <c r="L189" s="596"/>
      <c r="M189" s="596"/>
      <c r="N189" s="601" t="s">
        <v>360</v>
      </c>
    </row>
    <row r="190" spans="1:16" ht="28">
      <c r="A190" s="586">
        <v>30</v>
      </c>
      <c r="B190" s="609">
        <v>46264</v>
      </c>
      <c r="C190" s="587" t="s">
        <v>275</v>
      </c>
      <c r="D190" s="597">
        <v>8</v>
      </c>
      <c r="E190" s="584" t="s">
        <v>621</v>
      </c>
      <c r="F190" s="611" t="s">
        <v>577</v>
      </c>
      <c r="G190" s="612"/>
      <c r="H190" s="612"/>
      <c r="I190" s="612"/>
      <c r="J190" s="609">
        <v>46264</v>
      </c>
      <c r="K190" s="612"/>
      <c r="L190" s="610"/>
      <c r="M190" s="610"/>
      <c r="N190" s="601" t="s">
        <v>360</v>
      </c>
    </row>
    <row r="191" spans="1:16" ht="28.5" thickBot="1">
      <c r="A191" s="602">
        <v>31</v>
      </c>
      <c r="B191" s="617">
        <v>46265</v>
      </c>
      <c r="C191" s="618" t="s">
        <v>275</v>
      </c>
      <c r="D191" s="655">
        <v>8</v>
      </c>
      <c r="E191" s="619" t="s">
        <v>621</v>
      </c>
      <c r="F191" s="620" t="s">
        <v>577</v>
      </c>
      <c r="G191" s="621"/>
      <c r="H191" s="621"/>
      <c r="I191" s="621"/>
      <c r="J191" s="617">
        <v>46265</v>
      </c>
      <c r="K191" s="621"/>
      <c r="L191" s="618"/>
      <c r="M191" s="618"/>
      <c r="N191" s="603" t="s">
        <v>360</v>
      </c>
    </row>
    <row r="194" spans="1:15" ht="15.5" thickBot="1">
      <c r="A194" s="795" t="s">
        <v>642</v>
      </c>
      <c r="B194" s="795"/>
      <c r="C194" s="795"/>
      <c r="D194" s="795"/>
      <c r="E194" s="795"/>
      <c r="F194" s="795"/>
      <c r="G194" s="795"/>
      <c r="H194" s="795"/>
      <c r="I194" s="538"/>
      <c r="J194" s="547"/>
      <c r="K194" s="539"/>
      <c r="L194" s="538"/>
      <c r="M194" s="538"/>
      <c r="N194" s="538"/>
      <c r="O194" s="572"/>
    </row>
    <row r="195" spans="1:15" ht="14.5">
      <c r="A195" s="798" t="s">
        <v>553</v>
      </c>
      <c r="B195" s="800" t="s">
        <v>347</v>
      </c>
      <c r="C195" s="800" t="s">
        <v>348</v>
      </c>
      <c r="D195" s="800" t="s">
        <v>7</v>
      </c>
      <c r="E195" s="802" t="s">
        <v>349</v>
      </c>
      <c r="F195" s="800" t="s">
        <v>350</v>
      </c>
      <c r="G195" s="800"/>
      <c r="H195" s="800"/>
      <c r="I195" s="800"/>
      <c r="J195" s="804" t="s">
        <v>351</v>
      </c>
      <c r="K195" s="806" t="s">
        <v>450</v>
      </c>
      <c r="L195" s="806"/>
      <c r="M195" s="806"/>
      <c r="N195" s="796" t="s">
        <v>8</v>
      </c>
      <c r="O195" s="624"/>
    </row>
    <row r="196" spans="1:15" ht="15" thickBot="1">
      <c r="A196" s="799"/>
      <c r="B196" s="801"/>
      <c r="C196" s="801"/>
      <c r="D196" s="801"/>
      <c r="E196" s="803"/>
      <c r="F196" s="625" t="s">
        <v>278</v>
      </c>
      <c r="G196" s="625" t="s">
        <v>2</v>
      </c>
      <c r="H196" s="625" t="s">
        <v>353</v>
      </c>
      <c r="I196" s="625" t="s">
        <v>354</v>
      </c>
      <c r="J196" s="805"/>
      <c r="K196" s="626" t="s">
        <v>355</v>
      </c>
      <c r="L196" s="625" t="s">
        <v>224</v>
      </c>
      <c r="M196" s="626" t="s">
        <v>357</v>
      </c>
      <c r="N196" s="797"/>
      <c r="O196" s="624"/>
    </row>
    <row r="197" spans="1:15" ht="14.5">
      <c r="A197" s="627">
        <v>1</v>
      </c>
      <c r="B197" s="595">
        <v>46239</v>
      </c>
      <c r="C197" s="628" t="s">
        <v>623</v>
      </c>
      <c r="D197" s="597">
        <v>3</v>
      </c>
      <c r="E197" s="575" t="s">
        <v>624</v>
      </c>
      <c r="F197" s="597" t="s">
        <v>577</v>
      </c>
      <c r="G197" s="594"/>
      <c r="H197" s="594"/>
      <c r="I197" s="594"/>
      <c r="J197" s="595">
        <v>46239</v>
      </c>
      <c r="K197" s="594"/>
      <c r="L197" s="596"/>
      <c r="M197" s="596"/>
      <c r="N197" s="629" t="s">
        <v>360</v>
      </c>
      <c r="O197" s="622"/>
    </row>
    <row r="198" spans="1:15" ht="14.5">
      <c r="A198" s="627">
        <v>2</v>
      </c>
      <c r="B198" s="595">
        <v>46239</v>
      </c>
      <c r="C198" s="628" t="s">
        <v>623</v>
      </c>
      <c r="D198" s="597">
        <v>2</v>
      </c>
      <c r="E198" s="575" t="s">
        <v>625</v>
      </c>
      <c r="F198" s="597" t="s">
        <v>577</v>
      </c>
      <c r="G198" s="594"/>
      <c r="H198" s="594"/>
      <c r="I198" s="594"/>
      <c r="J198" s="595">
        <v>46239</v>
      </c>
      <c r="K198" s="594"/>
      <c r="L198" s="596"/>
      <c r="M198" s="596"/>
      <c r="N198" s="629" t="s">
        <v>360</v>
      </c>
      <c r="O198" s="622"/>
    </row>
    <row r="199" spans="1:15" ht="14.5">
      <c r="A199" s="627">
        <v>3</v>
      </c>
      <c r="B199" s="595">
        <v>46240</v>
      </c>
      <c r="C199" s="628" t="s">
        <v>623</v>
      </c>
      <c r="D199" s="597">
        <v>2</v>
      </c>
      <c r="E199" s="575" t="s">
        <v>626</v>
      </c>
      <c r="F199" s="597" t="s">
        <v>577</v>
      </c>
      <c r="G199" s="594"/>
      <c r="H199" s="594"/>
      <c r="I199" s="594"/>
      <c r="J199" s="595">
        <v>46240</v>
      </c>
      <c r="K199" s="594"/>
      <c r="L199" s="596"/>
      <c r="M199" s="596"/>
      <c r="N199" s="629" t="s">
        <v>360</v>
      </c>
      <c r="O199" s="622"/>
    </row>
    <row r="200" spans="1:15" ht="14.5">
      <c r="A200" s="627">
        <v>4</v>
      </c>
      <c r="B200" s="630">
        <v>46240</v>
      </c>
      <c r="C200" s="631" t="s">
        <v>623</v>
      </c>
      <c r="D200" s="634">
        <v>3</v>
      </c>
      <c r="E200" s="633" t="s">
        <v>627</v>
      </c>
      <c r="F200" s="634" t="s">
        <v>577</v>
      </c>
      <c r="G200" s="635"/>
      <c r="H200" s="635"/>
      <c r="I200" s="635"/>
      <c r="J200" s="630">
        <v>46240</v>
      </c>
      <c r="K200" s="635"/>
      <c r="L200" s="632"/>
      <c r="M200" s="632"/>
      <c r="N200" s="636" t="s">
        <v>360</v>
      </c>
      <c r="O200" s="622"/>
    </row>
    <row r="201" spans="1:15" ht="14.5">
      <c r="A201" s="627">
        <v>5</v>
      </c>
      <c r="B201" s="595">
        <v>46244</v>
      </c>
      <c r="C201" s="628" t="s">
        <v>623</v>
      </c>
      <c r="D201" s="597">
        <v>3</v>
      </c>
      <c r="E201" s="575" t="s">
        <v>628</v>
      </c>
      <c r="F201" s="597" t="s">
        <v>577</v>
      </c>
      <c r="G201" s="594"/>
      <c r="H201" s="594"/>
      <c r="I201" s="594"/>
      <c r="J201" s="595">
        <v>46244</v>
      </c>
      <c r="K201" s="594"/>
      <c r="L201" s="596"/>
      <c r="M201" s="596"/>
      <c r="N201" s="629" t="s">
        <v>360</v>
      </c>
      <c r="O201" s="622"/>
    </row>
    <row r="202" spans="1:15" ht="14.5">
      <c r="A202" s="627">
        <v>6</v>
      </c>
      <c r="B202" s="595">
        <v>46245</v>
      </c>
      <c r="C202" s="628" t="s">
        <v>623</v>
      </c>
      <c r="D202" s="597">
        <v>3</v>
      </c>
      <c r="E202" s="575" t="s">
        <v>629</v>
      </c>
      <c r="F202" s="597" t="s">
        <v>577</v>
      </c>
      <c r="G202" s="594"/>
      <c r="H202" s="594"/>
      <c r="I202" s="594"/>
      <c r="J202" s="595">
        <v>46245</v>
      </c>
      <c r="K202" s="594"/>
      <c r="L202" s="596"/>
      <c r="M202" s="596"/>
      <c r="N202" s="629" t="s">
        <v>360</v>
      </c>
      <c r="O202" s="622"/>
    </row>
    <row r="203" spans="1:15" ht="14.5">
      <c r="A203" s="627">
        <v>7</v>
      </c>
      <c r="B203" s="595">
        <v>46245</v>
      </c>
      <c r="C203" s="628" t="s">
        <v>623</v>
      </c>
      <c r="D203" s="597">
        <v>3</v>
      </c>
      <c r="E203" s="575" t="s">
        <v>630</v>
      </c>
      <c r="F203" s="597" t="s">
        <v>577</v>
      </c>
      <c r="G203" s="594"/>
      <c r="H203" s="594"/>
      <c r="I203" s="594"/>
      <c r="J203" s="595">
        <v>46245</v>
      </c>
      <c r="K203" s="594"/>
      <c r="L203" s="596"/>
      <c r="M203" s="596"/>
      <c r="N203" s="629" t="s">
        <v>360</v>
      </c>
      <c r="O203" s="622"/>
    </row>
    <row r="204" spans="1:15" ht="14.5">
      <c r="A204" s="627">
        <v>8</v>
      </c>
      <c r="B204" s="595">
        <v>46246</v>
      </c>
      <c r="C204" s="628" t="s">
        <v>623</v>
      </c>
      <c r="D204" s="597" t="s">
        <v>631</v>
      </c>
      <c r="E204" s="575" t="s">
        <v>632</v>
      </c>
      <c r="F204" s="597" t="s">
        <v>577</v>
      </c>
      <c r="G204" s="594"/>
      <c r="H204" s="594"/>
      <c r="I204" s="594"/>
      <c r="J204" s="595">
        <v>46246</v>
      </c>
      <c r="K204" s="594"/>
      <c r="L204" s="596"/>
      <c r="M204" s="596"/>
      <c r="N204" s="629" t="s">
        <v>360</v>
      </c>
      <c r="O204" s="622"/>
    </row>
    <row r="205" spans="1:15" ht="14.5">
      <c r="A205" s="627">
        <v>9</v>
      </c>
      <c r="B205" s="630">
        <v>46247</v>
      </c>
      <c r="C205" s="631" t="s">
        <v>623</v>
      </c>
      <c r="D205" s="634">
        <v>1</v>
      </c>
      <c r="E205" s="633" t="s">
        <v>633</v>
      </c>
      <c r="F205" s="634" t="s">
        <v>577</v>
      </c>
      <c r="G205" s="635"/>
      <c r="H205" s="635"/>
      <c r="I205" s="635"/>
      <c r="J205" s="630">
        <v>46247</v>
      </c>
      <c r="K205" s="635"/>
      <c r="L205" s="632"/>
      <c r="M205" s="632"/>
      <c r="N205" s="636" t="s">
        <v>360</v>
      </c>
      <c r="O205" s="622"/>
    </row>
    <row r="206" spans="1:15" ht="14.5">
      <c r="A206" s="627">
        <v>10</v>
      </c>
      <c r="B206" s="595">
        <v>46248</v>
      </c>
      <c r="C206" s="628" t="s">
        <v>623</v>
      </c>
      <c r="D206" s="597">
        <v>3</v>
      </c>
      <c r="E206" s="575" t="s">
        <v>634</v>
      </c>
      <c r="F206" s="597" t="s">
        <v>577</v>
      </c>
      <c r="G206" s="594"/>
      <c r="H206" s="594"/>
      <c r="I206" s="594"/>
      <c r="J206" s="595">
        <v>46248</v>
      </c>
      <c r="K206" s="594"/>
      <c r="L206" s="596"/>
      <c r="M206" s="596"/>
      <c r="N206" s="629" t="s">
        <v>360</v>
      </c>
      <c r="O206" s="622"/>
    </row>
    <row r="207" spans="1:15" ht="14.5">
      <c r="A207" s="627">
        <v>11</v>
      </c>
      <c r="B207" s="595">
        <v>46252</v>
      </c>
      <c r="C207" s="628" t="s">
        <v>623</v>
      </c>
      <c r="D207" s="597">
        <v>2</v>
      </c>
      <c r="E207" s="623" t="s">
        <v>635</v>
      </c>
      <c r="F207" s="597" t="s">
        <v>577</v>
      </c>
      <c r="G207" s="594"/>
      <c r="H207" s="594"/>
      <c r="I207" s="594"/>
      <c r="J207" s="595">
        <v>46252</v>
      </c>
      <c r="K207" s="594"/>
      <c r="L207" s="596"/>
      <c r="M207" s="596"/>
      <c r="N207" s="629" t="s">
        <v>360</v>
      </c>
    </row>
    <row r="208" spans="1:15" ht="14.5">
      <c r="A208" s="627">
        <v>12</v>
      </c>
      <c r="B208" s="595">
        <v>46253</v>
      </c>
      <c r="C208" s="628" t="s">
        <v>623</v>
      </c>
      <c r="D208" s="597">
        <v>3</v>
      </c>
      <c r="E208" s="575" t="s">
        <v>636</v>
      </c>
      <c r="F208" s="597" t="s">
        <v>577</v>
      </c>
      <c r="G208" s="594"/>
      <c r="H208" s="594"/>
      <c r="I208" s="594"/>
      <c r="J208" s="595">
        <v>46253</v>
      </c>
      <c r="K208" s="594"/>
      <c r="L208" s="596"/>
      <c r="M208" s="596"/>
      <c r="N208" s="629" t="s">
        <v>360</v>
      </c>
    </row>
    <row r="209" spans="1:14" ht="14.5">
      <c r="A209" s="627">
        <v>13</v>
      </c>
      <c r="B209" s="595">
        <v>46254</v>
      </c>
      <c r="C209" s="628" t="s">
        <v>623</v>
      </c>
      <c r="D209" s="597">
        <v>2</v>
      </c>
      <c r="E209" s="575" t="s">
        <v>637</v>
      </c>
      <c r="F209" s="597" t="s">
        <v>577</v>
      </c>
      <c r="G209" s="594"/>
      <c r="H209" s="594"/>
      <c r="I209" s="594"/>
      <c r="J209" s="595">
        <v>46254</v>
      </c>
      <c r="K209" s="594"/>
      <c r="L209" s="596"/>
      <c r="M209" s="596"/>
      <c r="N209" s="629" t="s">
        <v>360</v>
      </c>
    </row>
    <row r="210" spans="1:14" ht="14.5">
      <c r="A210" s="627">
        <v>14</v>
      </c>
      <c r="B210" s="638">
        <v>46255</v>
      </c>
      <c r="C210" s="639" t="s">
        <v>623</v>
      </c>
      <c r="D210" s="642">
        <v>2</v>
      </c>
      <c r="E210" s="641" t="s">
        <v>638</v>
      </c>
      <c r="F210" s="642" t="s">
        <v>577</v>
      </c>
      <c r="G210" s="637"/>
      <c r="H210" s="637"/>
      <c r="I210" s="637"/>
      <c r="J210" s="638">
        <v>46255</v>
      </c>
      <c r="K210" s="637"/>
      <c r="L210" s="640"/>
      <c r="M210" s="640"/>
      <c r="N210" s="643" t="s">
        <v>360</v>
      </c>
    </row>
    <row r="211" spans="1:14" ht="14.5">
      <c r="A211" s="627">
        <v>15</v>
      </c>
      <c r="B211" s="595">
        <v>46258</v>
      </c>
      <c r="C211" s="628" t="s">
        <v>623</v>
      </c>
      <c r="D211" s="597">
        <v>2</v>
      </c>
      <c r="E211" s="575" t="s">
        <v>639</v>
      </c>
      <c r="F211" s="597" t="s">
        <v>577</v>
      </c>
      <c r="G211" s="594"/>
      <c r="H211" s="594"/>
      <c r="I211" s="594"/>
      <c r="J211" s="595">
        <v>46258</v>
      </c>
      <c r="K211" s="594"/>
      <c r="L211" s="596"/>
      <c r="M211" s="596"/>
      <c r="N211" s="629" t="s">
        <v>360</v>
      </c>
    </row>
    <row r="212" spans="1:14" ht="14.5">
      <c r="A212" s="627">
        <v>16</v>
      </c>
      <c r="B212" s="595">
        <v>46260</v>
      </c>
      <c r="C212" s="628" t="s">
        <v>623</v>
      </c>
      <c r="D212" s="597">
        <v>3</v>
      </c>
      <c r="E212" s="575" t="s">
        <v>640</v>
      </c>
      <c r="F212" s="597" t="s">
        <v>577</v>
      </c>
      <c r="G212" s="594"/>
      <c r="H212" s="594"/>
      <c r="I212" s="594"/>
      <c r="J212" s="595">
        <v>46260</v>
      </c>
      <c r="K212" s="594"/>
      <c r="L212" s="596"/>
      <c r="M212" s="596"/>
      <c r="N212" s="629" t="s">
        <v>360</v>
      </c>
    </row>
    <row r="213" spans="1:14" ht="14.5">
      <c r="A213" s="627">
        <v>17</v>
      </c>
      <c r="B213" s="595">
        <v>46261</v>
      </c>
      <c r="C213" s="628" t="s">
        <v>623</v>
      </c>
      <c r="D213" s="597" t="s">
        <v>619</v>
      </c>
      <c r="E213" s="575" t="s">
        <v>641</v>
      </c>
      <c r="F213" s="597" t="s">
        <v>577</v>
      </c>
      <c r="G213" s="594"/>
      <c r="H213" s="594"/>
      <c r="I213" s="594"/>
      <c r="J213" s="595">
        <v>46261</v>
      </c>
      <c r="K213" s="594"/>
      <c r="L213" s="596"/>
      <c r="M213" s="596"/>
      <c r="N213" s="594" t="s">
        <v>360</v>
      </c>
    </row>
  </sheetData>
  <mergeCells count="48">
    <mergeCell ref="A76:H76"/>
    <mergeCell ref="N3:N4"/>
    <mergeCell ref="A1:K1"/>
    <mergeCell ref="A3:A4"/>
    <mergeCell ref="B3:B4"/>
    <mergeCell ref="C3:C4"/>
    <mergeCell ref="D3:D4"/>
    <mergeCell ref="E3:E4"/>
    <mergeCell ref="F3:I3"/>
    <mergeCell ref="J3:J4"/>
    <mergeCell ref="K3:M3"/>
    <mergeCell ref="A2:H2"/>
    <mergeCell ref="E128:E129"/>
    <mergeCell ref="N77:N78"/>
    <mergeCell ref="A77:A78"/>
    <mergeCell ref="B77:B78"/>
    <mergeCell ref="C77:C78"/>
    <mergeCell ref="D77:D78"/>
    <mergeCell ref="E77:E78"/>
    <mergeCell ref="F77:I77"/>
    <mergeCell ref="J77:J78"/>
    <mergeCell ref="K77:M77"/>
    <mergeCell ref="F128:I128"/>
    <mergeCell ref="A127:H127"/>
    <mergeCell ref="N159:N160"/>
    <mergeCell ref="J159:J160"/>
    <mergeCell ref="K159:M159"/>
    <mergeCell ref="A159:A160"/>
    <mergeCell ref="B159:B160"/>
    <mergeCell ref="C159:C160"/>
    <mergeCell ref="D159:D160"/>
    <mergeCell ref="E159:E160"/>
    <mergeCell ref="F159:I159"/>
    <mergeCell ref="A158:H158"/>
    <mergeCell ref="A128:A129"/>
    <mergeCell ref="B128:B129"/>
    <mergeCell ref="C128:C129"/>
    <mergeCell ref="D128:D129"/>
    <mergeCell ref="A194:H194"/>
    <mergeCell ref="N195:N196"/>
    <mergeCell ref="A195:A196"/>
    <mergeCell ref="B195:B196"/>
    <mergeCell ref="C195:C196"/>
    <mergeCell ref="D195:D196"/>
    <mergeCell ref="E195:E196"/>
    <mergeCell ref="F195:I195"/>
    <mergeCell ref="J195:J196"/>
    <mergeCell ref="K195:M19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775A-E17D-408D-AD57-AD95C078ED9A}">
  <dimension ref="A1:V599"/>
  <sheetViews>
    <sheetView showGridLines="0" topLeftCell="A276" workbookViewId="0">
      <selection activeCell="C455" sqref="C455"/>
    </sheetView>
  </sheetViews>
  <sheetFormatPr defaultRowHeight="15"/>
  <cols>
    <col min="1" max="1" width="9.453125" style="726" customWidth="1"/>
    <col min="2" max="2" width="15.08984375" bestFit="1" customWidth="1"/>
    <col min="3" max="3" width="10.7265625" bestFit="1" customWidth="1"/>
    <col min="4" max="5" width="9.453125" customWidth="1"/>
    <col min="6" max="6" width="12.36328125" customWidth="1"/>
    <col min="7" max="21" width="9.453125" customWidth="1"/>
  </cols>
  <sheetData>
    <row r="1" spans="1:21" s="3" customFormat="1" ht="46.5">
      <c r="A1" s="689" t="s">
        <v>670</v>
      </c>
      <c r="B1" s="689" t="s">
        <v>671</v>
      </c>
      <c r="C1" s="689" t="s">
        <v>672</v>
      </c>
      <c r="D1" s="689" t="s">
        <v>673</v>
      </c>
      <c r="E1" s="689" t="s">
        <v>674</v>
      </c>
      <c r="F1" s="689" t="s">
        <v>675</v>
      </c>
      <c r="G1" s="690" t="s">
        <v>676</v>
      </c>
      <c r="H1" s="690" t="s">
        <v>677</v>
      </c>
      <c r="I1" s="691" t="s">
        <v>678</v>
      </c>
      <c r="J1" s="691" t="s">
        <v>679</v>
      </c>
      <c r="K1" s="691" t="s">
        <v>680</v>
      </c>
      <c r="L1" s="691" t="s">
        <v>681</v>
      </c>
      <c r="M1" s="689" t="s">
        <v>682</v>
      </c>
      <c r="N1" s="689" t="s">
        <v>683</v>
      </c>
      <c r="O1" s="692" t="s">
        <v>684</v>
      </c>
      <c r="P1" s="692" t="s">
        <v>685</v>
      </c>
      <c r="Q1" s="693" t="s">
        <v>686</v>
      </c>
      <c r="R1" s="694" t="s">
        <v>687</v>
      </c>
      <c r="S1" s="695" t="s">
        <v>688</v>
      </c>
      <c r="T1" s="694" t="s">
        <v>689</v>
      </c>
      <c r="U1" s="696" t="s">
        <v>690</v>
      </c>
    </row>
    <row r="2" spans="1:21">
      <c r="A2" s="725" t="s">
        <v>1251</v>
      </c>
      <c r="B2" s="724"/>
      <c r="C2" s="721"/>
      <c r="D2" s="699"/>
      <c r="E2" s="721"/>
      <c r="F2" s="721"/>
      <c r="G2" s="721"/>
      <c r="H2" s="721"/>
      <c r="I2" s="721"/>
      <c r="J2" s="721"/>
      <c r="K2" s="721" t="s">
        <v>54</v>
      </c>
      <c r="L2" s="721"/>
      <c r="M2" s="721" t="s">
        <v>54</v>
      </c>
      <c r="N2" s="721"/>
      <c r="O2" s="722"/>
      <c r="P2" s="722"/>
      <c r="Q2" s="704"/>
      <c r="R2" s="721"/>
      <c r="S2" s="723"/>
      <c r="T2" s="721"/>
      <c r="U2" s="721"/>
    </row>
    <row r="3" spans="1:21" ht="14.5">
      <c r="A3" s="697">
        <v>46235</v>
      </c>
      <c r="B3" s="698" t="s">
        <v>691</v>
      </c>
      <c r="C3" s="698" t="s">
        <v>692</v>
      </c>
      <c r="D3" s="698"/>
      <c r="E3" s="698" t="s">
        <v>693</v>
      </c>
      <c r="F3" s="700">
        <v>0.33333333333333298</v>
      </c>
      <c r="G3" s="700"/>
      <c r="H3" s="700"/>
      <c r="I3" s="701">
        <v>540</v>
      </c>
      <c r="J3" s="698">
        <v>0</v>
      </c>
      <c r="K3" s="702">
        <v>-9</v>
      </c>
      <c r="L3" s="703">
        <v>0</v>
      </c>
      <c r="M3" s="698" t="s">
        <v>694</v>
      </c>
      <c r="N3" s="698"/>
      <c r="O3" s="706"/>
      <c r="P3" s="706"/>
      <c r="Q3" s="704">
        <v>0</v>
      </c>
      <c r="R3" s="698" t="s">
        <v>695</v>
      </c>
      <c r="S3" s="705"/>
      <c r="T3" s="698"/>
      <c r="U3" s="698"/>
    </row>
    <row r="4" spans="1:21" ht="14.5">
      <c r="A4" s="697"/>
      <c r="B4" s="698" t="s">
        <v>696</v>
      </c>
      <c r="C4" s="698" t="s">
        <v>697</v>
      </c>
      <c r="D4" s="698"/>
      <c r="E4" s="698" t="s">
        <v>693</v>
      </c>
      <c r="F4" s="700">
        <v>0.33333333333333298</v>
      </c>
      <c r="G4" s="700"/>
      <c r="H4" s="700"/>
      <c r="I4" s="701">
        <v>540</v>
      </c>
      <c r="J4" s="698">
        <v>0</v>
      </c>
      <c r="K4" s="702">
        <v>-9</v>
      </c>
      <c r="L4" s="703">
        <v>0</v>
      </c>
      <c r="M4" s="698" t="s">
        <v>694</v>
      </c>
      <c r="N4" s="698"/>
      <c r="O4" s="706"/>
      <c r="P4" s="706"/>
      <c r="Q4" s="704">
        <v>0</v>
      </c>
      <c r="R4" s="698" t="s">
        <v>695</v>
      </c>
      <c r="S4" s="705"/>
      <c r="T4" s="698"/>
      <c r="U4" s="698"/>
    </row>
    <row r="5" spans="1:21" ht="14.5">
      <c r="A5" s="697"/>
      <c r="B5" s="698" t="s">
        <v>698</v>
      </c>
      <c r="C5" s="698" t="s">
        <v>699</v>
      </c>
      <c r="D5" s="698"/>
      <c r="E5" s="698" t="s">
        <v>700</v>
      </c>
      <c r="F5" s="700">
        <v>0.33333333333333298</v>
      </c>
      <c r="G5" s="700"/>
      <c r="H5" s="700"/>
      <c r="I5" s="701">
        <v>540</v>
      </c>
      <c r="J5" s="698">
        <v>0</v>
      </c>
      <c r="K5" s="702">
        <v>-9</v>
      </c>
      <c r="L5" s="703">
        <v>0</v>
      </c>
      <c r="M5" s="698" t="s">
        <v>694</v>
      </c>
      <c r="N5" s="698"/>
      <c r="O5" s="706"/>
      <c r="P5" s="706"/>
      <c r="Q5" s="704">
        <v>0</v>
      </c>
      <c r="R5" s="698" t="s">
        <v>701</v>
      </c>
      <c r="S5" s="705"/>
      <c r="T5" s="698"/>
      <c r="U5" s="698"/>
    </row>
    <row r="6" spans="1:21" ht="14.5">
      <c r="A6" s="697"/>
      <c r="B6" s="698" t="s">
        <v>702</v>
      </c>
      <c r="C6" s="698" t="s">
        <v>703</v>
      </c>
      <c r="D6" s="698"/>
      <c r="E6" s="698" t="s">
        <v>693</v>
      </c>
      <c r="F6" s="700">
        <v>0.33333333333333298</v>
      </c>
      <c r="G6" s="700"/>
      <c r="H6" s="700"/>
      <c r="I6" s="701">
        <v>540</v>
      </c>
      <c r="J6" s="698">
        <v>0</v>
      </c>
      <c r="K6" s="702">
        <v>-9</v>
      </c>
      <c r="L6" s="703">
        <v>0</v>
      </c>
      <c r="M6" s="698" t="s">
        <v>694</v>
      </c>
      <c r="N6" s="698"/>
      <c r="O6" s="706"/>
      <c r="P6" s="706"/>
      <c r="Q6" s="704">
        <v>0</v>
      </c>
      <c r="R6" s="698" t="s">
        <v>701</v>
      </c>
      <c r="S6" s="705"/>
      <c r="T6" s="698"/>
      <c r="U6" s="698"/>
    </row>
    <row r="7" spans="1:21" ht="14.5">
      <c r="A7" s="697"/>
      <c r="B7" s="698" t="s">
        <v>704</v>
      </c>
      <c r="C7" s="698" t="s">
        <v>705</v>
      </c>
      <c r="D7" s="698"/>
      <c r="E7" s="698" t="s">
        <v>693</v>
      </c>
      <c r="F7" s="700">
        <v>0.33333333333333298</v>
      </c>
      <c r="G7" s="700"/>
      <c r="H7" s="700"/>
      <c r="I7" s="701">
        <v>540</v>
      </c>
      <c r="J7" s="698">
        <v>0</v>
      </c>
      <c r="K7" s="702">
        <v>-9</v>
      </c>
      <c r="L7" s="703">
        <v>0</v>
      </c>
      <c r="M7" s="698" t="s">
        <v>694</v>
      </c>
      <c r="N7" s="698"/>
      <c r="O7" s="706"/>
      <c r="P7" s="706"/>
      <c r="Q7" s="704">
        <v>0</v>
      </c>
      <c r="R7" s="698" t="s">
        <v>701</v>
      </c>
      <c r="S7" s="705"/>
      <c r="T7" s="698"/>
      <c r="U7" s="698"/>
    </row>
    <row r="8" spans="1:21" ht="14.5">
      <c r="A8" s="697"/>
      <c r="B8" s="698" t="s">
        <v>706</v>
      </c>
      <c r="C8" s="698" t="s">
        <v>707</v>
      </c>
      <c r="D8" s="698"/>
      <c r="E8" s="698" t="s">
        <v>693</v>
      </c>
      <c r="F8" s="700">
        <v>0.33333333333333298</v>
      </c>
      <c r="G8" s="700"/>
      <c r="H8" s="700"/>
      <c r="I8" s="701">
        <v>540</v>
      </c>
      <c r="J8" s="698">
        <v>0</v>
      </c>
      <c r="K8" s="702">
        <v>-9</v>
      </c>
      <c r="L8" s="703">
        <v>0</v>
      </c>
      <c r="M8" s="698" t="s">
        <v>694</v>
      </c>
      <c r="N8" s="698"/>
      <c r="O8" s="706"/>
      <c r="P8" s="706"/>
      <c r="Q8" s="704">
        <v>0</v>
      </c>
      <c r="R8" s="698" t="s">
        <v>701</v>
      </c>
      <c r="S8" s="705"/>
      <c r="T8" s="698"/>
      <c r="U8" s="698"/>
    </row>
    <row r="9" spans="1:21" ht="14.5">
      <c r="A9" s="697"/>
      <c r="B9" s="698" t="s">
        <v>708</v>
      </c>
      <c r="C9" s="698" t="s">
        <v>709</v>
      </c>
      <c r="D9" s="698"/>
      <c r="E9" s="698" t="s">
        <v>710</v>
      </c>
      <c r="F9" s="700">
        <v>0.33333333333333298</v>
      </c>
      <c r="G9" s="700"/>
      <c r="H9" s="700"/>
      <c r="I9" s="701">
        <v>540</v>
      </c>
      <c r="J9" s="698">
        <v>0</v>
      </c>
      <c r="K9" s="702">
        <v>-9</v>
      </c>
      <c r="L9" s="703">
        <v>0</v>
      </c>
      <c r="M9" s="698" t="s">
        <v>694</v>
      </c>
      <c r="N9" s="698" t="s">
        <v>711</v>
      </c>
      <c r="O9" s="706"/>
      <c r="P9" s="706"/>
      <c r="Q9" s="704">
        <v>0</v>
      </c>
      <c r="R9" s="698" t="s">
        <v>695</v>
      </c>
      <c r="S9" s="705"/>
      <c r="T9" s="698"/>
      <c r="U9" s="698"/>
    </row>
    <row r="10" spans="1:21" ht="14.5">
      <c r="A10" s="697"/>
      <c r="B10" s="698" t="s">
        <v>712</v>
      </c>
      <c r="C10" s="698" t="s">
        <v>713</v>
      </c>
      <c r="D10" s="698"/>
      <c r="E10" s="698" t="s">
        <v>169</v>
      </c>
      <c r="F10" s="700">
        <v>0.33333333333333298</v>
      </c>
      <c r="G10" s="700"/>
      <c r="H10" s="700"/>
      <c r="I10" s="701">
        <v>540</v>
      </c>
      <c r="J10" s="698">
        <v>0</v>
      </c>
      <c r="K10" s="702">
        <v>-9</v>
      </c>
      <c r="L10" s="703">
        <v>0</v>
      </c>
      <c r="M10" s="698" t="s">
        <v>694</v>
      </c>
      <c r="N10" s="698" t="s">
        <v>714</v>
      </c>
      <c r="O10" s="706"/>
      <c r="P10" s="706"/>
      <c r="Q10" s="704">
        <v>0</v>
      </c>
      <c r="R10" s="698" t="s">
        <v>695</v>
      </c>
      <c r="S10" s="705"/>
      <c r="T10" s="698"/>
      <c r="U10" s="698"/>
    </row>
    <row r="11" spans="1:21" ht="14.5">
      <c r="A11" s="697"/>
      <c r="B11" s="698" t="s">
        <v>715</v>
      </c>
      <c r="C11" s="698" t="s">
        <v>716</v>
      </c>
      <c r="D11" s="707"/>
      <c r="E11" s="698" t="s">
        <v>190</v>
      </c>
      <c r="F11" s="700">
        <v>0.33333333333333298</v>
      </c>
      <c r="G11" s="700"/>
      <c r="H11" s="700"/>
      <c r="I11" s="701">
        <v>540</v>
      </c>
      <c r="J11" s="698">
        <v>0</v>
      </c>
      <c r="K11" s="702">
        <v>-9</v>
      </c>
      <c r="L11" s="703">
        <v>0</v>
      </c>
      <c r="M11" s="698" t="s">
        <v>694</v>
      </c>
      <c r="N11" s="698" t="s">
        <v>717</v>
      </c>
      <c r="O11" s="706"/>
      <c r="P11" s="706"/>
      <c r="Q11" s="704">
        <v>0</v>
      </c>
      <c r="R11" s="698" t="s">
        <v>695</v>
      </c>
      <c r="S11" s="705"/>
      <c r="T11" s="698"/>
      <c r="U11" s="698"/>
    </row>
    <row r="12" spans="1:21" ht="14.5">
      <c r="A12" s="697"/>
      <c r="B12" s="707" t="s">
        <v>718</v>
      </c>
      <c r="C12" s="707" t="s">
        <v>719</v>
      </c>
      <c r="D12" s="707"/>
      <c r="E12" s="707" t="s">
        <v>720</v>
      </c>
      <c r="F12" s="700">
        <v>0.33333333333333298</v>
      </c>
      <c r="G12" s="700"/>
      <c r="H12" s="700"/>
      <c r="I12" s="701">
        <v>540</v>
      </c>
      <c r="J12" s="698">
        <v>0</v>
      </c>
      <c r="K12" s="702">
        <v>-9</v>
      </c>
      <c r="L12" s="703">
        <v>0</v>
      </c>
      <c r="M12" s="698" t="s">
        <v>694</v>
      </c>
      <c r="N12" s="707" t="s">
        <v>721</v>
      </c>
      <c r="O12" s="708"/>
      <c r="P12" s="708"/>
      <c r="Q12" s="704">
        <v>0</v>
      </c>
      <c r="R12" s="707" t="s">
        <v>701</v>
      </c>
      <c r="S12" s="709"/>
      <c r="T12" s="707"/>
      <c r="U12" s="707"/>
    </row>
    <row r="13" spans="1:21" ht="14.5">
      <c r="A13" s="697"/>
      <c r="B13" s="707" t="s">
        <v>722</v>
      </c>
      <c r="C13" s="707" t="s">
        <v>723</v>
      </c>
      <c r="D13" s="707" t="s">
        <v>724</v>
      </c>
      <c r="E13" s="707" t="s">
        <v>725</v>
      </c>
      <c r="F13" s="700">
        <v>0.33333333333333298</v>
      </c>
      <c r="G13" s="700">
        <v>0.27083333333333331</v>
      </c>
      <c r="H13" s="700">
        <v>0.70833333333333337</v>
      </c>
      <c r="I13" s="701">
        <v>540</v>
      </c>
      <c r="J13" s="698">
        <v>630.00000000000011</v>
      </c>
      <c r="K13" s="702">
        <v>1.500000000000002</v>
      </c>
      <c r="L13" s="703">
        <v>10.500000000000002</v>
      </c>
      <c r="M13" s="698" t="s">
        <v>726</v>
      </c>
      <c r="N13" s="707" t="s">
        <v>727</v>
      </c>
      <c r="O13" s="708">
        <v>29818</v>
      </c>
      <c r="P13" s="708">
        <v>29882</v>
      </c>
      <c r="Q13" s="704">
        <v>64</v>
      </c>
      <c r="R13" s="707" t="s">
        <v>695</v>
      </c>
      <c r="S13" s="709"/>
      <c r="T13" s="707" t="s">
        <v>728</v>
      </c>
      <c r="U13" s="707" t="s">
        <v>729</v>
      </c>
    </row>
    <row r="14" spans="1:21" ht="14.5">
      <c r="A14" s="697"/>
      <c r="B14" s="707" t="s">
        <v>730</v>
      </c>
      <c r="C14" s="707" t="s">
        <v>731</v>
      </c>
      <c r="D14" s="711"/>
      <c r="E14" s="707" t="s">
        <v>732</v>
      </c>
      <c r="F14" s="700">
        <v>0.33333333333333298</v>
      </c>
      <c r="G14" s="700"/>
      <c r="H14" s="700"/>
      <c r="I14" s="701">
        <v>540</v>
      </c>
      <c r="J14" s="698">
        <v>0</v>
      </c>
      <c r="K14" s="702">
        <v>-9</v>
      </c>
      <c r="L14" s="703">
        <v>0</v>
      </c>
      <c r="M14" s="698" t="s">
        <v>694</v>
      </c>
      <c r="N14" s="707" t="s">
        <v>733</v>
      </c>
      <c r="O14" s="708"/>
      <c r="P14" s="708"/>
      <c r="Q14" s="704">
        <v>0</v>
      </c>
      <c r="R14" s="707" t="s">
        <v>701</v>
      </c>
      <c r="S14" s="709"/>
      <c r="T14" s="707"/>
      <c r="U14" s="707"/>
    </row>
    <row r="15" spans="1:21" ht="14.5">
      <c r="A15" s="697"/>
      <c r="B15" s="710" t="s">
        <v>734</v>
      </c>
      <c r="C15" s="711" t="s">
        <v>735</v>
      </c>
      <c r="D15" s="714"/>
      <c r="E15" s="711" t="s">
        <v>89</v>
      </c>
      <c r="F15" s="712">
        <v>0.33333333333333298</v>
      </c>
      <c r="G15" s="712"/>
      <c r="H15" s="712"/>
      <c r="I15" s="713">
        <v>540</v>
      </c>
      <c r="J15" s="714">
        <v>0</v>
      </c>
      <c r="K15" s="715">
        <v>-9</v>
      </c>
      <c r="L15" s="716">
        <v>0</v>
      </c>
      <c r="M15" s="714" t="s">
        <v>694</v>
      </c>
      <c r="N15" s="711" t="s">
        <v>736</v>
      </c>
      <c r="O15" s="717"/>
      <c r="P15" s="717"/>
      <c r="Q15" s="704">
        <v>0</v>
      </c>
      <c r="R15" s="711" t="s">
        <v>701</v>
      </c>
      <c r="S15" s="718"/>
      <c r="T15" s="711"/>
      <c r="U15" s="711"/>
    </row>
    <row r="16" spans="1:21" ht="14.5">
      <c r="A16" s="697"/>
      <c r="B16" s="714" t="s">
        <v>737</v>
      </c>
      <c r="C16" s="714" t="s">
        <v>738</v>
      </c>
      <c r="D16" s="707"/>
      <c r="E16" s="714"/>
      <c r="F16" s="712">
        <v>0.33333333333333298</v>
      </c>
      <c r="G16" s="712"/>
      <c r="H16" s="712"/>
      <c r="I16" s="713">
        <v>540</v>
      </c>
      <c r="J16" s="714">
        <v>0</v>
      </c>
      <c r="K16" s="715">
        <v>-9</v>
      </c>
      <c r="L16" s="716">
        <v>0</v>
      </c>
      <c r="M16" s="714" t="s">
        <v>694</v>
      </c>
      <c r="N16" s="714"/>
      <c r="O16" s="719"/>
      <c r="P16" s="719"/>
      <c r="Q16" s="704">
        <v>0</v>
      </c>
      <c r="R16" s="714" t="s">
        <v>695</v>
      </c>
      <c r="S16" s="720"/>
      <c r="T16" s="714"/>
      <c r="U16" s="714" t="s">
        <v>739</v>
      </c>
    </row>
    <row r="17" spans="1:21" ht="14.5">
      <c r="A17" s="697"/>
      <c r="B17" s="707"/>
      <c r="C17" s="707" t="s">
        <v>740</v>
      </c>
      <c r="D17" s="707" t="s">
        <v>54</v>
      </c>
      <c r="E17" s="707" t="s">
        <v>741</v>
      </c>
      <c r="F17" s="700">
        <v>0.33333333333333298</v>
      </c>
      <c r="G17" s="700"/>
      <c r="H17" s="700"/>
      <c r="I17" s="701">
        <v>540</v>
      </c>
      <c r="J17" s="698">
        <v>0</v>
      </c>
      <c r="K17" s="702">
        <v>-9</v>
      </c>
      <c r="L17" s="703">
        <v>0</v>
      </c>
      <c r="M17" s="698" t="s">
        <v>694</v>
      </c>
      <c r="N17" s="707"/>
      <c r="O17" s="708"/>
      <c r="P17" s="708"/>
      <c r="Q17" s="704">
        <v>0</v>
      </c>
      <c r="R17" s="707" t="s">
        <v>742</v>
      </c>
      <c r="S17" s="709"/>
      <c r="T17" s="707"/>
      <c r="U17" s="707"/>
    </row>
    <row r="18" spans="1:21" ht="14.5">
      <c r="A18" s="697"/>
      <c r="B18" s="707" t="s">
        <v>54</v>
      </c>
      <c r="C18" s="707" t="s">
        <v>743</v>
      </c>
      <c r="D18" s="698"/>
      <c r="E18" s="707" t="s">
        <v>744</v>
      </c>
      <c r="F18" s="700">
        <v>0.33333333333333298</v>
      </c>
      <c r="G18" s="700"/>
      <c r="H18" s="700"/>
      <c r="I18" s="701">
        <v>540</v>
      </c>
      <c r="J18" s="698">
        <v>0</v>
      </c>
      <c r="K18" s="702">
        <v>-9</v>
      </c>
      <c r="L18" s="703">
        <v>0</v>
      </c>
      <c r="M18" s="698" t="s">
        <v>694</v>
      </c>
      <c r="N18" s="707"/>
      <c r="O18" s="708"/>
      <c r="P18" s="708"/>
      <c r="Q18" s="704">
        <v>0</v>
      </c>
      <c r="R18" s="707" t="s">
        <v>742</v>
      </c>
      <c r="S18" s="709"/>
      <c r="T18" s="707"/>
      <c r="U18" s="707"/>
    </row>
    <row r="19" spans="1:21" ht="14.5">
      <c r="A19" s="697"/>
      <c r="B19" s="698" t="s">
        <v>745</v>
      </c>
      <c r="C19" s="698"/>
      <c r="D19" s="698"/>
      <c r="E19" s="698"/>
      <c r="F19" s="700">
        <v>0.33333333333333298</v>
      </c>
      <c r="G19" s="700"/>
      <c r="H19" s="700"/>
      <c r="I19" s="701">
        <v>540</v>
      </c>
      <c r="J19" s="698">
        <v>0</v>
      </c>
      <c r="K19" s="702">
        <v>-9</v>
      </c>
      <c r="L19" s="703">
        <v>0</v>
      </c>
      <c r="M19" s="698" t="s">
        <v>694</v>
      </c>
      <c r="N19" s="698"/>
      <c r="O19" s="706"/>
      <c r="P19" s="706"/>
      <c r="Q19" s="704">
        <v>0</v>
      </c>
      <c r="R19" s="698"/>
      <c r="S19" s="705"/>
      <c r="T19" s="698"/>
      <c r="U19" s="698"/>
    </row>
    <row r="20" spans="1:21" ht="14.5">
      <c r="A20" s="697"/>
      <c r="B20" s="698" t="s">
        <v>746</v>
      </c>
      <c r="C20" s="698" t="s">
        <v>747</v>
      </c>
      <c r="D20" s="707"/>
      <c r="E20" s="698" t="s">
        <v>190</v>
      </c>
      <c r="F20" s="700">
        <v>0.33333333333333298</v>
      </c>
      <c r="G20" s="700"/>
      <c r="H20" s="700"/>
      <c r="I20" s="701">
        <v>540</v>
      </c>
      <c r="J20" s="698">
        <v>0</v>
      </c>
      <c r="K20" s="702">
        <v>-9</v>
      </c>
      <c r="L20" s="703">
        <v>0</v>
      </c>
      <c r="M20" s="698" t="s">
        <v>694</v>
      </c>
      <c r="N20" s="698"/>
      <c r="O20" s="706"/>
      <c r="P20" s="706"/>
      <c r="Q20" s="704">
        <v>0</v>
      </c>
      <c r="R20" s="698" t="s">
        <v>701</v>
      </c>
      <c r="S20" s="705"/>
      <c r="T20" s="698"/>
      <c r="U20" s="698"/>
    </row>
    <row r="21" spans="1:21" ht="14.5">
      <c r="A21" s="697"/>
      <c r="B21" s="707" t="s">
        <v>748</v>
      </c>
      <c r="C21" s="707" t="s">
        <v>749</v>
      </c>
      <c r="D21" s="707"/>
      <c r="E21" s="707" t="s">
        <v>278</v>
      </c>
      <c r="F21" s="700">
        <v>0.33333333333333298</v>
      </c>
      <c r="G21" s="700"/>
      <c r="H21" s="700"/>
      <c r="I21" s="701">
        <v>540</v>
      </c>
      <c r="J21" s="698">
        <v>0</v>
      </c>
      <c r="K21" s="702">
        <v>-9</v>
      </c>
      <c r="L21" s="703">
        <v>0</v>
      </c>
      <c r="M21" s="698" t="s">
        <v>694</v>
      </c>
      <c r="N21" s="707"/>
      <c r="O21" s="708"/>
      <c r="P21" s="708"/>
      <c r="Q21" s="704">
        <v>0</v>
      </c>
      <c r="R21" s="707" t="s">
        <v>695</v>
      </c>
      <c r="S21" s="709"/>
      <c r="T21" s="707"/>
      <c r="U21" s="707"/>
    </row>
    <row r="22" spans="1:21" ht="14.5">
      <c r="A22" s="697"/>
      <c r="B22" s="707" t="s">
        <v>750</v>
      </c>
      <c r="C22" s="707"/>
      <c r="D22" s="707"/>
      <c r="E22" s="707"/>
      <c r="F22" s="700">
        <v>0.33333333333333298</v>
      </c>
      <c r="G22" s="700"/>
      <c r="H22" s="700"/>
      <c r="I22" s="701">
        <v>540</v>
      </c>
      <c r="J22" s="698">
        <v>0</v>
      </c>
      <c r="K22" s="702">
        <v>-9</v>
      </c>
      <c r="L22" s="703">
        <v>0</v>
      </c>
      <c r="M22" s="698" t="s">
        <v>694</v>
      </c>
      <c r="N22" s="707"/>
      <c r="O22" s="708"/>
      <c r="P22" s="708"/>
      <c r="Q22" s="704">
        <v>0</v>
      </c>
      <c r="R22" s="707"/>
      <c r="S22" s="709"/>
      <c r="T22" s="707"/>
      <c r="U22" s="707"/>
    </row>
    <row r="23" spans="1:21" ht="14.5">
      <c r="A23" s="697"/>
      <c r="B23" s="707" t="s">
        <v>751</v>
      </c>
      <c r="C23" s="707" t="s">
        <v>752</v>
      </c>
      <c r="D23" s="711" t="s">
        <v>54</v>
      </c>
      <c r="E23" s="707" t="s">
        <v>753</v>
      </c>
      <c r="F23" s="700">
        <v>0.33333333333333298</v>
      </c>
      <c r="G23" s="700"/>
      <c r="H23" s="700"/>
      <c r="I23" s="701">
        <v>540</v>
      </c>
      <c r="J23" s="698">
        <v>0</v>
      </c>
      <c r="K23" s="702">
        <v>-9</v>
      </c>
      <c r="L23" s="703">
        <v>0</v>
      </c>
      <c r="M23" s="698" t="s">
        <v>694</v>
      </c>
      <c r="N23" s="707"/>
      <c r="O23" s="708"/>
      <c r="P23" s="708"/>
      <c r="Q23" s="704">
        <v>0</v>
      </c>
      <c r="R23" s="707" t="s">
        <v>701</v>
      </c>
      <c r="S23" s="709"/>
      <c r="T23" s="707"/>
      <c r="U23" s="707"/>
    </row>
    <row r="24" spans="1:21">
      <c r="A24" s="697"/>
      <c r="B24" s="710" t="s">
        <v>754</v>
      </c>
      <c r="C24" s="711" t="s">
        <v>755</v>
      </c>
      <c r="D24" s="721" t="s">
        <v>54</v>
      </c>
      <c r="E24" s="711" t="s">
        <v>190</v>
      </c>
      <c r="F24" s="712">
        <v>0.33333333333333298</v>
      </c>
      <c r="G24" s="712"/>
      <c r="H24" s="712"/>
      <c r="I24" s="713">
        <v>540</v>
      </c>
      <c r="J24" s="714">
        <v>0</v>
      </c>
      <c r="K24" s="715">
        <v>-9</v>
      </c>
      <c r="L24" s="716">
        <v>0</v>
      </c>
      <c r="M24" s="714" t="s">
        <v>694</v>
      </c>
      <c r="N24" s="711"/>
      <c r="O24" s="717"/>
      <c r="P24" s="717"/>
      <c r="Q24" s="704">
        <v>0</v>
      </c>
      <c r="R24" s="711" t="s">
        <v>701</v>
      </c>
      <c r="S24" s="718"/>
      <c r="T24" s="711"/>
      <c r="U24" s="711"/>
    </row>
    <row r="25" spans="1:21">
      <c r="A25" s="697"/>
      <c r="B25" s="721" t="s">
        <v>54</v>
      </c>
      <c r="C25" s="721"/>
      <c r="D25" s="699" t="s">
        <v>54</v>
      </c>
      <c r="E25" s="721"/>
      <c r="F25" s="721"/>
      <c r="G25" s="721"/>
      <c r="H25" s="721"/>
      <c r="I25" s="721"/>
      <c r="J25" s="721"/>
      <c r="K25" s="721"/>
      <c r="L25" s="721"/>
      <c r="M25" s="721" t="s">
        <v>54</v>
      </c>
      <c r="N25" s="721"/>
      <c r="O25" s="722"/>
      <c r="P25" s="722"/>
      <c r="Q25" s="704"/>
      <c r="R25" s="721"/>
      <c r="S25" s="723"/>
      <c r="T25" s="721"/>
      <c r="U25" s="721"/>
    </row>
    <row r="26" spans="1:21" ht="14.5">
      <c r="A26" s="697">
        <v>46236</v>
      </c>
      <c r="B26" s="698" t="s">
        <v>691</v>
      </c>
      <c r="C26" s="698" t="s">
        <v>692</v>
      </c>
      <c r="D26" s="698"/>
      <c r="E26" s="698" t="s">
        <v>756</v>
      </c>
      <c r="F26" s="700">
        <v>0.33333333333333298</v>
      </c>
      <c r="G26" s="700"/>
      <c r="H26" s="700"/>
      <c r="I26" s="701">
        <v>540</v>
      </c>
      <c r="J26" s="698">
        <v>0</v>
      </c>
      <c r="K26" s="702">
        <v>-9</v>
      </c>
      <c r="L26" s="703">
        <v>0</v>
      </c>
      <c r="M26" s="698" t="s">
        <v>694</v>
      </c>
      <c r="N26" s="698"/>
      <c r="O26" s="706"/>
      <c r="P26" s="706"/>
      <c r="Q26" s="704">
        <v>0</v>
      </c>
      <c r="R26" s="698" t="s">
        <v>695</v>
      </c>
      <c r="S26" s="705"/>
      <c r="T26" s="698"/>
      <c r="U26" s="698"/>
    </row>
    <row r="27" spans="1:21" ht="14.5">
      <c r="A27" s="697"/>
      <c r="B27" s="698" t="s">
        <v>696</v>
      </c>
      <c r="C27" s="698" t="s">
        <v>697</v>
      </c>
      <c r="D27" s="698"/>
      <c r="E27" s="698" t="s">
        <v>693</v>
      </c>
      <c r="F27" s="700">
        <v>0.33333333333333298</v>
      </c>
      <c r="G27" s="700"/>
      <c r="H27" s="700"/>
      <c r="I27" s="701">
        <v>540</v>
      </c>
      <c r="J27" s="698">
        <v>0</v>
      </c>
      <c r="K27" s="702">
        <v>-9</v>
      </c>
      <c r="L27" s="703">
        <v>0</v>
      </c>
      <c r="M27" s="698" t="s">
        <v>694</v>
      </c>
      <c r="N27" s="698"/>
      <c r="O27" s="706"/>
      <c r="P27" s="706"/>
      <c r="Q27" s="704">
        <v>0</v>
      </c>
      <c r="R27" s="698" t="s">
        <v>695</v>
      </c>
      <c r="S27" s="705"/>
      <c r="T27" s="698"/>
      <c r="U27" s="698"/>
    </row>
    <row r="28" spans="1:21" ht="14.5">
      <c r="A28" s="697"/>
      <c r="B28" s="698" t="s">
        <v>698</v>
      </c>
      <c r="C28" s="698" t="s">
        <v>699</v>
      </c>
      <c r="D28" s="698"/>
      <c r="E28" s="698" t="s">
        <v>700</v>
      </c>
      <c r="F28" s="700">
        <v>0.33333333333333298</v>
      </c>
      <c r="G28" s="700"/>
      <c r="H28" s="700"/>
      <c r="I28" s="701">
        <v>540</v>
      </c>
      <c r="J28" s="698">
        <v>0</v>
      </c>
      <c r="K28" s="702">
        <v>-9</v>
      </c>
      <c r="L28" s="703">
        <v>0</v>
      </c>
      <c r="M28" s="698" t="s">
        <v>694</v>
      </c>
      <c r="N28" s="698"/>
      <c r="O28" s="706"/>
      <c r="P28" s="706"/>
      <c r="Q28" s="704">
        <v>0</v>
      </c>
      <c r="R28" s="698" t="s">
        <v>701</v>
      </c>
      <c r="S28" s="705"/>
      <c r="T28" s="698"/>
      <c r="U28" s="698"/>
    </row>
    <row r="29" spans="1:21" ht="14.5">
      <c r="A29" s="697"/>
      <c r="B29" s="698" t="s">
        <v>702</v>
      </c>
      <c r="C29" s="698" t="s">
        <v>703</v>
      </c>
      <c r="D29" s="698"/>
      <c r="E29" s="698" t="s">
        <v>693</v>
      </c>
      <c r="F29" s="700">
        <v>0.33333333333333298</v>
      </c>
      <c r="G29" s="700"/>
      <c r="H29" s="700"/>
      <c r="I29" s="701">
        <v>540</v>
      </c>
      <c r="J29" s="698">
        <v>0</v>
      </c>
      <c r="K29" s="702">
        <v>-9</v>
      </c>
      <c r="L29" s="703">
        <v>0</v>
      </c>
      <c r="M29" s="698" t="s">
        <v>694</v>
      </c>
      <c r="N29" s="698"/>
      <c r="O29" s="706"/>
      <c r="P29" s="706"/>
      <c r="Q29" s="704">
        <v>0</v>
      </c>
      <c r="R29" s="698" t="s">
        <v>701</v>
      </c>
      <c r="S29" s="705"/>
      <c r="T29" s="698"/>
      <c r="U29" s="698"/>
    </row>
    <row r="30" spans="1:21" ht="14.5">
      <c r="A30" s="697"/>
      <c r="B30" s="698" t="s">
        <v>704</v>
      </c>
      <c r="C30" s="698" t="s">
        <v>705</v>
      </c>
      <c r="D30" s="698"/>
      <c r="E30" s="698" t="s">
        <v>693</v>
      </c>
      <c r="F30" s="700">
        <v>0.33333333333333298</v>
      </c>
      <c r="G30" s="700"/>
      <c r="H30" s="700"/>
      <c r="I30" s="701">
        <v>540</v>
      </c>
      <c r="J30" s="698">
        <v>0</v>
      </c>
      <c r="K30" s="702">
        <v>-9</v>
      </c>
      <c r="L30" s="703">
        <v>0</v>
      </c>
      <c r="M30" s="698" t="s">
        <v>694</v>
      </c>
      <c r="N30" s="698"/>
      <c r="O30" s="706"/>
      <c r="P30" s="706"/>
      <c r="Q30" s="704">
        <v>0</v>
      </c>
      <c r="R30" s="698" t="s">
        <v>701</v>
      </c>
      <c r="S30" s="705"/>
      <c r="T30" s="698"/>
      <c r="U30" s="698"/>
    </row>
    <row r="31" spans="1:21" ht="14.5">
      <c r="A31" s="697"/>
      <c r="B31" s="698" t="s">
        <v>706</v>
      </c>
      <c r="C31" s="698" t="s">
        <v>707</v>
      </c>
      <c r="D31" s="698"/>
      <c r="E31" s="698" t="s">
        <v>693</v>
      </c>
      <c r="F31" s="700">
        <v>0.33333333333333298</v>
      </c>
      <c r="G31" s="700"/>
      <c r="H31" s="700"/>
      <c r="I31" s="701">
        <v>540</v>
      </c>
      <c r="J31" s="698">
        <v>0</v>
      </c>
      <c r="K31" s="702">
        <v>-9</v>
      </c>
      <c r="L31" s="703">
        <v>0</v>
      </c>
      <c r="M31" s="698" t="s">
        <v>694</v>
      </c>
      <c r="N31" s="698"/>
      <c r="O31" s="706"/>
      <c r="P31" s="706"/>
      <c r="Q31" s="704">
        <v>0</v>
      </c>
      <c r="R31" s="698" t="s">
        <v>701</v>
      </c>
      <c r="S31" s="705"/>
      <c r="T31" s="698"/>
      <c r="U31" s="698"/>
    </row>
    <row r="32" spans="1:21" ht="14.5">
      <c r="A32" s="697"/>
      <c r="B32" s="698" t="s">
        <v>708</v>
      </c>
      <c r="C32" s="698" t="s">
        <v>709</v>
      </c>
      <c r="D32" s="698"/>
      <c r="E32" s="698" t="s">
        <v>710</v>
      </c>
      <c r="F32" s="700">
        <v>0.33333333333333298</v>
      </c>
      <c r="G32" s="700"/>
      <c r="H32" s="700"/>
      <c r="I32" s="701">
        <v>540</v>
      </c>
      <c r="J32" s="698">
        <v>0</v>
      </c>
      <c r="K32" s="702">
        <v>-9</v>
      </c>
      <c r="L32" s="703">
        <v>0</v>
      </c>
      <c r="M32" s="698" t="s">
        <v>694</v>
      </c>
      <c r="N32" s="698" t="s">
        <v>711</v>
      </c>
      <c r="O32" s="706"/>
      <c r="P32" s="706"/>
      <c r="Q32" s="704">
        <v>0</v>
      </c>
      <c r="R32" s="698" t="s">
        <v>695</v>
      </c>
      <c r="S32" s="705"/>
      <c r="T32" s="698"/>
      <c r="U32" s="698"/>
    </row>
    <row r="33" spans="1:21" ht="14.5">
      <c r="A33" s="697"/>
      <c r="B33" s="698" t="s">
        <v>712</v>
      </c>
      <c r="C33" s="698" t="s">
        <v>713</v>
      </c>
      <c r="D33" s="698"/>
      <c r="E33" s="698" t="s">
        <v>169</v>
      </c>
      <c r="F33" s="700">
        <v>0.33333333333333298</v>
      </c>
      <c r="G33" s="700"/>
      <c r="H33" s="700"/>
      <c r="I33" s="701">
        <v>540</v>
      </c>
      <c r="J33" s="698">
        <v>0</v>
      </c>
      <c r="K33" s="702">
        <v>-9</v>
      </c>
      <c r="L33" s="703">
        <v>0</v>
      </c>
      <c r="M33" s="698" t="s">
        <v>694</v>
      </c>
      <c r="N33" s="698" t="s">
        <v>714</v>
      </c>
      <c r="O33" s="706"/>
      <c r="P33" s="706"/>
      <c r="Q33" s="704">
        <v>0</v>
      </c>
      <c r="R33" s="698" t="s">
        <v>695</v>
      </c>
      <c r="S33" s="705"/>
      <c r="T33" s="698"/>
      <c r="U33" s="698"/>
    </row>
    <row r="34" spans="1:21" ht="14.5">
      <c r="A34" s="697"/>
      <c r="B34" s="698" t="s">
        <v>715</v>
      </c>
      <c r="C34" s="698" t="s">
        <v>716</v>
      </c>
      <c r="D34" s="707" t="s">
        <v>757</v>
      </c>
      <c r="E34" s="698" t="s">
        <v>190</v>
      </c>
      <c r="F34" s="700">
        <v>0.33333333333333298</v>
      </c>
      <c r="G34" s="700">
        <v>0.51458333333333328</v>
      </c>
      <c r="H34" s="700">
        <v>0.88194444444444453</v>
      </c>
      <c r="I34" s="701">
        <v>540</v>
      </c>
      <c r="J34" s="698">
        <v>529.00000000000023</v>
      </c>
      <c r="K34" s="702">
        <v>-0.18333333333332955</v>
      </c>
      <c r="L34" s="703">
        <v>8.81666666666667</v>
      </c>
      <c r="M34" s="698" t="s">
        <v>758</v>
      </c>
      <c r="N34" s="698" t="s">
        <v>717</v>
      </c>
      <c r="O34" s="706">
        <v>39455</v>
      </c>
      <c r="P34" s="706">
        <v>39620</v>
      </c>
      <c r="Q34" s="704">
        <v>165</v>
      </c>
      <c r="R34" s="698" t="s">
        <v>695</v>
      </c>
      <c r="S34" s="705">
        <v>25</v>
      </c>
      <c r="T34" s="698" t="s">
        <v>728</v>
      </c>
      <c r="U34" s="698" t="s">
        <v>759</v>
      </c>
    </row>
    <row r="35" spans="1:21" ht="14.5">
      <c r="A35" s="697"/>
      <c r="B35" s="707" t="s">
        <v>718</v>
      </c>
      <c r="C35" s="707" t="s">
        <v>719</v>
      </c>
      <c r="D35" s="707"/>
      <c r="E35" s="707" t="s">
        <v>720</v>
      </c>
      <c r="F35" s="700">
        <v>0.33333333333333298</v>
      </c>
      <c r="G35" s="700"/>
      <c r="H35" s="700"/>
      <c r="I35" s="701">
        <v>540</v>
      </c>
      <c r="J35" s="698">
        <v>0</v>
      </c>
      <c r="K35" s="702">
        <v>-9</v>
      </c>
      <c r="L35" s="703">
        <v>0</v>
      </c>
      <c r="M35" s="698" t="s">
        <v>694</v>
      </c>
      <c r="N35" s="707" t="s">
        <v>721</v>
      </c>
      <c r="O35" s="708"/>
      <c r="P35" s="708"/>
      <c r="Q35" s="704">
        <v>0</v>
      </c>
      <c r="R35" s="707" t="s">
        <v>701</v>
      </c>
      <c r="S35" s="709"/>
      <c r="T35" s="707"/>
      <c r="U35" s="707"/>
    </row>
    <row r="36" spans="1:21" ht="14.5">
      <c r="A36" s="697"/>
      <c r="B36" s="707" t="s">
        <v>722</v>
      </c>
      <c r="C36" s="707" t="s">
        <v>723</v>
      </c>
      <c r="D36" s="707" t="s">
        <v>54</v>
      </c>
      <c r="E36" s="707" t="s">
        <v>725</v>
      </c>
      <c r="F36" s="700">
        <v>0.33333333333333298</v>
      </c>
      <c r="G36" s="700"/>
      <c r="H36" s="700"/>
      <c r="I36" s="701">
        <v>540</v>
      </c>
      <c r="J36" s="698">
        <v>0</v>
      </c>
      <c r="K36" s="702">
        <v>-9</v>
      </c>
      <c r="L36" s="703">
        <v>0</v>
      </c>
      <c r="M36" s="698" t="s">
        <v>694</v>
      </c>
      <c r="N36" s="707" t="s">
        <v>727</v>
      </c>
      <c r="O36" s="708"/>
      <c r="P36" s="708"/>
      <c r="Q36" s="704">
        <v>0</v>
      </c>
      <c r="R36" s="707" t="s">
        <v>695</v>
      </c>
      <c r="S36" s="709"/>
      <c r="T36" s="707"/>
      <c r="U36" s="707"/>
    </row>
    <row r="37" spans="1:21" ht="14.5">
      <c r="A37" s="697"/>
      <c r="B37" s="707" t="s">
        <v>730</v>
      </c>
      <c r="C37" s="707" t="s">
        <v>731</v>
      </c>
      <c r="D37" s="711"/>
      <c r="E37" s="707" t="s">
        <v>732</v>
      </c>
      <c r="F37" s="700">
        <v>0.33333333333333298</v>
      </c>
      <c r="G37" s="700"/>
      <c r="H37" s="700"/>
      <c r="I37" s="701">
        <v>540</v>
      </c>
      <c r="J37" s="698">
        <v>0</v>
      </c>
      <c r="K37" s="702">
        <v>-9</v>
      </c>
      <c r="L37" s="703">
        <v>0</v>
      </c>
      <c r="M37" s="698" t="s">
        <v>694</v>
      </c>
      <c r="N37" s="707" t="s">
        <v>733</v>
      </c>
      <c r="O37" s="708"/>
      <c r="P37" s="708"/>
      <c r="Q37" s="704">
        <v>0</v>
      </c>
      <c r="R37" s="707" t="s">
        <v>701</v>
      </c>
      <c r="S37" s="709"/>
      <c r="T37" s="707"/>
      <c r="U37" s="707"/>
    </row>
    <row r="38" spans="1:21" ht="14.5">
      <c r="A38" s="697"/>
      <c r="B38" s="710" t="s">
        <v>734</v>
      </c>
      <c r="C38" s="711" t="s">
        <v>735</v>
      </c>
      <c r="D38" s="714"/>
      <c r="E38" s="711" t="s">
        <v>89</v>
      </c>
      <c r="F38" s="712">
        <v>0.33333333333333298</v>
      </c>
      <c r="G38" s="712"/>
      <c r="H38" s="712"/>
      <c r="I38" s="713">
        <v>540</v>
      </c>
      <c r="J38" s="714">
        <v>0</v>
      </c>
      <c r="K38" s="715">
        <v>-9</v>
      </c>
      <c r="L38" s="716">
        <v>0</v>
      </c>
      <c r="M38" s="714" t="s">
        <v>694</v>
      </c>
      <c r="N38" s="711" t="s">
        <v>736</v>
      </c>
      <c r="O38" s="717"/>
      <c r="P38" s="717"/>
      <c r="Q38" s="704">
        <v>0</v>
      </c>
      <c r="R38" s="711" t="s">
        <v>701</v>
      </c>
      <c r="S38" s="718"/>
      <c r="T38" s="711"/>
      <c r="U38" s="711"/>
    </row>
    <row r="39" spans="1:21" ht="14.5">
      <c r="A39" s="697"/>
      <c r="B39" s="714" t="s">
        <v>737</v>
      </c>
      <c r="C39" s="714" t="s">
        <v>738</v>
      </c>
      <c r="D39" s="707"/>
      <c r="E39" s="714"/>
      <c r="F39" s="712">
        <v>0.33333333333333298</v>
      </c>
      <c r="G39" s="712"/>
      <c r="H39" s="712"/>
      <c r="I39" s="713">
        <v>540</v>
      </c>
      <c r="J39" s="714">
        <v>0</v>
      </c>
      <c r="K39" s="715">
        <v>-9</v>
      </c>
      <c r="L39" s="716">
        <v>0</v>
      </c>
      <c r="M39" s="714" t="s">
        <v>694</v>
      </c>
      <c r="N39" s="714"/>
      <c r="O39" s="719"/>
      <c r="P39" s="719"/>
      <c r="Q39" s="704">
        <v>0</v>
      </c>
      <c r="R39" s="714" t="s">
        <v>695</v>
      </c>
      <c r="S39" s="720"/>
      <c r="T39" s="714"/>
      <c r="U39" s="714" t="s">
        <v>739</v>
      </c>
    </row>
    <row r="40" spans="1:21" ht="14.5">
      <c r="A40" s="697"/>
      <c r="B40" s="707"/>
      <c r="C40" s="707" t="s">
        <v>740</v>
      </c>
      <c r="D40" s="707" t="s">
        <v>54</v>
      </c>
      <c r="E40" s="707" t="s">
        <v>741</v>
      </c>
      <c r="F40" s="700">
        <v>0.33333333333333298</v>
      </c>
      <c r="G40" s="700"/>
      <c r="H40" s="700"/>
      <c r="I40" s="701">
        <v>540</v>
      </c>
      <c r="J40" s="698">
        <v>0</v>
      </c>
      <c r="K40" s="702">
        <v>-9</v>
      </c>
      <c r="L40" s="703">
        <v>0</v>
      </c>
      <c r="M40" s="698" t="s">
        <v>694</v>
      </c>
      <c r="N40" s="707"/>
      <c r="O40" s="708"/>
      <c r="P40" s="708"/>
      <c r="Q40" s="704">
        <v>0</v>
      </c>
      <c r="R40" s="707" t="s">
        <v>742</v>
      </c>
      <c r="S40" s="709"/>
      <c r="T40" s="707"/>
      <c r="U40" s="707"/>
    </row>
    <row r="41" spans="1:21" ht="14.5">
      <c r="A41" s="697"/>
      <c r="B41" s="707" t="s">
        <v>54</v>
      </c>
      <c r="C41" s="707" t="s">
        <v>743</v>
      </c>
      <c r="D41" s="698"/>
      <c r="E41" s="707" t="s">
        <v>744</v>
      </c>
      <c r="F41" s="700">
        <v>0.33333333333333298</v>
      </c>
      <c r="G41" s="700"/>
      <c r="H41" s="700"/>
      <c r="I41" s="701">
        <v>540</v>
      </c>
      <c r="J41" s="698">
        <v>0</v>
      </c>
      <c r="K41" s="702">
        <v>-9</v>
      </c>
      <c r="L41" s="703">
        <v>0</v>
      </c>
      <c r="M41" s="698" t="s">
        <v>694</v>
      </c>
      <c r="N41" s="707"/>
      <c r="O41" s="708"/>
      <c r="P41" s="708"/>
      <c r="Q41" s="704">
        <v>0</v>
      </c>
      <c r="R41" s="707" t="s">
        <v>742</v>
      </c>
      <c r="S41" s="709"/>
      <c r="T41" s="707"/>
      <c r="U41" s="707"/>
    </row>
    <row r="42" spans="1:21" ht="14.5">
      <c r="A42" s="697"/>
      <c r="B42" s="698" t="s">
        <v>745</v>
      </c>
      <c r="C42" s="698"/>
      <c r="D42" s="698"/>
      <c r="E42" s="698"/>
      <c r="F42" s="700">
        <v>0.33333333333333298</v>
      </c>
      <c r="G42" s="700"/>
      <c r="H42" s="700"/>
      <c r="I42" s="701">
        <v>540</v>
      </c>
      <c r="J42" s="698">
        <v>0</v>
      </c>
      <c r="K42" s="702">
        <v>-9</v>
      </c>
      <c r="L42" s="703">
        <v>0</v>
      </c>
      <c r="M42" s="698" t="s">
        <v>694</v>
      </c>
      <c r="N42" s="698"/>
      <c r="O42" s="706"/>
      <c r="P42" s="706"/>
      <c r="Q42" s="704">
        <v>0</v>
      </c>
      <c r="R42" s="698"/>
      <c r="S42" s="705"/>
      <c r="T42" s="698"/>
      <c r="U42" s="698"/>
    </row>
    <row r="43" spans="1:21" ht="14.5">
      <c r="A43" s="697"/>
      <c r="B43" s="698" t="s">
        <v>746</v>
      </c>
      <c r="C43" s="698" t="s">
        <v>747</v>
      </c>
      <c r="D43" s="707"/>
      <c r="E43" s="698" t="s">
        <v>190</v>
      </c>
      <c r="F43" s="700">
        <v>0.33333333333333298</v>
      </c>
      <c r="G43" s="700"/>
      <c r="H43" s="700"/>
      <c r="I43" s="701">
        <v>540</v>
      </c>
      <c r="J43" s="698">
        <v>0</v>
      </c>
      <c r="K43" s="702">
        <v>-9</v>
      </c>
      <c r="L43" s="703">
        <v>0</v>
      </c>
      <c r="M43" s="698" t="s">
        <v>694</v>
      </c>
      <c r="N43" s="698"/>
      <c r="O43" s="706"/>
      <c r="P43" s="706"/>
      <c r="Q43" s="704">
        <v>0</v>
      </c>
      <c r="R43" s="698" t="s">
        <v>701</v>
      </c>
      <c r="S43" s="705"/>
      <c r="T43" s="698"/>
      <c r="U43" s="698"/>
    </row>
    <row r="44" spans="1:21" ht="14.5">
      <c r="A44" s="697"/>
      <c r="B44" s="707" t="s">
        <v>748</v>
      </c>
      <c r="C44" s="707" t="s">
        <v>749</v>
      </c>
      <c r="D44" s="707"/>
      <c r="E44" s="707" t="s">
        <v>278</v>
      </c>
      <c r="F44" s="700">
        <v>0.33333333333333298</v>
      </c>
      <c r="G44" s="700"/>
      <c r="H44" s="700"/>
      <c r="I44" s="701">
        <v>540</v>
      </c>
      <c r="J44" s="698">
        <v>0</v>
      </c>
      <c r="K44" s="702">
        <v>-9</v>
      </c>
      <c r="L44" s="703">
        <v>0</v>
      </c>
      <c r="M44" s="698" t="s">
        <v>694</v>
      </c>
      <c r="N44" s="707"/>
      <c r="O44" s="708"/>
      <c r="P44" s="708"/>
      <c r="Q44" s="704">
        <v>0</v>
      </c>
      <c r="R44" s="707" t="s">
        <v>695</v>
      </c>
      <c r="S44" s="709"/>
      <c r="T44" s="707"/>
      <c r="U44" s="707"/>
    </row>
    <row r="45" spans="1:21" ht="14.5">
      <c r="A45" s="697"/>
      <c r="B45" s="707" t="s">
        <v>750</v>
      </c>
      <c r="C45" s="707"/>
      <c r="D45" s="707"/>
      <c r="E45" s="707"/>
      <c r="F45" s="700">
        <v>0.33333333333333298</v>
      </c>
      <c r="G45" s="700"/>
      <c r="H45" s="700"/>
      <c r="I45" s="701">
        <v>540</v>
      </c>
      <c r="J45" s="698">
        <v>0</v>
      </c>
      <c r="K45" s="702">
        <v>-9</v>
      </c>
      <c r="L45" s="703">
        <v>0</v>
      </c>
      <c r="M45" s="698" t="s">
        <v>694</v>
      </c>
      <c r="N45" s="707"/>
      <c r="O45" s="708"/>
      <c r="P45" s="708"/>
      <c r="Q45" s="704">
        <v>0</v>
      </c>
      <c r="R45" s="707"/>
      <c r="S45" s="709"/>
      <c r="T45" s="707"/>
      <c r="U45" s="707"/>
    </row>
    <row r="46" spans="1:21" ht="14.5">
      <c r="A46" s="697"/>
      <c r="B46" s="707" t="s">
        <v>751</v>
      </c>
      <c r="C46" s="707" t="s">
        <v>752</v>
      </c>
      <c r="D46" s="711" t="s">
        <v>54</v>
      </c>
      <c r="E46" s="707" t="s">
        <v>753</v>
      </c>
      <c r="F46" s="700">
        <v>0.33333333333333298</v>
      </c>
      <c r="G46" s="700"/>
      <c r="H46" s="700"/>
      <c r="I46" s="701">
        <v>540</v>
      </c>
      <c r="J46" s="698">
        <v>0</v>
      </c>
      <c r="K46" s="702">
        <v>-9</v>
      </c>
      <c r="L46" s="703">
        <v>0</v>
      </c>
      <c r="M46" s="698" t="s">
        <v>694</v>
      </c>
      <c r="N46" s="707"/>
      <c r="O46" s="708"/>
      <c r="P46" s="708"/>
      <c r="Q46" s="704">
        <v>0</v>
      </c>
      <c r="R46" s="707" t="s">
        <v>701</v>
      </c>
      <c r="S46" s="709"/>
      <c r="T46" s="707"/>
      <c r="U46" s="707"/>
    </row>
    <row r="47" spans="1:21">
      <c r="A47" s="697"/>
      <c r="B47" s="710" t="s">
        <v>754</v>
      </c>
      <c r="C47" s="711" t="s">
        <v>755</v>
      </c>
      <c r="D47" s="721" t="s">
        <v>54</v>
      </c>
      <c r="E47" s="711" t="s">
        <v>190</v>
      </c>
      <c r="F47" s="712">
        <v>0.33333333333333298</v>
      </c>
      <c r="G47" s="712"/>
      <c r="H47" s="712"/>
      <c r="I47" s="713">
        <v>540</v>
      </c>
      <c r="J47" s="714">
        <v>0</v>
      </c>
      <c r="K47" s="715">
        <v>-9</v>
      </c>
      <c r="L47" s="716">
        <v>0</v>
      </c>
      <c r="M47" s="714" t="s">
        <v>694</v>
      </c>
      <c r="N47" s="711"/>
      <c r="O47" s="717"/>
      <c r="P47" s="717"/>
      <c r="Q47" s="704">
        <v>0</v>
      </c>
      <c r="R47" s="711" t="s">
        <v>701</v>
      </c>
      <c r="S47" s="718"/>
      <c r="T47" s="711"/>
      <c r="U47" s="711"/>
    </row>
    <row r="48" spans="1:21">
      <c r="A48" s="697"/>
      <c r="B48" s="721" t="s">
        <v>54</v>
      </c>
      <c r="C48" s="721"/>
      <c r="D48" s="699" t="s">
        <v>54</v>
      </c>
      <c r="E48" s="721"/>
      <c r="F48" s="721"/>
      <c r="G48" s="721"/>
      <c r="H48" s="721"/>
      <c r="I48" s="721"/>
      <c r="J48" s="721"/>
      <c r="K48" s="721"/>
      <c r="L48" s="721"/>
      <c r="M48" s="721" t="s">
        <v>54</v>
      </c>
      <c r="N48" s="721"/>
      <c r="O48" s="722"/>
      <c r="P48" s="722"/>
      <c r="Q48" s="704"/>
      <c r="R48" s="721"/>
      <c r="S48" s="723"/>
      <c r="T48" s="721"/>
      <c r="U48" s="721"/>
    </row>
    <row r="49" spans="1:21" ht="14.5">
      <c r="A49" s="697">
        <v>46237</v>
      </c>
      <c r="B49" s="698" t="s">
        <v>691</v>
      </c>
      <c r="C49" s="698" t="s">
        <v>692</v>
      </c>
      <c r="D49" s="698" t="s">
        <v>760</v>
      </c>
      <c r="E49" s="698" t="s">
        <v>693</v>
      </c>
      <c r="F49" s="700">
        <v>0.33333333333333298</v>
      </c>
      <c r="G49" s="700">
        <v>0.39444444444444443</v>
      </c>
      <c r="H49" s="700">
        <v>0.97083333333333333</v>
      </c>
      <c r="I49" s="701">
        <v>540</v>
      </c>
      <c r="J49" s="698">
        <v>829.99999999999989</v>
      </c>
      <c r="K49" s="702">
        <v>4.8333333333333313</v>
      </c>
      <c r="L49" s="703">
        <v>13.833333333333332</v>
      </c>
      <c r="M49" s="698" t="s">
        <v>761</v>
      </c>
      <c r="N49" s="698" t="s">
        <v>762</v>
      </c>
      <c r="O49" s="706">
        <v>31873</v>
      </c>
      <c r="P49" s="706">
        <v>31966</v>
      </c>
      <c r="Q49" s="704">
        <v>93</v>
      </c>
      <c r="R49" s="698" t="s">
        <v>695</v>
      </c>
      <c r="S49" s="705">
        <v>14</v>
      </c>
      <c r="T49" s="698" t="s">
        <v>763</v>
      </c>
      <c r="U49" s="698" t="s">
        <v>764</v>
      </c>
    </row>
    <row r="50" spans="1:21" ht="14.5">
      <c r="A50" s="697"/>
      <c r="B50" s="698" t="s">
        <v>696</v>
      </c>
      <c r="C50" s="698" t="s">
        <v>697</v>
      </c>
      <c r="D50" s="698" t="s">
        <v>765</v>
      </c>
      <c r="E50" s="698" t="s">
        <v>693</v>
      </c>
      <c r="F50" s="700">
        <v>0.33333333333333298</v>
      </c>
      <c r="G50" s="700">
        <v>0.70833333333333337</v>
      </c>
      <c r="H50" s="700">
        <v>0.97013888888888899</v>
      </c>
      <c r="I50" s="701">
        <v>540</v>
      </c>
      <c r="J50" s="698">
        <v>377.00000000000011</v>
      </c>
      <c r="K50" s="702">
        <v>-2.7166666666666646</v>
      </c>
      <c r="L50" s="703">
        <v>6.283333333333335</v>
      </c>
      <c r="M50" s="698" t="s">
        <v>766</v>
      </c>
      <c r="N50" s="698" t="s">
        <v>767</v>
      </c>
      <c r="O50" s="706">
        <v>28020</v>
      </c>
      <c r="P50" s="706">
        <v>28085</v>
      </c>
      <c r="Q50" s="704">
        <v>65</v>
      </c>
      <c r="R50" s="698" t="s">
        <v>695</v>
      </c>
      <c r="S50" s="705">
        <v>7</v>
      </c>
      <c r="T50" s="698" t="s">
        <v>763</v>
      </c>
      <c r="U50" s="698"/>
    </row>
    <row r="51" spans="1:21" ht="14.5">
      <c r="A51" s="697"/>
      <c r="B51" s="698" t="s">
        <v>698</v>
      </c>
      <c r="C51" s="698" t="s">
        <v>699</v>
      </c>
      <c r="D51" s="698" t="s">
        <v>768</v>
      </c>
      <c r="E51" s="698" t="s">
        <v>700</v>
      </c>
      <c r="F51" s="700">
        <v>0.33333333333333298</v>
      </c>
      <c r="G51" s="700">
        <v>0.375</v>
      </c>
      <c r="H51" s="700">
        <v>0.90277777777777779</v>
      </c>
      <c r="I51" s="701">
        <v>540</v>
      </c>
      <c r="J51" s="698">
        <v>760</v>
      </c>
      <c r="K51" s="702">
        <v>3.6666666666666665</v>
      </c>
      <c r="L51" s="703">
        <v>12.666666666666666</v>
      </c>
      <c r="M51" s="698" t="s">
        <v>769</v>
      </c>
      <c r="N51" s="698" t="s">
        <v>770</v>
      </c>
      <c r="O51" s="706">
        <v>31150</v>
      </c>
      <c r="P51" s="706">
        <v>31190</v>
      </c>
      <c r="Q51" s="704">
        <v>40</v>
      </c>
      <c r="R51" s="698" t="s">
        <v>701</v>
      </c>
      <c r="S51" s="705"/>
      <c r="T51" s="698" t="s">
        <v>728</v>
      </c>
      <c r="U51" s="698"/>
    </row>
    <row r="52" spans="1:21" ht="14.5">
      <c r="A52" s="697"/>
      <c r="B52" s="698" t="s">
        <v>702</v>
      </c>
      <c r="C52" s="698" t="s">
        <v>703</v>
      </c>
      <c r="D52" s="698" t="s">
        <v>771</v>
      </c>
      <c r="E52" s="698" t="s">
        <v>169</v>
      </c>
      <c r="F52" s="700">
        <v>0.33333333333333298</v>
      </c>
      <c r="G52" s="700">
        <v>0.54166666666666663</v>
      </c>
      <c r="H52" s="700">
        <v>0.73611111111111116</v>
      </c>
      <c r="I52" s="701">
        <v>540</v>
      </c>
      <c r="J52" s="698">
        <v>280.00000000000011</v>
      </c>
      <c r="K52" s="702">
        <v>-4.3333333333333313</v>
      </c>
      <c r="L52" s="703">
        <v>4.6666666666666687</v>
      </c>
      <c r="M52" s="698" t="s">
        <v>772</v>
      </c>
      <c r="N52" s="698" t="s">
        <v>773</v>
      </c>
      <c r="O52" s="706">
        <v>18653</v>
      </c>
      <c r="P52" s="706">
        <v>18668</v>
      </c>
      <c r="Q52" s="704">
        <v>15</v>
      </c>
      <c r="R52" s="698" t="s">
        <v>701</v>
      </c>
      <c r="S52" s="705"/>
      <c r="T52" s="698" t="s">
        <v>774</v>
      </c>
      <c r="U52" s="698"/>
    </row>
    <row r="53" spans="1:21" ht="14.5">
      <c r="A53" s="697"/>
      <c r="B53" s="698" t="s">
        <v>704</v>
      </c>
      <c r="C53" s="698" t="s">
        <v>705</v>
      </c>
      <c r="D53" s="698" t="s">
        <v>771</v>
      </c>
      <c r="E53" s="698" t="s">
        <v>169</v>
      </c>
      <c r="F53" s="700">
        <v>0.33333333333333298</v>
      </c>
      <c r="G53" s="700">
        <v>0.5625</v>
      </c>
      <c r="H53" s="700">
        <v>0.79166666666666663</v>
      </c>
      <c r="I53" s="701">
        <v>540</v>
      </c>
      <c r="J53" s="698">
        <v>329.99999999999994</v>
      </c>
      <c r="K53" s="702">
        <v>-3.5000000000000009</v>
      </c>
      <c r="L53" s="703">
        <v>5.4999999999999991</v>
      </c>
      <c r="M53" s="698" t="s">
        <v>775</v>
      </c>
      <c r="N53" s="698" t="s">
        <v>773</v>
      </c>
      <c r="O53" s="706">
        <v>41947</v>
      </c>
      <c r="P53" s="706">
        <v>41958</v>
      </c>
      <c r="Q53" s="704">
        <v>11</v>
      </c>
      <c r="R53" s="698" t="s">
        <v>701</v>
      </c>
      <c r="S53" s="705">
        <v>5</v>
      </c>
      <c r="T53" s="698" t="s">
        <v>774</v>
      </c>
      <c r="U53" s="698"/>
    </row>
    <row r="54" spans="1:21" ht="14.5">
      <c r="A54" s="697"/>
      <c r="B54" s="698" t="s">
        <v>706</v>
      </c>
      <c r="C54" s="698" t="s">
        <v>707</v>
      </c>
      <c r="D54" s="698" t="s">
        <v>776</v>
      </c>
      <c r="E54" s="698" t="s">
        <v>777</v>
      </c>
      <c r="F54" s="700">
        <v>0.33333333333333298</v>
      </c>
      <c r="G54" s="700">
        <v>0.47916666666666669</v>
      </c>
      <c r="H54" s="700">
        <v>0.70833333333333337</v>
      </c>
      <c r="I54" s="701">
        <v>540</v>
      </c>
      <c r="J54" s="698">
        <v>330</v>
      </c>
      <c r="K54" s="702">
        <v>-3.5</v>
      </c>
      <c r="L54" s="703">
        <v>5.5</v>
      </c>
      <c r="M54" s="698" t="s">
        <v>775</v>
      </c>
      <c r="N54" s="698" t="s">
        <v>778</v>
      </c>
      <c r="O54" s="706">
        <v>22555</v>
      </c>
      <c r="P54" s="706">
        <v>22588</v>
      </c>
      <c r="Q54" s="704">
        <v>33</v>
      </c>
      <c r="R54" s="698" t="s">
        <v>701</v>
      </c>
      <c r="S54" s="705"/>
      <c r="T54" s="698" t="s">
        <v>728</v>
      </c>
      <c r="U54" s="698"/>
    </row>
    <row r="55" spans="1:21" ht="14.5">
      <c r="A55" s="697"/>
      <c r="B55" s="698" t="s">
        <v>708</v>
      </c>
      <c r="C55" s="698" t="s">
        <v>709</v>
      </c>
      <c r="D55" s="698" t="s">
        <v>779</v>
      </c>
      <c r="E55" s="698" t="s">
        <v>710</v>
      </c>
      <c r="F55" s="700">
        <v>0.33333333333333298</v>
      </c>
      <c r="G55" s="700">
        <v>0.375</v>
      </c>
      <c r="H55" s="700">
        <v>0.80902777777777779</v>
      </c>
      <c r="I55" s="701">
        <v>540</v>
      </c>
      <c r="J55" s="698">
        <v>625</v>
      </c>
      <c r="K55" s="702">
        <v>1.4166666666666667</v>
      </c>
      <c r="L55" s="703">
        <v>10.416666666666666</v>
      </c>
      <c r="M55" s="698" t="s">
        <v>780</v>
      </c>
      <c r="N55" s="698" t="s">
        <v>711</v>
      </c>
      <c r="O55" s="706">
        <v>21461</v>
      </c>
      <c r="P55" s="706">
        <v>21491</v>
      </c>
      <c r="Q55" s="704">
        <v>30</v>
      </c>
      <c r="R55" s="698" t="s">
        <v>695</v>
      </c>
      <c r="S55" s="705"/>
      <c r="T55" s="698" t="s">
        <v>781</v>
      </c>
      <c r="U55" s="698" t="s">
        <v>782</v>
      </c>
    </row>
    <row r="56" spans="1:21" ht="14.5">
      <c r="A56" s="697"/>
      <c r="B56" s="698" t="s">
        <v>712</v>
      </c>
      <c r="C56" s="698" t="s">
        <v>713</v>
      </c>
      <c r="D56" s="698" t="s">
        <v>783</v>
      </c>
      <c r="E56" s="698" t="s">
        <v>169</v>
      </c>
      <c r="F56" s="700">
        <v>0.33333333333333298</v>
      </c>
      <c r="G56" s="700">
        <v>0.4375</v>
      </c>
      <c r="H56" s="700">
        <v>0.90625</v>
      </c>
      <c r="I56" s="701">
        <v>540</v>
      </c>
      <c r="J56" s="698">
        <v>675</v>
      </c>
      <c r="K56" s="702">
        <v>2.25</v>
      </c>
      <c r="L56" s="703">
        <v>11.25</v>
      </c>
      <c r="M56" s="698" t="s">
        <v>784</v>
      </c>
      <c r="N56" s="698" t="s">
        <v>714</v>
      </c>
      <c r="O56" s="706">
        <v>43850</v>
      </c>
      <c r="P56" s="706">
        <v>43879</v>
      </c>
      <c r="Q56" s="704">
        <v>29</v>
      </c>
      <c r="R56" s="698" t="s">
        <v>695</v>
      </c>
      <c r="S56" s="705"/>
      <c r="T56" s="698" t="s">
        <v>728</v>
      </c>
      <c r="U56" s="698" t="s">
        <v>785</v>
      </c>
    </row>
    <row r="57" spans="1:21" ht="14.5">
      <c r="A57" s="697"/>
      <c r="B57" s="698" t="s">
        <v>715</v>
      </c>
      <c r="C57" s="698" t="s">
        <v>716</v>
      </c>
      <c r="D57" s="707" t="s">
        <v>786</v>
      </c>
      <c r="E57" s="698" t="s">
        <v>190</v>
      </c>
      <c r="F57" s="700">
        <v>0.33333333333333298</v>
      </c>
      <c r="G57" s="700">
        <v>0.25</v>
      </c>
      <c r="H57" s="700">
        <v>0.84027777777777779</v>
      </c>
      <c r="I57" s="701">
        <v>540</v>
      </c>
      <c r="J57" s="698">
        <v>850</v>
      </c>
      <c r="K57" s="702">
        <v>5.166666666666667</v>
      </c>
      <c r="L57" s="703">
        <v>14.166666666666666</v>
      </c>
      <c r="M57" s="698" t="s">
        <v>787</v>
      </c>
      <c r="N57" s="698" t="s">
        <v>717</v>
      </c>
      <c r="O57" s="706">
        <v>39620</v>
      </c>
      <c r="P57" s="706">
        <v>39643</v>
      </c>
      <c r="Q57" s="704">
        <v>23</v>
      </c>
      <c r="R57" s="698" t="s">
        <v>695</v>
      </c>
      <c r="S57" s="705"/>
      <c r="T57" s="698" t="s">
        <v>728</v>
      </c>
      <c r="U57" s="698" t="s">
        <v>759</v>
      </c>
    </row>
    <row r="58" spans="1:21" ht="14.5">
      <c r="A58" s="697"/>
      <c r="B58" s="707" t="s">
        <v>718</v>
      </c>
      <c r="C58" s="707" t="s">
        <v>719</v>
      </c>
      <c r="D58" s="707" t="s">
        <v>788</v>
      </c>
      <c r="E58" s="707" t="s">
        <v>720</v>
      </c>
      <c r="F58" s="700">
        <v>0.33333333333333298</v>
      </c>
      <c r="G58" s="700"/>
      <c r="H58" s="700"/>
      <c r="I58" s="701">
        <v>540</v>
      </c>
      <c r="J58" s="698">
        <v>0</v>
      </c>
      <c r="K58" s="702">
        <v>-9</v>
      </c>
      <c r="L58" s="703">
        <v>0</v>
      </c>
      <c r="M58" s="698" t="s">
        <v>694</v>
      </c>
      <c r="N58" s="707" t="s">
        <v>721</v>
      </c>
      <c r="O58" s="708"/>
      <c r="P58" s="708"/>
      <c r="Q58" s="704">
        <v>0</v>
      </c>
      <c r="R58" s="707" t="s">
        <v>701</v>
      </c>
      <c r="S58" s="709"/>
      <c r="T58" s="707"/>
      <c r="U58" s="707"/>
    </row>
    <row r="59" spans="1:21" ht="14.5">
      <c r="A59" s="697"/>
      <c r="B59" s="707" t="s">
        <v>722</v>
      </c>
      <c r="C59" s="707" t="s">
        <v>723</v>
      </c>
      <c r="D59" s="707" t="s">
        <v>789</v>
      </c>
      <c r="E59" s="707" t="s">
        <v>725</v>
      </c>
      <c r="F59" s="700">
        <v>0.33333333333333298</v>
      </c>
      <c r="G59" s="700">
        <v>0.5625</v>
      </c>
      <c r="H59" s="700">
        <v>0.83680555555555547</v>
      </c>
      <c r="I59" s="701">
        <v>540</v>
      </c>
      <c r="J59" s="698">
        <v>394.99999999999989</v>
      </c>
      <c r="K59" s="702">
        <v>-2.4166666666666687</v>
      </c>
      <c r="L59" s="703">
        <v>6.5833333333333313</v>
      </c>
      <c r="M59" s="698" t="s">
        <v>790</v>
      </c>
      <c r="N59" s="707" t="s">
        <v>727</v>
      </c>
      <c r="O59" s="708">
        <v>29882</v>
      </c>
      <c r="P59" s="708">
        <v>29940</v>
      </c>
      <c r="Q59" s="704">
        <v>58</v>
      </c>
      <c r="R59" s="707" t="s">
        <v>695</v>
      </c>
      <c r="S59" s="709">
        <v>14</v>
      </c>
      <c r="T59" s="707" t="s">
        <v>728</v>
      </c>
      <c r="U59" s="707" t="s">
        <v>729</v>
      </c>
    </row>
    <row r="60" spans="1:21" ht="14.5">
      <c r="A60" s="697"/>
      <c r="B60" s="707" t="s">
        <v>730</v>
      </c>
      <c r="C60" s="707" t="s">
        <v>731</v>
      </c>
      <c r="D60" s="711" t="s">
        <v>791</v>
      </c>
      <c r="E60" s="707" t="s">
        <v>732</v>
      </c>
      <c r="F60" s="700">
        <v>0.33333333333333298</v>
      </c>
      <c r="G60" s="700">
        <v>0.33333333333333331</v>
      </c>
      <c r="H60" s="700">
        <v>0.77569444444444446</v>
      </c>
      <c r="I60" s="701">
        <v>540</v>
      </c>
      <c r="J60" s="698">
        <v>637</v>
      </c>
      <c r="K60" s="702">
        <v>1.6166666666666667</v>
      </c>
      <c r="L60" s="703">
        <v>10.616666666666667</v>
      </c>
      <c r="M60" s="698" t="s">
        <v>792</v>
      </c>
      <c r="N60" s="707" t="s">
        <v>733</v>
      </c>
      <c r="O60" s="708">
        <v>24825</v>
      </c>
      <c r="P60" s="708">
        <v>24890</v>
      </c>
      <c r="Q60" s="704">
        <v>65</v>
      </c>
      <c r="R60" s="707" t="s">
        <v>701</v>
      </c>
      <c r="S60" s="709"/>
      <c r="T60" s="707" t="s">
        <v>728</v>
      </c>
      <c r="U60" s="707" t="s">
        <v>793</v>
      </c>
    </row>
    <row r="61" spans="1:21" ht="14.5">
      <c r="A61" s="697"/>
      <c r="B61" s="710" t="s">
        <v>734</v>
      </c>
      <c r="C61" s="711" t="s">
        <v>735</v>
      </c>
      <c r="D61" s="714" t="s">
        <v>788</v>
      </c>
      <c r="E61" s="711" t="s">
        <v>89</v>
      </c>
      <c r="F61" s="712">
        <v>0.33333333333333298</v>
      </c>
      <c r="G61" s="712"/>
      <c r="H61" s="712"/>
      <c r="I61" s="713">
        <v>540</v>
      </c>
      <c r="J61" s="714">
        <v>0</v>
      </c>
      <c r="K61" s="715">
        <v>-9</v>
      </c>
      <c r="L61" s="716">
        <v>0</v>
      </c>
      <c r="M61" s="714" t="s">
        <v>694</v>
      </c>
      <c r="N61" s="711" t="s">
        <v>736</v>
      </c>
      <c r="O61" s="717"/>
      <c r="P61" s="717"/>
      <c r="Q61" s="704">
        <v>0</v>
      </c>
      <c r="R61" s="711" t="s">
        <v>701</v>
      </c>
      <c r="S61" s="718"/>
      <c r="T61" s="711"/>
      <c r="U61" s="711"/>
    </row>
    <row r="62" spans="1:21" ht="14.5">
      <c r="A62" s="697"/>
      <c r="B62" s="714" t="s">
        <v>737</v>
      </c>
      <c r="C62" s="714" t="s">
        <v>738</v>
      </c>
      <c r="D62" s="707" t="s">
        <v>788</v>
      </c>
      <c r="E62" s="714"/>
      <c r="F62" s="712">
        <v>0.33333333333333298</v>
      </c>
      <c r="G62" s="712"/>
      <c r="H62" s="712"/>
      <c r="I62" s="713">
        <v>540</v>
      </c>
      <c r="J62" s="714">
        <v>0</v>
      </c>
      <c r="K62" s="715">
        <v>-9</v>
      </c>
      <c r="L62" s="716">
        <v>0</v>
      </c>
      <c r="M62" s="714" t="s">
        <v>694</v>
      </c>
      <c r="N62" s="714"/>
      <c r="O62" s="719"/>
      <c r="P62" s="719"/>
      <c r="Q62" s="704">
        <v>0</v>
      </c>
      <c r="R62" s="714" t="s">
        <v>695</v>
      </c>
      <c r="S62" s="720"/>
      <c r="T62" s="714"/>
      <c r="U62" s="714" t="s">
        <v>739</v>
      </c>
    </row>
    <row r="63" spans="1:21" ht="14.5">
      <c r="A63" s="697"/>
      <c r="B63" s="707"/>
      <c r="C63" s="707" t="s">
        <v>740</v>
      </c>
      <c r="D63" s="707" t="s">
        <v>54</v>
      </c>
      <c r="E63" s="707" t="s">
        <v>741</v>
      </c>
      <c r="F63" s="700">
        <v>0.33333333333333298</v>
      </c>
      <c r="G63" s="700"/>
      <c r="H63" s="700"/>
      <c r="I63" s="701">
        <v>540</v>
      </c>
      <c r="J63" s="698">
        <v>0</v>
      </c>
      <c r="K63" s="702">
        <v>-9</v>
      </c>
      <c r="L63" s="703">
        <v>0</v>
      </c>
      <c r="M63" s="698" t="s">
        <v>694</v>
      </c>
      <c r="N63" s="707"/>
      <c r="O63" s="708"/>
      <c r="P63" s="708"/>
      <c r="Q63" s="704">
        <v>0</v>
      </c>
      <c r="R63" s="707" t="s">
        <v>742</v>
      </c>
      <c r="S63" s="709"/>
      <c r="T63" s="707"/>
      <c r="U63" s="707"/>
    </row>
    <row r="64" spans="1:21" ht="14.5">
      <c r="A64" s="697"/>
      <c r="B64" s="707" t="s">
        <v>54</v>
      </c>
      <c r="C64" s="707" t="s">
        <v>743</v>
      </c>
      <c r="D64" s="698"/>
      <c r="E64" s="707" t="s">
        <v>744</v>
      </c>
      <c r="F64" s="700">
        <v>0.33333333333333298</v>
      </c>
      <c r="G64" s="700"/>
      <c r="H64" s="700"/>
      <c r="I64" s="701">
        <v>540</v>
      </c>
      <c r="J64" s="698">
        <v>0</v>
      </c>
      <c r="K64" s="702">
        <v>-9</v>
      </c>
      <c r="L64" s="703">
        <v>0</v>
      </c>
      <c r="M64" s="698" t="s">
        <v>694</v>
      </c>
      <c r="N64" s="707"/>
      <c r="O64" s="708"/>
      <c r="P64" s="708"/>
      <c r="Q64" s="704">
        <v>0</v>
      </c>
      <c r="R64" s="707" t="s">
        <v>742</v>
      </c>
      <c r="S64" s="709"/>
      <c r="T64" s="707"/>
      <c r="U64" s="707"/>
    </row>
    <row r="65" spans="1:21" ht="14.5">
      <c r="A65" s="697"/>
      <c r="B65" s="698" t="s">
        <v>745</v>
      </c>
      <c r="C65" s="698"/>
      <c r="D65" s="698"/>
      <c r="E65" s="698"/>
      <c r="F65" s="700">
        <v>0.33333333333333298</v>
      </c>
      <c r="G65" s="700"/>
      <c r="H65" s="700"/>
      <c r="I65" s="701">
        <v>540</v>
      </c>
      <c r="J65" s="698">
        <v>0</v>
      </c>
      <c r="K65" s="702">
        <v>-9</v>
      </c>
      <c r="L65" s="703">
        <v>0</v>
      </c>
      <c r="M65" s="698" t="s">
        <v>694</v>
      </c>
      <c r="N65" s="698"/>
      <c r="O65" s="706"/>
      <c r="P65" s="706"/>
      <c r="Q65" s="704">
        <v>0</v>
      </c>
      <c r="R65" s="698"/>
      <c r="S65" s="705"/>
      <c r="T65" s="698"/>
      <c r="U65" s="698"/>
    </row>
    <row r="66" spans="1:21" ht="14.5">
      <c r="A66" s="697"/>
      <c r="B66" s="698" t="s">
        <v>746</v>
      </c>
      <c r="C66" s="698" t="s">
        <v>747</v>
      </c>
      <c r="D66" s="707" t="s">
        <v>788</v>
      </c>
      <c r="E66" s="698" t="s">
        <v>190</v>
      </c>
      <c r="F66" s="700">
        <v>0.33333333333333298</v>
      </c>
      <c r="G66" s="700"/>
      <c r="H66" s="700"/>
      <c r="I66" s="701">
        <v>540</v>
      </c>
      <c r="J66" s="698">
        <v>0</v>
      </c>
      <c r="K66" s="702">
        <v>-9</v>
      </c>
      <c r="L66" s="703">
        <v>0</v>
      </c>
      <c r="M66" s="698" t="s">
        <v>694</v>
      </c>
      <c r="N66" s="698"/>
      <c r="O66" s="706"/>
      <c r="P66" s="706"/>
      <c r="Q66" s="704">
        <v>0</v>
      </c>
      <c r="R66" s="698" t="s">
        <v>701</v>
      </c>
      <c r="S66" s="705"/>
      <c r="T66" s="698"/>
      <c r="U66" s="698"/>
    </row>
    <row r="67" spans="1:21" ht="14.5">
      <c r="A67" s="697"/>
      <c r="B67" s="707" t="s">
        <v>748</v>
      </c>
      <c r="C67" s="707" t="s">
        <v>749</v>
      </c>
      <c r="D67" s="707" t="s">
        <v>794</v>
      </c>
      <c r="E67" s="707" t="s">
        <v>278</v>
      </c>
      <c r="F67" s="700">
        <v>0.33333333333333298</v>
      </c>
      <c r="G67" s="700">
        <v>0.375</v>
      </c>
      <c r="H67" s="700">
        <v>0.71180555555555547</v>
      </c>
      <c r="I67" s="701">
        <v>540</v>
      </c>
      <c r="J67" s="698">
        <v>484.99999999999989</v>
      </c>
      <c r="K67" s="702">
        <v>-0.91666666666666852</v>
      </c>
      <c r="L67" s="703">
        <v>8.0833333333333321</v>
      </c>
      <c r="M67" s="698" t="s">
        <v>795</v>
      </c>
      <c r="N67" s="707" t="s">
        <v>796</v>
      </c>
      <c r="O67" s="708">
        <v>13924</v>
      </c>
      <c r="P67" s="708">
        <v>13933</v>
      </c>
      <c r="Q67" s="704">
        <v>9</v>
      </c>
      <c r="R67" s="707" t="s">
        <v>695</v>
      </c>
      <c r="S67" s="709"/>
      <c r="T67" s="707" t="s">
        <v>763</v>
      </c>
      <c r="U67" s="707"/>
    </row>
    <row r="68" spans="1:21" ht="14.5">
      <c r="A68" s="697"/>
      <c r="B68" s="707" t="s">
        <v>750</v>
      </c>
      <c r="C68" s="707"/>
      <c r="D68" s="707"/>
      <c r="E68" s="707"/>
      <c r="F68" s="700">
        <v>0.33333333333333298</v>
      </c>
      <c r="G68" s="700"/>
      <c r="H68" s="700"/>
      <c r="I68" s="701">
        <v>540</v>
      </c>
      <c r="J68" s="698">
        <v>0</v>
      </c>
      <c r="K68" s="702">
        <v>-9</v>
      </c>
      <c r="L68" s="703">
        <v>0</v>
      </c>
      <c r="M68" s="698" t="s">
        <v>694</v>
      </c>
      <c r="N68" s="707"/>
      <c r="O68" s="708"/>
      <c r="P68" s="708"/>
      <c r="Q68" s="704">
        <v>0</v>
      </c>
      <c r="R68" s="707"/>
      <c r="S68" s="709"/>
      <c r="T68" s="707"/>
      <c r="U68" s="707"/>
    </row>
    <row r="69" spans="1:21" ht="14.5">
      <c r="A69" s="697"/>
      <c r="B69" s="707" t="s">
        <v>751</v>
      </c>
      <c r="C69" s="707" t="s">
        <v>752</v>
      </c>
      <c r="D69" s="711" t="s">
        <v>797</v>
      </c>
      <c r="E69" s="707" t="s">
        <v>725</v>
      </c>
      <c r="F69" s="700">
        <v>0.33333333333333298</v>
      </c>
      <c r="G69" s="700">
        <v>0.29375000000000001</v>
      </c>
      <c r="H69" s="700">
        <v>0.75069444444444444</v>
      </c>
      <c r="I69" s="701">
        <v>540</v>
      </c>
      <c r="J69" s="698">
        <v>658</v>
      </c>
      <c r="K69" s="702">
        <v>1.9666666666666666</v>
      </c>
      <c r="L69" s="703">
        <v>10.966666666666667</v>
      </c>
      <c r="M69" s="698" t="s">
        <v>798</v>
      </c>
      <c r="N69" s="707" t="s">
        <v>799</v>
      </c>
      <c r="O69" s="708">
        <v>8616</v>
      </c>
      <c r="P69" s="708">
        <v>8634</v>
      </c>
      <c r="Q69" s="704">
        <v>18</v>
      </c>
      <c r="R69" s="707" t="s">
        <v>701</v>
      </c>
      <c r="S69" s="709"/>
      <c r="T69" s="707" t="s">
        <v>763</v>
      </c>
      <c r="U69" s="707"/>
    </row>
    <row r="70" spans="1:21">
      <c r="A70" s="697"/>
      <c r="B70" s="710" t="s">
        <v>754</v>
      </c>
      <c r="C70" s="711" t="s">
        <v>755</v>
      </c>
      <c r="D70" s="721" t="s">
        <v>800</v>
      </c>
      <c r="E70" s="711" t="s">
        <v>190</v>
      </c>
      <c r="F70" s="712">
        <v>0.33333333333333298</v>
      </c>
      <c r="G70" s="712">
        <v>0.41666666666666669</v>
      </c>
      <c r="H70" s="712">
        <v>0.875</v>
      </c>
      <c r="I70" s="713">
        <v>540</v>
      </c>
      <c r="J70" s="714">
        <v>660</v>
      </c>
      <c r="K70" s="715">
        <v>2</v>
      </c>
      <c r="L70" s="716">
        <v>11</v>
      </c>
      <c r="M70" s="714" t="s">
        <v>801</v>
      </c>
      <c r="N70" s="711" t="s">
        <v>802</v>
      </c>
      <c r="O70" s="717">
        <v>21650</v>
      </c>
      <c r="P70" s="717">
        <v>21680</v>
      </c>
      <c r="Q70" s="704">
        <v>30</v>
      </c>
      <c r="R70" s="711" t="s">
        <v>701</v>
      </c>
      <c r="S70" s="718"/>
      <c r="T70" s="711" t="s">
        <v>763</v>
      </c>
      <c r="U70" s="711"/>
    </row>
    <row r="71" spans="1:21">
      <c r="A71" s="697"/>
      <c r="B71" s="721" t="s">
        <v>54</v>
      </c>
      <c r="C71" s="721"/>
      <c r="D71" s="699" t="s">
        <v>54</v>
      </c>
      <c r="E71" s="721"/>
      <c r="F71" s="721"/>
      <c r="G71" s="721"/>
      <c r="H71" s="721"/>
      <c r="I71" s="721"/>
      <c r="J71" s="721"/>
      <c r="K71" s="721"/>
      <c r="L71" s="721"/>
      <c r="M71" s="721" t="s">
        <v>54</v>
      </c>
      <c r="N71" s="721"/>
      <c r="O71" s="722"/>
      <c r="P71" s="722"/>
      <c r="Q71" s="704"/>
      <c r="R71" s="721"/>
      <c r="S71" s="723"/>
      <c r="T71" s="721"/>
      <c r="U71" s="721"/>
    </row>
    <row r="72" spans="1:21" ht="14.5">
      <c r="A72" s="697">
        <v>46238</v>
      </c>
      <c r="B72" s="698" t="s">
        <v>691</v>
      </c>
      <c r="C72" s="698" t="s">
        <v>692</v>
      </c>
      <c r="D72" s="698" t="s">
        <v>803</v>
      </c>
      <c r="E72" s="698" t="s">
        <v>693</v>
      </c>
      <c r="F72" s="700">
        <v>0.33333333333333298</v>
      </c>
      <c r="G72" s="700">
        <v>0.39444444444444443</v>
      </c>
      <c r="H72" s="700">
        <v>0.8125</v>
      </c>
      <c r="I72" s="701">
        <v>540</v>
      </c>
      <c r="J72" s="698">
        <v>602</v>
      </c>
      <c r="K72" s="702">
        <v>1.0333333333333334</v>
      </c>
      <c r="L72" s="703">
        <v>10.033333333333333</v>
      </c>
      <c r="M72" s="698" t="s">
        <v>804</v>
      </c>
      <c r="N72" s="698" t="s">
        <v>805</v>
      </c>
      <c r="O72" s="706">
        <v>31966</v>
      </c>
      <c r="P72" s="706">
        <v>32015</v>
      </c>
      <c r="Q72" s="704">
        <v>49</v>
      </c>
      <c r="R72" s="698" t="s">
        <v>695</v>
      </c>
      <c r="S72" s="705"/>
      <c r="T72" s="698" t="s">
        <v>806</v>
      </c>
      <c r="U72" s="698"/>
    </row>
    <row r="73" spans="1:21" ht="14.5">
      <c r="A73" s="697"/>
      <c r="B73" s="698" t="s">
        <v>696</v>
      </c>
      <c r="C73" s="698" t="s">
        <v>697</v>
      </c>
      <c r="D73" s="698" t="s">
        <v>807</v>
      </c>
      <c r="E73" s="698" t="s">
        <v>693</v>
      </c>
      <c r="F73" s="700">
        <v>0.33333333333333298</v>
      </c>
      <c r="G73" s="700">
        <v>0.47916666666666669</v>
      </c>
      <c r="H73" s="700">
        <v>0.8125</v>
      </c>
      <c r="I73" s="701">
        <v>540</v>
      </c>
      <c r="J73" s="698">
        <v>480</v>
      </c>
      <c r="K73" s="702">
        <v>-1</v>
      </c>
      <c r="L73" s="703">
        <v>8</v>
      </c>
      <c r="M73" s="698" t="s">
        <v>808</v>
      </c>
      <c r="N73" s="698" t="s">
        <v>809</v>
      </c>
      <c r="O73" s="706">
        <v>28085</v>
      </c>
      <c r="P73" s="706">
        <v>28129</v>
      </c>
      <c r="Q73" s="704">
        <v>44</v>
      </c>
      <c r="R73" s="698" t="s">
        <v>695</v>
      </c>
      <c r="S73" s="705">
        <v>5</v>
      </c>
      <c r="T73" s="698" t="s">
        <v>763</v>
      </c>
      <c r="U73" s="698"/>
    </row>
    <row r="74" spans="1:21" ht="14.5">
      <c r="A74" s="697"/>
      <c r="B74" s="698" t="s">
        <v>698</v>
      </c>
      <c r="C74" s="698" t="s">
        <v>699</v>
      </c>
      <c r="D74" s="698" t="s">
        <v>788</v>
      </c>
      <c r="E74" s="698" t="s">
        <v>700</v>
      </c>
      <c r="F74" s="700">
        <v>0.33333333333333298</v>
      </c>
      <c r="G74" s="700"/>
      <c r="H74" s="700"/>
      <c r="I74" s="701">
        <v>540</v>
      </c>
      <c r="J74" s="698">
        <v>0</v>
      </c>
      <c r="K74" s="702">
        <v>-9</v>
      </c>
      <c r="L74" s="703">
        <v>0</v>
      </c>
      <c r="M74" s="698" t="s">
        <v>694</v>
      </c>
      <c r="N74" s="698"/>
      <c r="O74" s="706"/>
      <c r="P74" s="706"/>
      <c r="Q74" s="704">
        <v>0</v>
      </c>
      <c r="R74" s="698" t="s">
        <v>701</v>
      </c>
      <c r="S74" s="705"/>
      <c r="T74" s="698"/>
      <c r="U74" s="698"/>
    </row>
    <row r="75" spans="1:21" ht="14.5">
      <c r="A75" s="697"/>
      <c r="B75" s="698" t="s">
        <v>702</v>
      </c>
      <c r="C75" s="698" t="s">
        <v>703</v>
      </c>
      <c r="D75" s="698" t="s">
        <v>810</v>
      </c>
      <c r="E75" s="698" t="s">
        <v>811</v>
      </c>
      <c r="F75" s="700">
        <v>0.33333333333333298</v>
      </c>
      <c r="G75" s="700">
        <v>0.33333333333333331</v>
      </c>
      <c r="H75" s="700">
        <v>0.71875</v>
      </c>
      <c r="I75" s="701">
        <v>540</v>
      </c>
      <c r="J75" s="698">
        <v>555</v>
      </c>
      <c r="K75" s="702">
        <v>0.25</v>
      </c>
      <c r="L75" s="703">
        <v>9.25</v>
      </c>
      <c r="M75" s="698" t="s">
        <v>812</v>
      </c>
      <c r="N75" s="698" t="s">
        <v>813</v>
      </c>
      <c r="O75" s="706">
        <v>18668</v>
      </c>
      <c r="P75" s="706">
        <v>18699</v>
      </c>
      <c r="Q75" s="704">
        <v>31</v>
      </c>
      <c r="R75" s="698" t="s">
        <v>701</v>
      </c>
      <c r="S75" s="705">
        <v>10</v>
      </c>
      <c r="T75" s="698" t="s">
        <v>763</v>
      </c>
      <c r="U75" s="698"/>
    </row>
    <row r="76" spans="1:21" ht="14.5">
      <c r="A76" s="697"/>
      <c r="B76" s="698" t="s">
        <v>704</v>
      </c>
      <c r="C76" s="698" t="s">
        <v>705</v>
      </c>
      <c r="D76" s="698" t="s">
        <v>788</v>
      </c>
      <c r="E76" s="698" t="s">
        <v>693</v>
      </c>
      <c r="F76" s="700">
        <v>0.33333333333333298</v>
      </c>
      <c r="G76" s="700"/>
      <c r="H76" s="700"/>
      <c r="I76" s="701">
        <v>540</v>
      </c>
      <c r="J76" s="698">
        <v>0</v>
      </c>
      <c r="K76" s="702">
        <v>-9</v>
      </c>
      <c r="L76" s="703">
        <v>0</v>
      </c>
      <c r="M76" s="698" t="s">
        <v>694</v>
      </c>
      <c r="N76" s="698"/>
      <c r="O76" s="706"/>
      <c r="P76" s="706"/>
      <c r="Q76" s="704">
        <v>0</v>
      </c>
      <c r="R76" s="698" t="s">
        <v>701</v>
      </c>
      <c r="S76" s="705"/>
      <c r="T76" s="698"/>
      <c r="U76" s="698"/>
    </row>
    <row r="77" spans="1:21" ht="14.5">
      <c r="A77" s="697"/>
      <c r="B77" s="698" t="s">
        <v>706</v>
      </c>
      <c r="C77" s="698" t="s">
        <v>707</v>
      </c>
      <c r="D77" s="698" t="s">
        <v>814</v>
      </c>
      <c r="E77" s="698" t="s">
        <v>815</v>
      </c>
      <c r="F77" s="700">
        <v>0.33333333333333298</v>
      </c>
      <c r="G77" s="700">
        <v>0.5625</v>
      </c>
      <c r="H77" s="700">
        <v>0.70833333333333337</v>
      </c>
      <c r="I77" s="701">
        <v>540</v>
      </c>
      <c r="J77" s="698">
        <v>210.00000000000006</v>
      </c>
      <c r="K77" s="702">
        <v>-5.4999999999999991</v>
      </c>
      <c r="L77" s="703">
        <v>3.5000000000000009</v>
      </c>
      <c r="M77" s="698" t="s">
        <v>816</v>
      </c>
      <c r="N77" s="698" t="s">
        <v>817</v>
      </c>
      <c r="O77" s="706">
        <v>22588</v>
      </c>
      <c r="P77" s="706">
        <v>22602</v>
      </c>
      <c r="Q77" s="704">
        <v>14</v>
      </c>
      <c r="R77" s="698" t="s">
        <v>701</v>
      </c>
      <c r="S77" s="705"/>
      <c r="T77" s="698" t="s">
        <v>763</v>
      </c>
      <c r="U77" s="698"/>
    </row>
    <row r="78" spans="1:21" ht="14.5">
      <c r="A78" s="697"/>
      <c r="B78" s="698" t="s">
        <v>708</v>
      </c>
      <c r="C78" s="698" t="s">
        <v>709</v>
      </c>
      <c r="D78" s="698" t="s">
        <v>788</v>
      </c>
      <c r="E78" s="698" t="s">
        <v>710</v>
      </c>
      <c r="F78" s="700">
        <v>0.33333333333333298</v>
      </c>
      <c r="G78" s="700"/>
      <c r="H78" s="700"/>
      <c r="I78" s="701">
        <v>540</v>
      </c>
      <c r="J78" s="698">
        <v>0</v>
      </c>
      <c r="K78" s="702">
        <v>-9</v>
      </c>
      <c r="L78" s="703">
        <v>0</v>
      </c>
      <c r="M78" s="698" t="s">
        <v>694</v>
      </c>
      <c r="N78" s="698" t="s">
        <v>711</v>
      </c>
      <c r="O78" s="706"/>
      <c r="P78" s="706"/>
      <c r="Q78" s="704">
        <v>0</v>
      </c>
      <c r="R78" s="698" t="s">
        <v>695</v>
      </c>
      <c r="S78" s="705"/>
      <c r="T78" s="698"/>
      <c r="U78" s="698"/>
    </row>
    <row r="79" spans="1:21" ht="14.5">
      <c r="A79" s="697"/>
      <c r="B79" s="698" t="s">
        <v>712</v>
      </c>
      <c r="C79" s="698" t="s">
        <v>713</v>
      </c>
      <c r="D79" s="698" t="s">
        <v>818</v>
      </c>
      <c r="E79" s="698" t="s">
        <v>169</v>
      </c>
      <c r="F79" s="700">
        <v>0.33333333333333298</v>
      </c>
      <c r="G79" s="700">
        <v>0.4375</v>
      </c>
      <c r="H79" s="700">
        <v>0.7715277777777777</v>
      </c>
      <c r="I79" s="701">
        <v>540</v>
      </c>
      <c r="J79" s="698">
        <v>480.99999999999989</v>
      </c>
      <c r="K79" s="702">
        <v>-0.98333333333333528</v>
      </c>
      <c r="L79" s="703">
        <v>8.0166666666666639</v>
      </c>
      <c r="M79" s="698" t="s">
        <v>819</v>
      </c>
      <c r="N79" s="698" t="s">
        <v>714</v>
      </c>
      <c r="O79" s="706">
        <v>43879</v>
      </c>
      <c r="P79" s="706">
        <v>43918</v>
      </c>
      <c r="Q79" s="704">
        <v>39</v>
      </c>
      <c r="R79" s="698" t="s">
        <v>695</v>
      </c>
      <c r="S79" s="705"/>
      <c r="T79" s="698" t="s">
        <v>806</v>
      </c>
      <c r="U79" s="698" t="s">
        <v>785</v>
      </c>
    </row>
    <row r="80" spans="1:21" ht="14.5">
      <c r="A80" s="697"/>
      <c r="B80" s="698" t="s">
        <v>715</v>
      </c>
      <c r="C80" s="698" t="s">
        <v>716</v>
      </c>
      <c r="D80" s="707" t="s">
        <v>820</v>
      </c>
      <c r="E80" s="698" t="s">
        <v>190</v>
      </c>
      <c r="F80" s="700">
        <v>0.33333333333333298</v>
      </c>
      <c r="G80" s="700">
        <v>0.33333333333333331</v>
      </c>
      <c r="H80" s="700">
        <v>0.96527777777777779</v>
      </c>
      <c r="I80" s="701">
        <v>540</v>
      </c>
      <c r="J80" s="698">
        <v>910</v>
      </c>
      <c r="K80" s="702">
        <v>6.166666666666667</v>
      </c>
      <c r="L80" s="703">
        <v>15.166666666666666</v>
      </c>
      <c r="M80" s="698" t="s">
        <v>821</v>
      </c>
      <c r="N80" s="698" t="s">
        <v>717</v>
      </c>
      <c r="O80" s="706">
        <v>39643</v>
      </c>
      <c r="P80" s="706">
        <v>39838</v>
      </c>
      <c r="Q80" s="704">
        <v>195</v>
      </c>
      <c r="R80" s="698" t="s">
        <v>695</v>
      </c>
      <c r="S80" s="705">
        <v>25</v>
      </c>
      <c r="T80" s="698" t="s">
        <v>728</v>
      </c>
      <c r="U80" s="698" t="s">
        <v>759</v>
      </c>
    </row>
    <row r="81" spans="1:21" ht="14.5">
      <c r="A81" s="697"/>
      <c r="B81" s="707" t="s">
        <v>718</v>
      </c>
      <c r="C81" s="707" t="s">
        <v>719</v>
      </c>
      <c r="D81" s="707" t="s">
        <v>788</v>
      </c>
      <c r="E81" s="707" t="s">
        <v>720</v>
      </c>
      <c r="F81" s="700">
        <v>0.33333333333333298</v>
      </c>
      <c r="G81" s="700"/>
      <c r="H81" s="700"/>
      <c r="I81" s="701">
        <v>540</v>
      </c>
      <c r="J81" s="698">
        <v>0</v>
      </c>
      <c r="K81" s="702">
        <v>-9</v>
      </c>
      <c r="L81" s="703">
        <v>0</v>
      </c>
      <c r="M81" s="698" t="s">
        <v>694</v>
      </c>
      <c r="N81" s="707" t="s">
        <v>721</v>
      </c>
      <c r="O81" s="708"/>
      <c r="P81" s="708"/>
      <c r="Q81" s="704">
        <v>0</v>
      </c>
      <c r="R81" s="707" t="s">
        <v>701</v>
      </c>
      <c r="S81" s="709"/>
      <c r="T81" s="707"/>
      <c r="U81" s="707"/>
    </row>
    <row r="82" spans="1:21" ht="14.5">
      <c r="A82" s="697"/>
      <c r="B82" s="707" t="s">
        <v>722</v>
      </c>
      <c r="C82" s="707" t="s">
        <v>723</v>
      </c>
      <c r="D82" s="707" t="s">
        <v>822</v>
      </c>
      <c r="E82" s="707" t="s">
        <v>725</v>
      </c>
      <c r="F82" s="700">
        <v>0.33333333333333298</v>
      </c>
      <c r="G82" s="700">
        <v>0.29166666666666669</v>
      </c>
      <c r="H82" s="700">
        <v>0.70833333333333337</v>
      </c>
      <c r="I82" s="701">
        <v>540</v>
      </c>
      <c r="J82" s="698">
        <v>600</v>
      </c>
      <c r="K82" s="702">
        <v>1</v>
      </c>
      <c r="L82" s="703">
        <v>10</v>
      </c>
      <c r="M82" s="698" t="s">
        <v>823</v>
      </c>
      <c r="N82" s="707" t="s">
        <v>727</v>
      </c>
      <c r="O82" s="708">
        <v>29940</v>
      </c>
      <c r="P82" s="708">
        <v>29989</v>
      </c>
      <c r="Q82" s="704">
        <v>49</v>
      </c>
      <c r="R82" s="707" t="s">
        <v>695</v>
      </c>
      <c r="S82" s="709"/>
      <c r="T82" s="707" t="s">
        <v>728</v>
      </c>
      <c r="U82" s="707" t="s">
        <v>729</v>
      </c>
    </row>
    <row r="83" spans="1:21" ht="14.5">
      <c r="A83" s="697"/>
      <c r="B83" s="707" t="s">
        <v>730</v>
      </c>
      <c r="C83" s="707" t="s">
        <v>731</v>
      </c>
      <c r="D83" s="711" t="s">
        <v>824</v>
      </c>
      <c r="E83" s="707" t="s">
        <v>732</v>
      </c>
      <c r="F83" s="700">
        <v>0.33333333333333298</v>
      </c>
      <c r="G83" s="700">
        <v>0.45833333333333331</v>
      </c>
      <c r="H83" s="700">
        <v>0.72222222222222221</v>
      </c>
      <c r="I83" s="701">
        <v>540</v>
      </c>
      <c r="J83" s="698">
        <v>380</v>
      </c>
      <c r="K83" s="702">
        <v>-2.6666666666666665</v>
      </c>
      <c r="L83" s="703">
        <v>6.333333333333333</v>
      </c>
      <c r="M83" s="698" t="s">
        <v>825</v>
      </c>
      <c r="N83" s="707" t="s">
        <v>733</v>
      </c>
      <c r="O83" s="708">
        <v>24890</v>
      </c>
      <c r="P83" s="708">
        <v>24925</v>
      </c>
      <c r="Q83" s="704">
        <v>35</v>
      </c>
      <c r="R83" s="707" t="s">
        <v>701</v>
      </c>
      <c r="S83" s="709"/>
      <c r="T83" s="707" t="s">
        <v>728</v>
      </c>
      <c r="U83" s="707" t="s">
        <v>793</v>
      </c>
    </row>
    <row r="84" spans="1:21" ht="14.5">
      <c r="A84" s="697"/>
      <c r="B84" s="710" t="s">
        <v>734</v>
      </c>
      <c r="C84" s="711" t="s">
        <v>735</v>
      </c>
      <c r="D84" s="714" t="s">
        <v>826</v>
      </c>
      <c r="E84" s="711" t="s">
        <v>89</v>
      </c>
      <c r="F84" s="712">
        <v>0.33333333333333298</v>
      </c>
      <c r="G84" s="712">
        <v>0.5625</v>
      </c>
      <c r="H84" s="712">
        <v>0.875</v>
      </c>
      <c r="I84" s="713">
        <v>540</v>
      </c>
      <c r="J84" s="714">
        <v>450</v>
      </c>
      <c r="K84" s="715">
        <v>-1.5</v>
      </c>
      <c r="L84" s="716">
        <v>7.5</v>
      </c>
      <c r="M84" s="714" t="s">
        <v>827</v>
      </c>
      <c r="N84" s="711" t="s">
        <v>736</v>
      </c>
      <c r="O84" s="717">
        <v>32804</v>
      </c>
      <c r="P84" s="717">
        <v>32838</v>
      </c>
      <c r="Q84" s="704">
        <v>34</v>
      </c>
      <c r="R84" s="711" t="s">
        <v>701</v>
      </c>
      <c r="S84" s="718">
        <v>10</v>
      </c>
      <c r="T84" s="711" t="s">
        <v>728</v>
      </c>
      <c r="U84" s="711" t="s">
        <v>828</v>
      </c>
    </row>
    <row r="85" spans="1:21" ht="14.5">
      <c r="A85" s="697"/>
      <c r="B85" s="714" t="s">
        <v>737</v>
      </c>
      <c r="C85" s="714" t="s">
        <v>738</v>
      </c>
      <c r="D85" s="707" t="s">
        <v>788</v>
      </c>
      <c r="E85" s="714"/>
      <c r="F85" s="712">
        <v>0.33333333333333298</v>
      </c>
      <c r="G85" s="712"/>
      <c r="H85" s="712"/>
      <c r="I85" s="713">
        <v>540</v>
      </c>
      <c r="J85" s="714">
        <v>0</v>
      </c>
      <c r="K85" s="715">
        <v>-9</v>
      </c>
      <c r="L85" s="716">
        <v>0</v>
      </c>
      <c r="M85" s="714" t="s">
        <v>694</v>
      </c>
      <c r="N85" s="714"/>
      <c r="O85" s="719"/>
      <c r="P85" s="719"/>
      <c r="Q85" s="704">
        <v>0</v>
      </c>
      <c r="R85" s="714" t="s">
        <v>695</v>
      </c>
      <c r="S85" s="720"/>
      <c r="T85" s="714"/>
      <c r="U85" s="714" t="s">
        <v>739</v>
      </c>
    </row>
    <row r="86" spans="1:21" ht="14.5">
      <c r="A86" s="697"/>
      <c r="B86" s="707"/>
      <c r="C86" s="707" t="s">
        <v>740</v>
      </c>
      <c r="D86" s="707" t="s">
        <v>54</v>
      </c>
      <c r="E86" s="707" t="s">
        <v>741</v>
      </c>
      <c r="F86" s="700">
        <v>0.33333333333333298</v>
      </c>
      <c r="G86" s="700"/>
      <c r="H86" s="700"/>
      <c r="I86" s="701">
        <v>540</v>
      </c>
      <c r="J86" s="698">
        <v>0</v>
      </c>
      <c r="K86" s="702">
        <v>-9</v>
      </c>
      <c r="L86" s="703">
        <v>0</v>
      </c>
      <c r="M86" s="698" t="s">
        <v>694</v>
      </c>
      <c r="N86" s="707"/>
      <c r="O86" s="708"/>
      <c r="P86" s="708"/>
      <c r="Q86" s="704">
        <v>0</v>
      </c>
      <c r="R86" s="707" t="s">
        <v>742</v>
      </c>
      <c r="S86" s="709"/>
      <c r="T86" s="707"/>
      <c r="U86" s="707"/>
    </row>
    <row r="87" spans="1:21" ht="14.5">
      <c r="A87" s="697"/>
      <c r="B87" s="707" t="s">
        <v>54</v>
      </c>
      <c r="C87" s="707" t="s">
        <v>743</v>
      </c>
      <c r="D87" s="698"/>
      <c r="E87" s="707" t="s">
        <v>744</v>
      </c>
      <c r="F87" s="700">
        <v>0.33333333333333298</v>
      </c>
      <c r="G87" s="700"/>
      <c r="H87" s="700"/>
      <c r="I87" s="701">
        <v>540</v>
      </c>
      <c r="J87" s="698">
        <v>0</v>
      </c>
      <c r="K87" s="702">
        <v>-9</v>
      </c>
      <c r="L87" s="703">
        <v>0</v>
      </c>
      <c r="M87" s="698" t="s">
        <v>694</v>
      </c>
      <c r="N87" s="707"/>
      <c r="O87" s="708"/>
      <c r="P87" s="708"/>
      <c r="Q87" s="704">
        <v>0</v>
      </c>
      <c r="R87" s="707" t="s">
        <v>742</v>
      </c>
      <c r="S87" s="709"/>
      <c r="T87" s="707"/>
      <c r="U87" s="707"/>
    </row>
    <row r="88" spans="1:21" ht="14.5">
      <c r="A88" s="697"/>
      <c r="B88" s="698" t="s">
        <v>745</v>
      </c>
      <c r="C88" s="698"/>
      <c r="D88" s="698"/>
      <c r="E88" s="698"/>
      <c r="F88" s="700">
        <v>0.33333333333333298</v>
      </c>
      <c r="G88" s="700"/>
      <c r="H88" s="700"/>
      <c r="I88" s="701">
        <v>540</v>
      </c>
      <c r="J88" s="698">
        <v>0</v>
      </c>
      <c r="K88" s="702">
        <v>-9</v>
      </c>
      <c r="L88" s="703">
        <v>0</v>
      </c>
      <c r="M88" s="698" t="s">
        <v>694</v>
      </c>
      <c r="N88" s="698"/>
      <c r="O88" s="706"/>
      <c r="P88" s="706"/>
      <c r="Q88" s="704">
        <v>0</v>
      </c>
      <c r="R88" s="698"/>
      <c r="S88" s="705"/>
      <c r="T88" s="698"/>
      <c r="U88" s="698"/>
    </row>
    <row r="89" spans="1:21" ht="14.5">
      <c r="A89" s="697"/>
      <c r="B89" s="698" t="s">
        <v>746</v>
      </c>
      <c r="C89" s="698" t="s">
        <v>747</v>
      </c>
      <c r="D89" s="707" t="s">
        <v>788</v>
      </c>
      <c r="E89" s="698" t="s">
        <v>190</v>
      </c>
      <c r="F89" s="700">
        <v>0.33333333333333298</v>
      </c>
      <c r="G89" s="700"/>
      <c r="H89" s="700"/>
      <c r="I89" s="701">
        <v>540</v>
      </c>
      <c r="J89" s="698">
        <v>0</v>
      </c>
      <c r="K89" s="702">
        <v>-9</v>
      </c>
      <c r="L89" s="703">
        <v>0</v>
      </c>
      <c r="M89" s="698" t="s">
        <v>694</v>
      </c>
      <c r="N89" s="698"/>
      <c r="O89" s="706"/>
      <c r="P89" s="706"/>
      <c r="Q89" s="704">
        <v>0</v>
      </c>
      <c r="R89" s="698" t="s">
        <v>701</v>
      </c>
      <c r="S89" s="705"/>
      <c r="T89" s="698"/>
      <c r="U89" s="698"/>
    </row>
    <row r="90" spans="1:21" ht="14.5">
      <c r="A90" s="697"/>
      <c r="B90" s="707" t="s">
        <v>748</v>
      </c>
      <c r="C90" s="707" t="s">
        <v>749</v>
      </c>
      <c r="D90" s="707" t="s">
        <v>788</v>
      </c>
      <c r="E90" s="707" t="s">
        <v>278</v>
      </c>
      <c r="F90" s="700">
        <v>0.33333333333333298</v>
      </c>
      <c r="G90" s="700"/>
      <c r="H90" s="700"/>
      <c r="I90" s="701">
        <v>540</v>
      </c>
      <c r="J90" s="698">
        <v>0</v>
      </c>
      <c r="K90" s="702">
        <v>-9</v>
      </c>
      <c r="L90" s="703">
        <v>0</v>
      </c>
      <c r="M90" s="698" t="s">
        <v>694</v>
      </c>
      <c r="N90" s="707"/>
      <c r="O90" s="708"/>
      <c r="P90" s="708"/>
      <c r="Q90" s="704">
        <v>0</v>
      </c>
      <c r="R90" s="707" t="s">
        <v>695</v>
      </c>
      <c r="S90" s="709"/>
      <c r="T90" s="707"/>
      <c r="U90" s="707"/>
    </row>
    <row r="91" spans="1:21" ht="14.5">
      <c r="A91" s="697"/>
      <c r="B91" s="707" t="s">
        <v>750</v>
      </c>
      <c r="C91" s="707"/>
      <c r="D91" s="707"/>
      <c r="E91" s="707"/>
      <c r="F91" s="700">
        <v>0.33333333333333298</v>
      </c>
      <c r="G91" s="700"/>
      <c r="H91" s="700"/>
      <c r="I91" s="701">
        <v>540</v>
      </c>
      <c r="J91" s="698">
        <v>0</v>
      </c>
      <c r="K91" s="702">
        <v>-9</v>
      </c>
      <c r="L91" s="703">
        <v>0</v>
      </c>
      <c r="M91" s="698" t="s">
        <v>694</v>
      </c>
      <c r="N91" s="707"/>
      <c r="O91" s="708"/>
      <c r="P91" s="708"/>
      <c r="Q91" s="704">
        <v>0</v>
      </c>
      <c r="R91" s="707"/>
      <c r="S91" s="709"/>
      <c r="T91" s="707"/>
      <c r="U91" s="707"/>
    </row>
    <row r="92" spans="1:21" ht="14.5">
      <c r="A92" s="697"/>
      <c r="B92" s="707" t="s">
        <v>751</v>
      </c>
      <c r="C92" s="707" t="s">
        <v>752</v>
      </c>
      <c r="D92" s="711" t="s">
        <v>829</v>
      </c>
      <c r="E92" s="707" t="s">
        <v>725</v>
      </c>
      <c r="F92" s="700">
        <v>0.33333333333333298</v>
      </c>
      <c r="G92" s="700">
        <v>0.27083333333333331</v>
      </c>
      <c r="H92" s="700">
        <v>0.7715277777777777</v>
      </c>
      <c r="I92" s="701">
        <v>540</v>
      </c>
      <c r="J92" s="698">
        <v>720.99999999999989</v>
      </c>
      <c r="K92" s="702">
        <v>3.0166666666666648</v>
      </c>
      <c r="L92" s="703">
        <v>12.016666666666664</v>
      </c>
      <c r="M92" s="698" t="s">
        <v>830</v>
      </c>
      <c r="N92" s="707" t="s">
        <v>799</v>
      </c>
      <c r="O92" s="708">
        <v>8634</v>
      </c>
      <c r="P92" s="708">
        <v>8701</v>
      </c>
      <c r="Q92" s="704">
        <v>67</v>
      </c>
      <c r="R92" s="707" t="s">
        <v>701</v>
      </c>
      <c r="S92" s="709">
        <v>20</v>
      </c>
      <c r="T92" s="707" t="s">
        <v>763</v>
      </c>
      <c r="U92" s="707"/>
    </row>
    <row r="93" spans="1:21">
      <c r="A93" s="697"/>
      <c r="B93" s="710" t="s">
        <v>754</v>
      </c>
      <c r="C93" s="711" t="s">
        <v>755</v>
      </c>
      <c r="D93" s="721" t="s">
        <v>831</v>
      </c>
      <c r="E93" s="711" t="s">
        <v>190</v>
      </c>
      <c r="F93" s="712">
        <v>0.33333333333333298</v>
      </c>
      <c r="G93" s="712">
        <v>0.375</v>
      </c>
      <c r="H93" s="712">
        <v>0.79236111111111107</v>
      </c>
      <c r="I93" s="713">
        <v>540</v>
      </c>
      <c r="J93" s="714">
        <v>601</v>
      </c>
      <c r="K93" s="715">
        <v>1.0166666666666666</v>
      </c>
      <c r="L93" s="716">
        <v>10.016666666666667</v>
      </c>
      <c r="M93" s="714" t="s">
        <v>832</v>
      </c>
      <c r="N93" s="711" t="s">
        <v>802</v>
      </c>
      <c r="O93" s="717">
        <v>21680</v>
      </c>
      <c r="P93" s="717">
        <v>21724</v>
      </c>
      <c r="Q93" s="704">
        <v>44</v>
      </c>
      <c r="R93" s="711" t="s">
        <v>701</v>
      </c>
      <c r="S93" s="718">
        <v>15</v>
      </c>
      <c r="T93" s="711" t="s">
        <v>763</v>
      </c>
      <c r="U93" s="711"/>
    </row>
    <row r="94" spans="1:21">
      <c r="A94" s="697"/>
      <c r="B94" s="721" t="s">
        <v>54</v>
      </c>
      <c r="C94" s="721"/>
      <c r="D94" s="699" t="s">
        <v>54</v>
      </c>
      <c r="E94" s="721"/>
      <c r="F94" s="721"/>
      <c r="G94" s="721"/>
      <c r="H94" s="721"/>
      <c r="I94" s="721"/>
      <c r="J94" s="721"/>
      <c r="K94" s="721"/>
      <c r="L94" s="721"/>
      <c r="M94" s="721" t="s">
        <v>54</v>
      </c>
      <c r="N94" s="721"/>
      <c r="O94" s="722"/>
      <c r="P94" s="722"/>
      <c r="Q94" s="704"/>
      <c r="R94" s="721"/>
      <c r="S94" s="723"/>
      <c r="T94" s="721"/>
      <c r="U94" s="721"/>
    </row>
    <row r="95" spans="1:21" ht="14.5">
      <c r="A95" s="697">
        <v>46239</v>
      </c>
      <c r="B95" s="698" t="s">
        <v>691</v>
      </c>
      <c r="C95" s="698" t="s">
        <v>692</v>
      </c>
      <c r="D95" s="698" t="s">
        <v>833</v>
      </c>
      <c r="E95" s="698" t="s">
        <v>693</v>
      </c>
      <c r="F95" s="700">
        <v>0.33333333333333298</v>
      </c>
      <c r="G95" s="700">
        <v>0.61111111111111105</v>
      </c>
      <c r="H95" s="700">
        <v>0.96527777777777779</v>
      </c>
      <c r="I95" s="701">
        <v>540</v>
      </c>
      <c r="J95" s="698">
        <v>510.00000000000011</v>
      </c>
      <c r="K95" s="702">
        <v>-0.49999999999999811</v>
      </c>
      <c r="L95" s="703">
        <v>8.5000000000000018</v>
      </c>
      <c r="M95" s="698" t="s">
        <v>834</v>
      </c>
      <c r="N95" s="698" t="s">
        <v>835</v>
      </c>
      <c r="O95" s="706">
        <v>32015</v>
      </c>
      <c r="P95" s="706">
        <v>32159</v>
      </c>
      <c r="Q95" s="704">
        <v>144</v>
      </c>
      <c r="R95" s="698" t="s">
        <v>695</v>
      </c>
      <c r="S95" s="705">
        <v>14</v>
      </c>
      <c r="T95" s="698" t="s">
        <v>763</v>
      </c>
      <c r="U95" s="698"/>
    </row>
    <row r="96" spans="1:21" ht="14.5">
      <c r="A96" s="697"/>
      <c r="B96" s="698" t="s">
        <v>696</v>
      </c>
      <c r="C96" s="698" t="s">
        <v>697</v>
      </c>
      <c r="D96" s="698" t="s">
        <v>836</v>
      </c>
      <c r="E96" s="698" t="s">
        <v>693</v>
      </c>
      <c r="F96" s="700">
        <v>0.33333333333333298</v>
      </c>
      <c r="G96" s="700">
        <v>0.54166666666666663</v>
      </c>
      <c r="H96" s="700">
        <v>1.0326388888888889</v>
      </c>
      <c r="I96" s="701">
        <v>540</v>
      </c>
      <c r="J96" s="698">
        <v>707</v>
      </c>
      <c r="K96" s="702">
        <v>2.7833333333333332</v>
      </c>
      <c r="L96" s="703">
        <v>11.783333333333333</v>
      </c>
      <c r="M96" s="698" t="s">
        <v>837</v>
      </c>
      <c r="N96" s="698" t="s">
        <v>838</v>
      </c>
      <c r="O96" s="706">
        <v>28129</v>
      </c>
      <c r="P96" s="706">
        <v>28303</v>
      </c>
      <c r="Q96" s="704">
        <v>174</v>
      </c>
      <c r="R96" s="698" t="s">
        <v>695</v>
      </c>
      <c r="S96" s="705">
        <v>20</v>
      </c>
      <c r="T96" s="698" t="s">
        <v>806</v>
      </c>
      <c r="U96" s="698"/>
    </row>
    <row r="97" spans="1:21" ht="14.5">
      <c r="A97" s="697"/>
      <c r="B97" s="698" t="s">
        <v>698</v>
      </c>
      <c r="C97" s="698" t="s">
        <v>699</v>
      </c>
      <c r="D97" s="698" t="s">
        <v>839</v>
      </c>
      <c r="E97" s="698" t="s">
        <v>700</v>
      </c>
      <c r="F97" s="700">
        <v>0.33333333333333298</v>
      </c>
      <c r="G97" s="700">
        <v>0.28125</v>
      </c>
      <c r="H97" s="700">
        <v>0.91666666666666663</v>
      </c>
      <c r="I97" s="701">
        <v>540</v>
      </c>
      <c r="J97" s="698">
        <v>915</v>
      </c>
      <c r="K97" s="702">
        <v>6.25</v>
      </c>
      <c r="L97" s="703">
        <v>15.25</v>
      </c>
      <c r="M97" s="698" t="s">
        <v>840</v>
      </c>
      <c r="N97" s="698" t="s">
        <v>841</v>
      </c>
      <c r="O97" s="706">
        <v>31190</v>
      </c>
      <c r="P97" s="706">
        <v>31302</v>
      </c>
      <c r="Q97" s="704">
        <v>112</v>
      </c>
      <c r="R97" s="698" t="s">
        <v>701</v>
      </c>
      <c r="S97" s="705">
        <v>25</v>
      </c>
      <c r="T97" s="698" t="s">
        <v>774</v>
      </c>
      <c r="U97" s="698"/>
    </row>
    <row r="98" spans="1:21" ht="14.5">
      <c r="A98" s="697"/>
      <c r="B98" s="698" t="s">
        <v>702</v>
      </c>
      <c r="C98" s="698" t="s">
        <v>703</v>
      </c>
      <c r="D98" s="698" t="s">
        <v>842</v>
      </c>
      <c r="E98" s="698" t="s">
        <v>843</v>
      </c>
      <c r="F98" s="700">
        <v>0.33333333333333298</v>
      </c>
      <c r="G98" s="700">
        <v>0.33333333333333331</v>
      </c>
      <c r="H98" s="700">
        <v>0.75694444444444453</v>
      </c>
      <c r="I98" s="701">
        <v>540</v>
      </c>
      <c r="J98" s="698">
        <v>610.00000000000011</v>
      </c>
      <c r="K98" s="702">
        <v>1.1666666666666685</v>
      </c>
      <c r="L98" s="703">
        <v>10.166666666666668</v>
      </c>
      <c r="M98" s="698" t="s">
        <v>844</v>
      </c>
      <c r="N98" s="698" t="s">
        <v>845</v>
      </c>
      <c r="O98" s="706">
        <v>18699</v>
      </c>
      <c r="P98" s="706">
        <v>18860</v>
      </c>
      <c r="Q98" s="704">
        <v>161</v>
      </c>
      <c r="R98" s="698" t="s">
        <v>701</v>
      </c>
      <c r="S98" s="705">
        <v>15</v>
      </c>
      <c r="T98" s="698" t="s">
        <v>846</v>
      </c>
      <c r="U98" s="698"/>
    </row>
    <row r="99" spans="1:21" ht="14.5">
      <c r="A99" s="697"/>
      <c r="B99" s="698" t="s">
        <v>704</v>
      </c>
      <c r="C99" s="698" t="s">
        <v>705</v>
      </c>
      <c r="D99" s="698" t="s">
        <v>788</v>
      </c>
      <c r="E99" s="698" t="s">
        <v>693</v>
      </c>
      <c r="F99" s="700">
        <v>0.33333333333333298</v>
      </c>
      <c r="G99" s="700"/>
      <c r="H99" s="700"/>
      <c r="I99" s="701">
        <v>540</v>
      </c>
      <c r="J99" s="698">
        <v>0</v>
      </c>
      <c r="K99" s="702">
        <v>-9</v>
      </c>
      <c r="L99" s="703">
        <v>0</v>
      </c>
      <c r="M99" s="698" t="s">
        <v>694</v>
      </c>
      <c r="N99" s="698"/>
      <c r="O99" s="706"/>
      <c r="P99" s="706"/>
      <c r="Q99" s="704">
        <v>0</v>
      </c>
      <c r="R99" s="698" t="s">
        <v>701</v>
      </c>
      <c r="S99" s="705"/>
      <c r="T99" s="698"/>
      <c r="U99" s="698"/>
    </row>
    <row r="100" spans="1:21" ht="14.5">
      <c r="A100" s="697"/>
      <c r="B100" s="698" t="s">
        <v>706</v>
      </c>
      <c r="C100" s="698" t="s">
        <v>707</v>
      </c>
      <c r="D100" s="698" t="s">
        <v>788</v>
      </c>
      <c r="E100" s="698" t="s">
        <v>693</v>
      </c>
      <c r="F100" s="700">
        <v>0.33333333333333298</v>
      </c>
      <c r="G100" s="700"/>
      <c r="H100" s="700"/>
      <c r="I100" s="701">
        <v>540</v>
      </c>
      <c r="J100" s="698">
        <v>0</v>
      </c>
      <c r="K100" s="702">
        <v>-9</v>
      </c>
      <c r="L100" s="703">
        <v>0</v>
      </c>
      <c r="M100" s="698" t="s">
        <v>694</v>
      </c>
      <c r="N100" s="698"/>
      <c r="O100" s="706"/>
      <c r="P100" s="706"/>
      <c r="Q100" s="704">
        <v>0</v>
      </c>
      <c r="R100" s="698" t="s">
        <v>701</v>
      </c>
      <c r="S100" s="705"/>
      <c r="T100" s="698"/>
      <c r="U100" s="698"/>
    </row>
    <row r="101" spans="1:21" ht="14.5">
      <c r="A101" s="697"/>
      <c r="B101" s="698" t="s">
        <v>708</v>
      </c>
      <c r="C101" s="698" t="s">
        <v>709</v>
      </c>
      <c r="D101" s="698" t="s">
        <v>788</v>
      </c>
      <c r="E101" s="698" t="s">
        <v>710</v>
      </c>
      <c r="F101" s="700">
        <v>0.33333333333333298</v>
      </c>
      <c r="G101" s="700"/>
      <c r="H101" s="700"/>
      <c r="I101" s="701">
        <v>540</v>
      </c>
      <c r="J101" s="698">
        <v>0</v>
      </c>
      <c r="K101" s="702">
        <v>-9</v>
      </c>
      <c r="L101" s="703">
        <v>0</v>
      </c>
      <c r="M101" s="698" t="s">
        <v>694</v>
      </c>
      <c r="N101" s="698" t="s">
        <v>711</v>
      </c>
      <c r="O101" s="706"/>
      <c r="P101" s="706"/>
      <c r="Q101" s="704">
        <v>0</v>
      </c>
      <c r="R101" s="698" t="s">
        <v>695</v>
      </c>
      <c r="S101" s="705"/>
      <c r="T101" s="698"/>
      <c r="U101" s="698"/>
    </row>
    <row r="102" spans="1:21" ht="14.5">
      <c r="A102" s="697"/>
      <c r="B102" s="698" t="s">
        <v>712</v>
      </c>
      <c r="C102" s="698" t="s">
        <v>713</v>
      </c>
      <c r="D102" s="698" t="s">
        <v>847</v>
      </c>
      <c r="E102" s="698" t="s">
        <v>169</v>
      </c>
      <c r="F102" s="700">
        <v>0.33333333333333298</v>
      </c>
      <c r="G102" s="700">
        <v>0.375</v>
      </c>
      <c r="H102" s="700">
        <v>0.79236111111111107</v>
      </c>
      <c r="I102" s="701">
        <v>540</v>
      </c>
      <c r="J102" s="698">
        <v>601</v>
      </c>
      <c r="K102" s="702">
        <v>1.0166666666666666</v>
      </c>
      <c r="L102" s="703">
        <v>10.016666666666667</v>
      </c>
      <c r="M102" s="698" t="s">
        <v>832</v>
      </c>
      <c r="N102" s="698" t="s">
        <v>714</v>
      </c>
      <c r="O102" s="706">
        <v>43918</v>
      </c>
      <c r="P102" s="706">
        <v>44075</v>
      </c>
      <c r="Q102" s="704">
        <v>157</v>
      </c>
      <c r="R102" s="698" t="s">
        <v>695</v>
      </c>
      <c r="S102" s="705">
        <v>15</v>
      </c>
      <c r="T102" s="698" t="s">
        <v>774</v>
      </c>
      <c r="U102" s="698" t="s">
        <v>785</v>
      </c>
    </row>
    <row r="103" spans="1:21" ht="14.5">
      <c r="A103" s="697"/>
      <c r="B103" s="698" t="s">
        <v>715</v>
      </c>
      <c r="C103" s="698" t="s">
        <v>716</v>
      </c>
      <c r="D103" s="707" t="s">
        <v>848</v>
      </c>
      <c r="E103" s="698" t="s">
        <v>190</v>
      </c>
      <c r="F103" s="700">
        <v>0.33333333333333298</v>
      </c>
      <c r="G103" s="700">
        <v>0.33333333333333331</v>
      </c>
      <c r="H103" s="700">
        <v>0.70833333333333337</v>
      </c>
      <c r="I103" s="701">
        <v>540</v>
      </c>
      <c r="J103" s="698">
        <v>540.00000000000011</v>
      </c>
      <c r="K103" s="702">
        <v>1.8947806286936005E-15</v>
      </c>
      <c r="L103" s="703">
        <v>9.0000000000000018</v>
      </c>
      <c r="M103" s="698" t="s">
        <v>849</v>
      </c>
      <c r="N103" s="698" t="s">
        <v>717</v>
      </c>
      <c r="O103" s="706">
        <v>39838</v>
      </c>
      <c r="P103" s="706">
        <v>39879</v>
      </c>
      <c r="Q103" s="704">
        <v>41</v>
      </c>
      <c r="R103" s="698" t="s">
        <v>695</v>
      </c>
      <c r="S103" s="705"/>
      <c r="T103" s="698" t="s">
        <v>763</v>
      </c>
      <c r="U103" s="698" t="s">
        <v>850</v>
      </c>
    </row>
    <row r="104" spans="1:21" ht="14.5">
      <c r="A104" s="697"/>
      <c r="B104" s="707" t="s">
        <v>718</v>
      </c>
      <c r="C104" s="707" t="s">
        <v>719</v>
      </c>
      <c r="D104" s="707" t="s">
        <v>851</v>
      </c>
      <c r="E104" s="707" t="s">
        <v>720</v>
      </c>
      <c r="F104" s="700">
        <v>0.33333333333333298</v>
      </c>
      <c r="G104" s="700">
        <v>0.58333333333333337</v>
      </c>
      <c r="H104" s="700">
        <v>0.91666666666666663</v>
      </c>
      <c r="I104" s="701">
        <v>540</v>
      </c>
      <c r="J104" s="698">
        <v>479.99999999999989</v>
      </c>
      <c r="K104" s="702">
        <v>-1.000000000000002</v>
      </c>
      <c r="L104" s="703">
        <v>7.9999999999999982</v>
      </c>
      <c r="M104" s="698" t="s">
        <v>808</v>
      </c>
      <c r="N104" s="707" t="s">
        <v>721</v>
      </c>
      <c r="O104" s="708">
        <v>18904</v>
      </c>
      <c r="P104" s="708">
        <v>18936</v>
      </c>
      <c r="Q104" s="704">
        <v>32</v>
      </c>
      <c r="R104" s="707" t="s">
        <v>701</v>
      </c>
      <c r="S104" s="709">
        <v>5</v>
      </c>
      <c r="T104" s="707" t="s">
        <v>728</v>
      </c>
      <c r="U104" s="707" t="s">
        <v>852</v>
      </c>
    </row>
    <row r="105" spans="1:21" ht="14.5">
      <c r="A105" s="697"/>
      <c r="B105" s="707" t="s">
        <v>722</v>
      </c>
      <c r="C105" s="707" t="s">
        <v>723</v>
      </c>
      <c r="D105" s="707" t="s">
        <v>853</v>
      </c>
      <c r="E105" s="707" t="s">
        <v>725</v>
      </c>
      <c r="F105" s="700">
        <v>0.33333333333333298</v>
      </c>
      <c r="G105" s="700">
        <v>0.46875</v>
      </c>
      <c r="H105" s="700">
        <v>0.70833333333333337</v>
      </c>
      <c r="I105" s="701">
        <v>540</v>
      </c>
      <c r="J105" s="698">
        <v>345.00000000000006</v>
      </c>
      <c r="K105" s="702">
        <v>-3.2499999999999991</v>
      </c>
      <c r="L105" s="703">
        <v>5.7500000000000009</v>
      </c>
      <c r="M105" s="698" t="s">
        <v>854</v>
      </c>
      <c r="N105" s="707" t="s">
        <v>727</v>
      </c>
      <c r="O105" s="708">
        <v>29989</v>
      </c>
      <c r="P105" s="708">
        <v>30103</v>
      </c>
      <c r="Q105" s="704">
        <v>114</v>
      </c>
      <c r="R105" s="707" t="s">
        <v>695</v>
      </c>
      <c r="S105" s="709">
        <v>14</v>
      </c>
      <c r="T105" s="707" t="s">
        <v>763</v>
      </c>
      <c r="U105" s="707" t="s">
        <v>855</v>
      </c>
    </row>
    <row r="106" spans="1:21" ht="14.5">
      <c r="A106" s="697"/>
      <c r="B106" s="707" t="s">
        <v>730</v>
      </c>
      <c r="C106" s="707" t="s">
        <v>731</v>
      </c>
      <c r="D106" s="711" t="s">
        <v>847</v>
      </c>
      <c r="E106" s="707" t="s">
        <v>732</v>
      </c>
      <c r="F106" s="700">
        <v>0.33333333333333298</v>
      </c>
      <c r="G106" s="700">
        <v>0.35416666666666669</v>
      </c>
      <c r="H106" s="700">
        <v>0.79166666666666663</v>
      </c>
      <c r="I106" s="701">
        <v>540</v>
      </c>
      <c r="J106" s="698">
        <v>629.99999999999989</v>
      </c>
      <c r="K106" s="702">
        <v>1.499999999999998</v>
      </c>
      <c r="L106" s="703">
        <v>10.499999999999998</v>
      </c>
      <c r="M106" s="698" t="s">
        <v>726</v>
      </c>
      <c r="N106" s="707" t="s">
        <v>733</v>
      </c>
      <c r="O106" s="708">
        <v>24925</v>
      </c>
      <c r="P106" s="708">
        <v>25068</v>
      </c>
      <c r="Q106" s="704">
        <v>143</v>
      </c>
      <c r="R106" s="707" t="s">
        <v>701</v>
      </c>
      <c r="S106" s="709">
        <v>18</v>
      </c>
      <c r="T106" s="707" t="s">
        <v>846</v>
      </c>
      <c r="U106" s="707" t="s">
        <v>785</v>
      </c>
    </row>
    <row r="107" spans="1:21" ht="14.5">
      <c r="A107" s="697"/>
      <c r="B107" s="710" t="s">
        <v>734</v>
      </c>
      <c r="C107" s="711" t="s">
        <v>735</v>
      </c>
      <c r="D107" s="714" t="s">
        <v>788</v>
      </c>
      <c r="E107" s="711" t="s">
        <v>89</v>
      </c>
      <c r="F107" s="712">
        <v>0.33333333333333298</v>
      </c>
      <c r="G107" s="712"/>
      <c r="H107" s="712"/>
      <c r="I107" s="713">
        <v>540</v>
      </c>
      <c r="J107" s="714">
        <v>0</v>
      </c>
      <c r="K107" s="715">
        <v>-9</v>
      </c>
      <c r="L107" s="716">
        <v>0</v>
      </c>
      <c r="M107" s="714" t="s">
        <v>694</v>
      </c>
      <c r="N107" s="711" t="s">
        <v>736</v>
      </c>
      <c r="O107" s="717"/>
      <c r="P107" s="717"/>
      <c r="Q107" s="704">
        <v>0</v>
      </c>
      <c r="R107" s="711" t="s">
        <v>701</v>
      </c>
      <c r="S107" s="718"/>
      <c r="T107" s="711"/>
      <c r="U107" s="711"/>
    </row>
    <row r="108" spans="1:21" ht="14.5">
      <c r="A108" s="697"/>
      <c r="B108" s="714" t="s">
        <v>737</v>
      </c>
      <c r="C108" s="714" t="s">
        <v>738</v>
      </c>
      <c r="D108" s="707" t="s">
        <v>788</v>
      </c>
      <c r="E108" s="714"/>
      <c r="F108" s="712">
        <v>0.33333333333333298</v>
      </c>
      <c r="G108" s="712"/>
      <c r="H108" s="712"/>
      <c r="I108" s="713">
        <v>540</v>
      </c>
      <c r="J108" s="714">
        <v>0</v>
      </c>
      <c r="K108" s="715">
        <v>-9</v>
      </c>
      <c r="L108" s="716">
        <v>0</v>
      </c>
      <c r="M108" s="714" t="s">
        <v>694</v>
      </c>
      <c r="N108" s="714"/>
      <c r="O108" s="719"/>
      <c r="P108" s="719"/>
      <c r="Q108" s="704">
        <v>0</v>
      </c>
      <c r="R108" s="714" t="s">
        <v>695</v>
      </c>
      <c r="S108" s="720"/>
      <c r="T108" s="714"/>
      <c r="U108" s="714" t="s">
        <v>739</v>
      </c>
    </row>
    <row r="109" spans="1:21" ht="14.5">
      <c r="A109" s="697"/>
      <c r="B109" s="707"/>
      <c r="C109" s="707" t="s">
        <v>740</v>
      </c>
      <c r="D109" s="707" t="s">
        <v>54</v>
      </c>
      <c r="E109" s="707" t="s">
        <v>741</v>
      </c>
      <c r="F109" s="700">
        <v>0.33333333333333298</v>
      </c>
      <c r="G109" s="700"/>
      <c r="H109" s="700"/>
      <c r="I109" s="701">
        <v>540</v>
      </c>
      <c r="J109" s="698">
        <v>0</v>
      </c>
      <c r="K109" s="702">
        <v>-9</v>
      </c>
      <c r="L109" s="703">
        <v>0</v>
      </c>
      <c r="M109" s="698" t="s">
        <v>694</v>
      </c>
      <c r="N109" s="707"/>
      <c r="O109" s="708"/>
      <c r="P109" s="708"/>
      <c r="Q109" s="704">
        <v>0</v>
      </c>
      <c r="R109" s="707" t="s">
        <v>742</v>
      </c>
      <c r="S109" s="709"/>
      <c r="T109" s="707"/>
      <c r="U109" s="707"/>
    </row>
    <row r="110" spans="1:21" ht="14.5">
      <c r="A110" s="697"/>
      <c r="B110" s="707" t="s">
        <v>54</v>
      </c>
      <c r="C110" s="707" t="s">
        <v>743</v>
      </c>
      <c r="D110" s="698"/>
      <c r="E110" s="707" t="s">
        <v>744</v>
      </c>
      <c r="F110" s="700">
        <v>0.33333333333333298</v>
      </c>
      <c r="G110" s="700"/>
      <c r="H110" s="700"/>
      <c r="I110" s="701">
        <v>540</v>
      </c>
      <c r="J110" s="698">
        <v>0</v>
      </c>
      <c r="K110" s="702">
        <v>-9</v>
      </c>
      <c r="L110" s="703">
        <v>0</v>
      </c>
      <c r="M110" s="698" t="s">
        <v>694</v>
      </c>
      <c r="N110" s="707"/>
      <c r="O110" s="708"/>
      <c r="P110" s="708"/>
      <c r="Q110" s="704">
        <v>0</v>
      </c>
      <c r="R110" s="707" t="s">
        <v>742</v>
      </c>
      <c r="S110" s="709"/>
      <c r="T110" s="707"/>
      <c r="U110" s="707"/>
    </row>
    <row r="111" spans="1:21" ht="14.5">
      <c r="A111" s="697"/>
      <c r="B111" s="698" t="s">
        <v>745</v>
      </c>
      <c r="C111" s="698"/>
      <c r="D111" s="698"/>
      <c r="E111" s="698"/>
      <c r="F111" s="700">
        <v>0.33333333333333298</v>
      </c>
      <c r="G111" s="700"/>
      <c r="H111" s="700"/>
      <c r="I111" s="701">
        <v>540</v>
      </c>
      <c r="J111" s="698">
        <v>0</v>
      </c>
      <c r="K111" s="702">
        <v>-9</v>
      </c>
      <c r="L111" s="703">
        <v>0</v>
      </c>
      <c r="M111" s="698" t="s">
        <v>694</v>
      </c>
      <c r="N111" s="698"/>
      <c r="O111" s="706"/>
      <c r="P111" s="706"/>
      <c r="Q111" s="704">
        <v>0</v>
      </c>
      <c r="R111" s="698"/>
      <c r="S111" s="705"/>
      <c r="T111" s="698"/>
      <c r="U111" s="698"/>
    </row>
    <row r="112" spans="1:21" ht="14.5">
      <c r="A112" s="697"/>
      <c r="B112" s="698" t="s">
        <v>746</v>
      </c>
      <c r="C112" s="698" t="s">
        <v>747</v>
      </c>
      <c r="D112" s="707" t="s">
        <v>856</v>
      </c>
      <c r="E112" s="698" t="s">
        <v>693</v>
      </c>
      <c r="F112" s="700">
        <v>0.33333333333333298</v>
      </c>
      <c r="G112" s="700">
        <v>0.22916666666666666</v>
      </c>
      <c r="H112" s="700">
        <v>0.80555555555555547</v>
      </c>
      <c r="I112" s="701">
        <v>540</v>
      </c>
      <c r="J112" s="698">
        <v>829.99999999999989</v>
      </c>
      <c r="K112" s="702">
        <v>4.8333333333333313</v>
      </c>
      <c r="L112" s="703">
        <v>13.833333333333332</v>
      </c>
      <c r="M112" s="698" t="s">
        <v>761</v>
      </c>
      <c r="N112" s="698" t="s">
        <v>767</v>
      </c>
      <c r="O112" s="706">
        <v>13933</v>
      </c>
      <c r="P112" s="706">
        <v>14031</v>
      </c>
      <c r="Q112" s="704">
        <v>98</v>
      </c>
      <c r="R112" s="698" t="s">
        <v>701</v>
      </c>
      <c r="S112" s="705">
        <v>40</v>
      </c>
      <c r="T112" s="698" t="s">
        <v>806</v>
      </c>
      <c r="U112" s="698" t="s">
        <v>764</v>
      </c>
    </row>
    <row r="113" spans="1:21" ht="14.5">
      <c r="A113" s="697"/>
      <c r="B113" s="707" t="s">
        <v>748</v>
      </c>
      <c r="C113" s="707" t="s">
        <v>749</v>
      </c>
      <c r="D113" s="707" t="s">
        <v>857</v>
      </c>
      <c r="E113" s="707" t="s">
        <v>190</v>
      </c>
      <c r="F113" s="700">
        <v>0.33333333333333298</v>
      </c>
      <c r="G113" s="700">
        <v>0.25</v>
      </c>
      <c r="H113" s="700">
        <v>0.71180555555555547</v>
      </c>
      <c r="I113" s="701">
        <v>540</v>
      </c>
      <c r="J113" s="698">
        <v>664.99999999999989</v>
      </c>
      <c r="K113" s="702">
        <v>2.0833333333333313</v>
      </c>
      <c r="L113" s="703">
        <v>11.083333333333332</v>
      </c>
      <c r="M113" s="698" t="s">
        <v>858</v>
      </c>
      <c r="N113" s="707" t="s">
        <v>859</v>
      </c>
      <c r="O113" s="708">
        <v>38968</v>
      </c>
      <c r="P113" s="708">
        <v>38997</v>
      </c>
      <c r="Q113" s="704">
        <v>29</v>
      </c>
      <c r="R113" s="707" t="s">
        <v>695</v>
      </c>
      <c r="S113" s="709">
        <v>10</v>
      </c>
      <c r="T113" s="707" t="s">
        <v>806</v>
      </c>
      <c r="U113" s="707"/>
    </row>
    <row r="114" spans="1:21" ht="14.5">
      <c r="A114" s="697"/>
      <c r="B114" s="707" t="s">
        <v>750</v>
      </c>
      <c r="C114" s="707"/>
      <c r="D114" s="707"/>
      <c r="E114" s="707"/>
      <c r="F114" s="700">
        <v>0.33333333333333298</v>
      </c>
      <c r="G114" s="700"/>
      <c r="H114" s="700"/>
      <c r="I114" s="701">
        <v>540</v>
      </c>
      <c r="J114" s="698">
        <v>0</v>
      </c>
      <c r="K114" s="702">
        <v>-9</v>
      </c>
      <c r="L114" s="703">
        <v>0</v>
      </c>
      <c r="M114" s="698" t="s">
        <v>694</v>
      </c>
      <c r="N114" s="707"/>
      <c r="O114" s="708"/>
      <c r="P114" s="708"/>
      <c r="Q114" s="704">
        <v>0</v>
      </c>
      <c r="R114" s="707"/>
      <c r="S114" s="709"/>
      <c r="T114" s="707"/>
      <c r="U114" s="707"/>
    </row>
    <row r="115" spans="1:21" ht="14.5">
      <c r="A115" s="697"/>
      <c r="B115" s="707" t="s">
        <v>751</v>
      </c>
      <c r="C115" s="707" t="s">
        <v>752</v>
      </c>
      <c r="D115" s="711" t="s">
        <v>797</v>
      </c>
      <c r="E115" s="707" t="s">
        <v>725</v>
      </c>
      <c r="F115" s="700">
        <v>0.33333333333333298</v>
      </c>
      <c r="G115" s="700">
        <v>0.28333333333333333</v>
      </c>
      <c r="H115" s="700">
        <v>0.76597222222222217</v>
      </c>
      <c r="I115" s="701">
        <v>540</v>
      </c>
      <c r="J115" s="698">
        <v>694.99999999999989</v>
      </c>
      <c r="K115" s="702">
        <v>2.5833333333333313</v>
      </c>
      <c r="L115" s="703">
        <v>11.583333333333332</v>
      </c>
      <c r="M115" s="698" t="s">
        <v>860</v>
      </c>
      <c r="N115" s="707" t="s">
        <v>799</v>
      </c>
      <c r="O115" s="708">
        <v>8701</v>
      </c>
      <c r="P115" s="708">
        <v>8719</v>
      </c>
      <c r="Q115" s="704">
        <v>18</v>
      </c>
      <c r="R115" s="707" t="s">
        <v>701</v>
      </c>
      <c r="S115" s="709"/>
      <c r="T115" s="707" t="s">
        <v>763</v>
      </c>
      <c r="U115" s="707"/>
    </row>
    <row r="116" spans="1:21">
      <c r="A116" s="697"/>
      <c r="B116" s="710" t="s">
        <v>754</v>
      </c>
      <c r="C116" s="711" t="s">
        <v>755</v>
      </c>
      <c r="D116" s="721" t="s">
        <v>831</v>
      </c>
      <c r="E116" s="711" t="s">
        <v>190</v>
      </c>
      <c r="F116" s="712">
        <v>0.33333333333333298</v>
      </c>
      <c r="G116" s="712">
        <v>0.41666666666666669</v>
      </c>
      <c r="H116" s="712">
        <v>0.75</v>
      </c>
      <c r="I116" s="713">
        <v>540</v>
      </c>
      <c r="J116" s="714">
        <v>480</v>
      </c>
      <c r="K116" s="715">
        <v>-1</v>
      </c>
      <c r="L116" s="716">
        <v>8</v>
      </c>
      <c r="M116" s="714" t="s">
        <v>808</v>
      </c>
      <c r="N116" s="711" t="s">
        <v>802</v>
      </c>
      <c r="O116" s="717">
        <v>21724</v>
      </c>
      <c r="P116" s="717">
        <v>21738</v>
      </c>
      <c r="Q116" s="704">
        <v>14</v>
      </c>
      <c r="R116" s="711" t="s">
        <v>701</v>
      </c>
      <c r="S116" s="718"/>
      <c r="T116" s="711" t="s">
        <v>763</v>
      </c>
      <c r="U116" s="711"/>
    </row>
    <row r="117" spans="1:21">
      <c r="A117" s="697"/>
      <c r="B117" s="721" t="s">
        <v>54</v>
      </c>
      <c r="C117" s="721"/>
      <c r="D117" s="699" t="s">
        <v>54</v>
      </c>
      <c r="E117" s="721"/>
      <c r="F117" s="721"/>
      <c r="G117" s="721"/>
      <c r="H117" s="721"/>
      <c r="I117" s="721"/>
      <c r="J117" s="721"/>
      <c r="K117" s="721"/>
      <c r="L117" s="721"/>
      <c r="M117" s="721" t="s">
        <v>54</v>
      </c>
      <c r="N117" s="721"/>
      <c r="O117" s="722"/>
      <c r="P117" s="722"/>
      <c r="Q117" s="704"/>
      <c r="R117" s="721"/>
      <c r="S117" s="723"/>
      <c r="T117" s="721"/>
      <c r="U117" s="721"/>
    </row>
    <row r="118" spans="1:21" ht="14.5">
      <c r="A118" s="697">
        <v>46240</v>
      </c>
      <c r="B118" s="698" t="s">
        <v>691</v>
      </c>
      <c r="C118" s="698" t="s">
        <v>692</v>
      </c>
      <c r="D118" s="698" t="s">
        <v>861</v>
      </c>
      <c r="E118" s="698" t="s">
        <v>693</v>
      </c>
      <c r="F118" s="700">
        <v>0.33333333333333298</v>
      </c>
      <c r="G118" s="700">
        <v>0.24930555555555556</v>
      </c>
      <c r="H118" s="700">
        <v>0.90347222222222223</v>
      </c>
      <c r="I118" s="701">
        <v>540</v>
      </c>
      <c r="J118" s="698">
        <v>942</v>
      </c>
      <c r="K118" s="702">
        <v>6.7</v>
      </c>
      <c r="L118" s="703">
        <v>15.7</v>
      </c>
      <c r="M118" s="698" t="s">
        <v>862</v>
      </c>
      <c r="N118" s="698" t="s">
        <v>863</v>
      </c>
      <c r="O118" s="706">
        <v>32158</v>
      </c>
      <c r="P118" s="706">
        <v>32159</v>
      </c>
      <c r="Q118" s="704">
        <v>1</v>
      </c>
      <c r="R118" s="698" t="s">
        <v>695</v>
      </c>
      <c r="S118" s="705"/>
      <c r="T118" s="698" t="s">
        <v>781</v>
      </c>
      <c r="U118" s="698"/>
    </row>
    <row r="119" spans="1:21" ht="14.5">
      <c r="A119" s="697"/>
      <c r="B119" s="698" t="s">
        <v>696</v>
      </c>
      <c r="C119" s="698" t="s">
        <v>697</v>
      </c>
      <c r="D119" s="698" t="s">
        <v>864</v>
      </c>
      <c r="E119" s="698" t="s">
        <v>693</v>
      </c>
      <c r="F119" s="700">
        <v>0.33333333333333298</v>
      </c>
      <c r="G119" s="700">
        <v>0.375</v>
      </c>
      <c r="H119" s="700">
        <v>0.86388888888888893</v>
      </c>
      <c r="I119" s="701">
        <v>540</v>
      </c>
      <c r="J119" s="698">
        <v>704</v>
      </c>
      <c r="K119" s="702">
        <v>2.7333333333333334</v>
      </c>
      <c r="L119" s="703">
        <v>11.733333333333333</v>
      </c>
      <c r="M119" s="698" t="s">
        <v>865</v>
      </c>
      <c r="N119" s="698" t="s">
        <v>838</v>
      </c>
      <c r="O119" s="706">
        <v>28303</v>
      </c>
      <c r="P119" s="706">
        <v>28489</v>
      </c>
      <c r="Q119" s="704">
        <v>186</v>
      </c>
      <c r="R119" s="698" t="s">
        <v>695</v>
      </c>
      <c r="S119" s="705">
        <v>20</v>
      </c>
      <c r="T119" s="698" t="s">
        <v>806</v>
      </c>
      <c r="U119" s="698"/>
    </row>
    <row r="120" spans="1:21" ht="14.5">
      <c r="A120" s="697"/>
      <c r="B120" s="698" t="s">
        <v>698</v>
      </c>
      <c r="C120" s="698" t="s">
        <v>699</v>
      </c>
      <c r="D120" s="698" t="s">
        <v>866</v>
      </c>
      <c r="E120" s="698" t="s">
        <v>700</v>
      </c>
      <c r="F120" s="700">
        <v>0.33333333333333298</v>
      </c>
      <c r="G120" s="700">
        <v>0.47916666666666669</v>
      </c>
      <c r="H120" s="700">
        <v>0.70972222222222225</v>
      </c>
      <c r="I120" s="701">
        <v>540</v>
      </c>
      <c r="J120" s="698">
        <v>332</v>
      </c>
      <c r="K120" s="702">
        <v>-3.4666666666666668</v>
      </c>
      <c r="L120" s="703">
        <v>5.5333333333333332</v>
      </c>
      <c r="M120" s="698" t="s">
        <v>867</v>
      </c>
      <c r="N120" s="698" t="s">
        <v>868</v>
      </c>
      <c r="O120" s="706">
        <v>31302</v>
      </c>
      <c r="P120" s="706">
        <v>31435</v>
      </c>
      <c r="Q120" s="704">
        <v>133</v>
      </c>
      <c r="R120" s="698" t="s">
        <v>701</v>
      </c>
      <c r="S120" s="705"/>
      <c r="T120" s="698" t="s">
        <v>774</v>
      </c>
      <c r="U120" s="698"/>
    </row>
    <row r="121" spans="1:21" ht="14.5">
      <c r="A121" s="697"/>
      <c r="B121" s="698" t="s">
        <v>702</v>
      </c>
      <c r="C121" s="698" t="s">
        <v>703</v>
      </c>
      <c r="D121" s="698" t="s">
        <v>869</v>
      </c>
      <c r="E121" s="698" t="s">
        <v>870</v>
      </c>
      <c r="F121" s="700">
        <v>0.33333333333333298</v>
      </c>
      <c r="G121" s="700">
        <v>0.33333333333333331</v>
      </c>
      <c r="H121" s="700">
        <v>0.92361111111111116</v>
      </c>
      <c r="I121" s="701">
        <v>540</v>
      </c>
      <c r="J121" s="698">
        <v>850.00000000000023</v>
      </c>
      <c r="K121" s="702">
        <v>5.1666666666666705</v>
      </c>
      <c r="L121" s="703">
        <v>14.16666666666667</v>
      </c>
      <c r="M121" s="698" t="s">
        <v>787</v>
      </c>
      <c r="N121" s="698" t="s">
        <v>871</v>
      </c>
      <c r="O121" s="706">
        <v>18860</v>
      </c>
      <c r="P121" s="706">
        <v>19074</v>
      </c>
      <c r="Q121" s="704">
        <v>214</v>
      </c>
      <c r="R121" s="698" t="s">
        <v>701</v>
      </c>
      <c r="S121" s="705">
        <v>25</v>
      </c>
      <c r="T121" s="698" t="s">
        <v>781</v>
      </c>
      <c r="U121" s="698" t="s">
        <v>872</v>
      </c>
    </row>
    <row r="122" spans="1:21" ht="14.5">
      <c r="A122" s="697"/>
      <c r="B122" s="698" t="s">
        <v>704</v>
      </c>
      <c r="C122" s="698" t="s">
        <v>705</v>
      </c>
      <c r="D122" s="698" t="s">
        <v>873</v>
      </c>
      <c r="E122" s="698" t="s">
        <v>278</v>
      </c>
      <c r="F122" s="700">
        <v>0.33333333333333298</v>
      </c>
      <c r="G122" s="700">
        <v>0.45833333333333331</v>
      </c>
      <c r="H122" s="700">
        <v>0.95833333333333337</v>
      </c>
      <c r="I122" s="701">
        <v>540</v>
      </c>
      <c r="J122" s="698">
        <v>720</v>
      </c>
      <c r="K122" s="702">
        <v>3</v>
      </c>
      <c r="L122" s="703">
        <v>12</v>
      </c>
      <c r="M122" s="698" t="s">
        <v>874</v>
      </c>
      <c r="N122" s="698" t="s">
        <v>875</v>
      </c>
      <c r="O122" s="706">
        <v>41958</v>
      </c>
      <c r="P122" s="706">
        <v>42085</v>
      </c>
      <c r="Q122" s="704">
        <v>127</v>
      </c>
      <c r="R122" s="698" t="s">
        <v>701</v>
      </c>
      <c r="S122" s="705">
        <v>10</v>
      </c>
      <c r="T122" s="698" t="s">
        <v>806</v>
      </c>
      <c r="U122" s="698"/>
    </row>
    <row r="123" spans="1:21" ht="14.5">
      <c r="A123" s="697"/>
      <c r="B123" s="698" t="s">
        <v>706</v>
      </c>
      <c r="C123" s="698" t="s">
        <v>707</v>
      </c>
      <c r="D123" s="698" t="s">
        <v>876</v>
      </c>
      <c r="E123" s="698" t="s">
        <v>815</v>
      </c>
      <c r="F123" s="700">
        <v>0.33333333333333298</v>
      </c>
      <c r="G123" s="700">
        <v>0.33333333333333331</v>
      </c>
      <c r="H123" s="700">
        <v>0.70833333333333337</v>
      </c>
      <c r="I123" s="701">
        <v>540</v>
      </c>
      <c r="J123" s="698">
        <v>540.00000000000011</v>
      </c>
      <c r="K123" s="702">
        <v>1.8947806286936005E-15</v>
      </c>
      <c r="L123" s="703">
        <v>9.0000000000000018</v>
      </c>
      <c r="M123" s="698" t="s">
        <v>849</v>
      </c>
      <c r="N123" s="698" t="s">
        <v>877</v>
      </c>
      <c r="O123" s="706">
        <v>22602</v>
      </c>
      <c r="P123" s="706">
        <v>22646</v>
      </c>
      <c r="Q123" s="704">
        <v>44</v>
      </c>
      <c r="R123" s="698" t="s">
        <v>701</v>
      </c>
      <c r="S123" s="705">
        <v>5</v>
      </c>
      <c r="T123" s="698" t="s">
        <v>728</v>
      </c>
      <c r="U123" s="698"/>
    </row>
    <row r="124" spans="1:21" ht="14.5">
      <c r="A124" s="697"/>
      <c r="B124" s="698" t="s">
        <v>708</v>
      </c>
      <c r="C124" s="698" t="s">
        <v>709</v>
      </c>
      <c r="D124" s="698" t="s">
        <v>788</v>
      </c>
      <c r="E124" s="698" t="s">
        <v>710</v>
      </c>
      <c r="F124" s="700">
        <v>0.33333333333333298</v>
      </c>
      <c r="G124" s="700"/>
      <c r="H124" s="700"/>
      <c r="I124" s="701">
        <v>540</v>
      </c>
      <c r="J124" s="698">
        <v>0</v>
      </c>
      <c r="K124" s="702">
        <v>-9</v>
      </c>
      <c r="L124" s="703">
        <v>0</v>
      </c>
      <c r="M124" s="698" t="s">
        <v>694</v>
      </c>
      <c r="N124" s="698" t="s">
        <v>711</v>
      </c>
      <c r="O124" s="706"/>
      <c r="P124" s="706"/>
      <c r="Q124" s="704">
        <v>0</v>
      </c>
      <c r="R124" s="698" t="s">
        <v>695</v>
      </c>
      <c r="S124" s="705"/>
      <c r="T124" s="698"/>
      <c r="U124" s="698"/>
    </row>
    <row r="125" spans="1:21" ht="14.5">
      <c r="A125" s="697"/>
      <c r="B125" s="698" t="s">
        <v>712</v>
      </c>
      <c r="C125" s="698" t="s">
        <v>713</v>
      </c>
      <c r="D125" s="698" t="s">
        <v>878</v>
      </c>
      <c r="E125" s="698" t="s">
        <v>169</v>
      </c>
      <c r="F125" s="700">
        <v>0.33333333333333298</v>
      </c>
      <c r="G125" s="700">
        <v>0.20833333333333334</v>
      </c>
      <c r="H125" s="700">
        <v>0.95833333333333337</v>
      </c>
      <c r="I125" s="701">
        <v>540</v>
      </c>
      <c r="J125" s="698">
        <v>1080</v>
      </c>
      <c r="K125" s="702">
        <v>9</v>
      </c>
      <c r="L125" s="703">
        <v>18</v>
      </c>
      <c r="M125" s="698" t="s">
        <v>879</v>
      </c>
      <c r="N125" s="698" t="s">
        <v>714</v>
      </c>
      <c r="O125" s="706">
        <v>44075</v>
      </c>
      <c r="P125" s="706">
        <v>44298</v>
      </c>
      <c r="Q125" s="704">
        <v>223</v>
      </c>
      <c r="R125" s="698" t="s">
        <v>695</v>
      </c>
      <c r="S125" s="705">
        <v>30</v>
      </c>
      <c r="T125" s="698" t="s">
        <v>846</v>
      </c>
      <c r="U125" s="698" t="s">
        <v>785</v>
      </c>
    </row>
    <row r="126" spans="1:21" ht="14.5">
      <c r="A126" s="697"/>
      <c r="B126" s="698" t="s">
        <v>715</v>
      </c>
      <c r="C126" s="698" t="s">
        <v>716</v>
      </c>
      <c r="D126" s="707" t="s">
        <v>880</v>
      </c>
      <c r="E126" s="698" t="s">
        <v>190</v>
      </c>
      <c r="F126" s="700">
        <v>0.33333333333333298</v>
      </c>
      <c r="G126" s="700">
        <v>0.33333333333333331</v>
      </c>
      <c r="H126" s="700">
        <v>0.70833333333333337</v>
      </c>
      <c r="I126" s="701">
        <v>540</v>
      </c>
      <c r="J126" s="698">
        <v>540.00000000000011</v>
      </c>
      <c r="K126" s="702">
        <v>1.8947806286936005E-15</v>
      </c>
      <c r="L126" s="703">
        <v>9.0000000000000018</v>
      </c>
      <c r="M126" s="698" t="s">
        <v>849</v>
      </c>
      <c r="N126" s="698" t="s">
        <v>717</v>
      </c>
      <c r="O126" s="706">
        <v>39879</v>
      </c>
      <c r="P126" s="706">
        <v>39910</v>
      </c>
      <c r="Q126" s="704">
        <v>31</v>
      </c>
      <c r="R126" s="698" t="s">
        <v>695</v>
      </c>
      <c r="S126" s="705"/>
      <c r="T126" s="698" t="s">
        <v>781</v>
      </c>
      <c r="U126" s="698" t="s">
        <v>881</v>
      </c>
    </row>
    <row r="127" spans="1:21" ht="14.5">
      <c r="A127" s="697"/>
      <c r="B127" s="707" t="s">
        <v>718</v>
      </c>
      <c r="C127" s="707" t="s">
        <v>719</v>
      </c>
      <c r="D127" s="707" t="s">
        <v>788</v>
      </c>
      <c r="E127" s="707" t="s">
        <v>720</v>
      </c>
      <c r="F127" s="700">
        <v>0.33333333333333298</v>
      </c>
      <c r="G127" s="700"/>
      <c r="H127" s="700"/>
      <c r="I127" s="701">
        <v>540</v>
      </c>
      <c r="J127" s="698">
        <v>0</v>
      </c>
      <c r="K127" s="702">
        <v>-9</v>
      </c>
      <c r="L127" s="703">
        <v>0</v>
      </c>
      <c r="M127" s="698" t="s">
        <v>694</v>
      </c>
      <c r="N127" s="707" t="s">
        <v>721</v>
      </c>
      <c r="O127" s="708"/>
      <c r="P127" s="708"/>
      <c r="Q127" s="704">
        <v>0</v>
      </c>
      <c r="R127" s="707" t="s">
        <v>701</v>
      </c>
      <c r="S127" s="709"/>
      <c r="T127" s="707"/>
      <c r="U127" s="707"/>
    </row>
    <row r="128" spans="1:21" ht="14.5">
      <c r="A128" s="697"/>
      <c r="B128" s="707" t="s">
        <v>722</v>
      </c>
      <c r="C128" s="707" t="s">
        <v>723</v>
      </c>
      <c r="D128" s="707" t="s">
        <v>788</v>
      </c>
      <c r="E128" s="707" t="s">
        <v>725</v>
      </c>
      <c r="F128" s="700">
        <v>0.33333333333333298</v>
      </c>
      <c r="G128" s="700"/>
      <c r="H128" s="700"/>
      <c r="I128" s="701">
        <v>540</v>
      </c>
      <c r="J128" s="698">
        <v>0</v>
      </c>
      <c r="K128" s="702">
        <v>-9</v>
      </c>
      <c r="L128" s="703">
        <v>0</v>
      </c>
      <c r="M128" s="698" t="s">
        <v>694</v>
      </c>
      <c r="N128" s="707" t="s">
        <v>727</v>
      </c>
      <c r="O128" s="708"/>
      <c r="P128" s="708"/>
      <c r="Q128" s="704">
        <v>0</v>
      </c>
      <c r="R128" s="707" t="s">
        <v>695</v>
      </c>
      <c r="S128" s="709"/>
      <c r="T128" s="707"/>
      <c r="U128" s="707"/>
    </row>
    <row r="129" spans="1:21" ht="14.5">
      <c r="A129" s="697"/>
      <c r="B129" s="707" t="s">
        <v>730</v>
      </c>
      <c r="C129" s="707" t="s">
        <v>731</v>
      </c>
      <c r="D129" s="711" t="s">
        <v>788</v>
      </c>
      <c r="E129" s="707" t="s">
        <v>732</v>
      </c>
      <c r="F129" s="700">
        <v>0.33333333333333298</v>
      </c>
      <c r="G129" s="700"/>
      <c r="H129" s="700"/>
      <c r="I129" s="701">
        <v>540</v>
      </c>
      <c r="J129" s="698">
        <v>0</v>
      </c>
      <c r="K129" s="702">
        <v>-9</v>
      </c>
      <c r="L129" s="703">
        <v>0</v>
      </c>
      <c r="M129" s="698" t="s">
        <v>694</v>
      </c>
      <c r="N129" s="707" t="s">
        <v>733</v>
      </c>
      <c r="O129" s="708"/>
      <c r="P129" s="708"/>
      <c r="Q129" s="704">
        <v>0</v>
      </c>
      <c r="R129" s="707" t="s">
        <v>701</v>
      </c>
      <c r="S129" s="709"/>
      <c r="T129" s="707"/>
      <c r="U129" s="707"/>
    </row>
    <row r="130" spans="1:21" ht="14.5">
      <c r="A130" s="697"/>
      <c r="B130" s="710" t="s">
        <v>734</v>
      </c>
      <c r="C130" s="711" t="s">
        <v>735</v>
      </c>
      <c r="D130" s="714" t="s">
        <v>788</v>
      </c>
      <c r="E130" s="711" t="s">
        <v>89</v>
      </c>
      <c r="F130" s="712">
        <v>0.33333333333333298</v>
      </c>
      <c r="G130" s="712"/>
      <c r="H130" s="712"/>
      <c r="I130" s="713">
        <v>540</v>
      </c>
      <c r="J130" s="714">
        <v>0</v>
      </c>
      <c r="K130" s="715">
        <v>-9</v>
      </c>
      <c r="L130" s="716">
        <v>0</v>
      </c>
      <c r="M130" s="714" t="s">
        <v>694</v>
      </c>
      <c r="N130" s="711" t="s">
        <v>736</v>
      </c>
      <c r="O130" s="717"/>
      <c r="P130" s="717"/>
      <c r="Q130" s="704">
        <v>0</v>
      </c>
      <c r="R130" s="711" t="s">
        <v>701</v>
      </c>
      <c r="S130" s="718"/>
      <c r="T130" s="711"/>
      <c r="U130" s="711"/>
    </row>
    <row r="131" spans="1:21" ht="14.5">
      <c r="A131" s="697"/>
      <c r="B131" s="714" t="s">
        <v>737</v>
      </c>
      <c r="C131" s="714" t="s">
        <v>738</v>
      </c>
      <c r="D131" s="707" t="s">
        <v>788</v>
      </c>
      <c r="E131" s="714"/>
      <c r="F131" s="712">
        <v>0.33333333333333298</v>
      </c>
      <c r="G131" s="712"/>
      <c r="H131" s="712"/>
      <c r="I131" s="713">
        <v>540</v>
      </c>
      <c r="J131" s="714">
        <v>0</v>
      </c>
      <c r="K131" s="715">
        <v>-9</v>
      </c>
      <c r="L131" s="716">
        <v>0</v>
      </c>
      <c r="M131" s="714" t="s">
        <v>694</v>
      </c>
      <c r="N131" s="714"/>
      <c r="O131" s="719"/>
      <c r="P131" s="719"/>
      <c r="Q131" s="704">
        <v>0</v>
      </c>
      <c r="R131" s="714" t="s">
        <v>695</v>
      </c>
      <c r="S131" s="720"/>
      <c r="T131" s="714"/>
      <c r="U131" s="714" t="s">
        <v>739</v>
      </c>
    </row>
    <row r="132" spans="1:21" ht="14.5">
      <c r="A132" s="697"/>
      <c r="B132" s="707"/>
      <c r="C132" s="707" t="s">
        <v>740</v>
      </c>
      <c r="D132" s="707" t="s">
        <v>54</v>
      </c>
      <c r="E132" s="707" t="s">
        <v>741</v>
      </c>
      <c r="F132" s="700">
        <v>0.33333333333333298</v>
      </c>
      <c r="G132" s="700"/>
      <c r="H132" s="700"/>
      <c r="I132" s="701">
        <v>540</v>
      </c>
      <c r="J132" s="698">
        <v>0</v>
      </c>
      <c r="K132" s="702">
        <v>-9</v>
      </c>
      <c r="L132" s="703">
        <v>0</v>
      </c>
      <c r="M132" s="698" t="s">
        <v>694</v>
      </c>
      <c r="N132" s="707"/>
      <c r="O132" s="708"/>
      <c r="P132" s="708"/>
      <c r="Q132" s="704">
        <v>0</v>
      </c>
      <c r="R132" s="707" t="s">
        <v>742</v>
      </c>
      <c r="S132" s="709"/>
      <c r="T132" s="707"/>
      <c r="U132" s="707"/>
    </row>
    <row r="133" spans="1:21" ht="14.5">
      <c r="A133" s="697"/>
      <c r="B133" s="707" t="s">
        <v>54</v>
      </c>
      <c r="C133" s="707" t="s">
        <v>743</v>
      </c>
      <c r="D133" s="698"/>
      <c r="E133" s="707" t="s">
        <v>744</v>
      </c>
      <c r="F133" s="700">
        <v>0.33333333333333298</v>
      </c>
      <c r="G133" s="700"/>
      <c r="H133" s="700"/>
      <c r="I133" s="701">
        <v>540</v>
      </c>
      <c r="J133" s="698">
        <v>0</v>
      </c>
      <c r="K133" s="702">
        <v>-9</v>
      </c>
      <c r="L133" s="703">
        <v>0</v>
      </c>
      <c r="M133" s="698" t="s">
        <v>694</v>
      </c>
      <c r="N133" s="707"/>
      <c r="O133" s="708"/>
      <c r="P133" s="708"/>
      <c r="Q133" s="704">
        <v>0</v>
      </c>
      <c r="R133" s="707" t="s">
        <v>742</v>
      </c>
      <c r="S133" s="709"/>
      <c r="T133" s="707"/>
      <c r="U133" s="707"/>
    </row>
    <row r="134" spans="1:21" ht="14.5">
      <c r="A134" s="697"/>
      <c r="B134" s="698" t="s">
        <v>745</v>
      </c>
      <c r="C134" s="698"/>
      <c r="D134" s="698"/>
      <c r="E134" s="698"/>
      <c r="F134" s="700">
        <v>0.33333333333333298</v>
      </c>
      <c r="G134" s="700"/>
      <c r="H134" s="700"/>
      <c r="I134" s="701">
        <v>540</v>
      </c>
      <c r="J134" s="698">
        <v>0</v>
      </c>
      <c r="K134" s="702">
        <v>-9</v>
      </c>
      <c r="L134" s="703">
        <v>0</v>
      </c>
      <c r="M134" s="698" t="s">
        <v>694</v>
      </c>
      <c r="N134" s="698"/>
      <c r="O134" s="706"/>
      <c r="P134" s="706"/>
      <c r="Q134" s="704">
        <v>0</v>
      </c>
      <c r="R134" s="698"/>
      <c r="S134" s="705"/>
      <c r="T134" s="698"/>
      <c r="U134" s="698"/>
    </row>
    <row r="135" spans="1:21" ht="14.5">
      <c r="A135" s="697"/>
      <c r="B135" s="698" t="s">
        <v>746</v>
      </c>
      <c r="C135" s="698" t="s">
        <v>747</v>
      </c>
      <c r="D135" s="707" t="s">
        <v>882</v>
      </c>
      <c r="E135" s="698" t="s">
        <v>190</v>
      </c>
      <c r="F135" s="700">
        <v>0.33333333333333298</v>
      </c>
      <c r="G135" s="700">
        <v>0.28472222222222221</v>
      </c>
      <c r="H135" s="700">
        <v>0.71180555555555547</v>
      </c>
      <c r="I135" s="701">
        <v>540</v>
      </c>
      <c r="J135" s="698">
        <v>614.99999999999989</v>
      </c>
      <c r="K135" s="702">
        <v>1.249999999999998</v>
      </c>
      <c r="L135" s="703">
        <v>10.249999999999998</v>
      </c>
      <c r="M135" s="698" t="s">
        <v>883</v>
      </c>
      <c r="N135" s="698" t="s">
        <v>884</v>
      </c>
      <c r="O135" s="706">
        <v>38997</v>
      </c>
      <c r="P135" s="706">
        <v>39071</v>
      </c>
      <c r="Q135" s="704">
        <v>74</v>
      </c>
      <c r="R135" s="698" t="s">
        <v>701</v>
      </c>
      <c r="S135" s="705">
        <v>5</v>
      </c>
      <c r="T135" s="698" t="s">
        <v>806</v>
      </c>
      <c r="U135" s="698"/>
    </row>
    <row r="136" spans="1:21" ht="14.5">
      <c r="A136" s="697"/>
      <c r="B136" s="707" t="s">
        <v>748</v>
      </c>
      <c r="C136" s="707" t="s">
        <v>749</v>
      </c>
      <c r="D136" s="707" t="s">
        <v>788</v>
      </c>
      <c r="E136" s="707" t="s">
        <v>278</v>
      </c>
      <c r="F136" s="700">
        <v>0.33333333333333298</v>
      </c>
      <c r="G136" s="700"/>
      <c r="H136" s="700"/>
      <c r="I136" s="701">
        <v>540</v>
      </c>
      <c r="J136" s="698">
        <v>0</v>
      </c>
      <c r="K136" s="702">
        <v>-9</v>
      </c>
      <c r="L136" s="703">
        <v>0</v>
      </c>
      <c r="M136" s="698" t="s">
        <v>694</v>
      </c>
      <c r="N136" s="707"/>
      <c r="O136" s="708"/>
      <c r="P136" s="708"/>
      <c r="Q136" s="704">
        <v>0</v>
      </c>
      <c r="R136" s="707" t="s">
        <v>695</v>
      </c>
      <c r="S136" s="709"/>
      <c r="T136" s="707"/>
      <c r="U136" s="707"/>
    </row>
    <row r="137" spans="1:21" ht="14.5">
      <c r="A137" s="697"/>
      <c r="B137" s="707" t="s">
        <v>750</v>
      </c>
      <c r="C137" s="707"/>
      <c r="D137" s="707"/>
      <c r="E137" s="707"/>
      <c r="F137" s="700">
        <v>0.33333333333333298</v>
      </c>
      <c r="G137" s="700"/>
      <c r="H137" s="700"/>
      <c r="I137" s="701">
        <v>540</v>
      </c>
      <c r="J137" s="698">
        <v>0</v>
      </c>
      <c r="K137" s="702">
        <v>-9</v>
      </c>
      <c r="L137" s="703">
        <v>0</v>
      </c>
      <c r="M137" s="698" t="s">
        <v>694</v>
      </c>
      <c r="N137" s="707"/>
      <c r="O137" s="708"/>
      <c r="P137" s="708"/>
      <c r="Q137" s="704">
        <v>0</v>
      </c>
      <c r="R137" s="707"/>
      <c r="S137" s="709"/>
      <c r="T137" s="707"/>
      <c r="U137" s="707"/>
    </row>
    <row r="138" spans="1:21" ht="14.5">
      <c r="A138" s="697"/>
      <c r="B138" s="707" t="s">
        <v>751</v>
      </c>
      <c r="C138" s="707" t="s">
        <v>752</v>
      </c>
      <c r="D138" s="711" t="s">
        <v>885</v>
      </c>
      <c r="E138" s="707" t="s">
        <v>725</v>
      </c>
      <c r="F138" s="700">
        <v>0.33333333333333298</v>
      </c>
      <c r="G138" s="700">
        <v>0.29166666666666669</v>
      </c>
      <c r="H138" s="700">
        <v>0.84444444444444444</v>
      </c>
      <c r="I138" s="701">
        <v>540</v>
      </c>
      <c r="J138" s="698">
        <v>796</v>
      </c>
      <c r="K138" s="702">
        <v>4.2666666666666666</v>
      </c>
      <c r="L138" s="703">
        <v>13.266666666666667</v>
      </c>
      <c r="M138" s="698" t="s">
        <v>886</v>
      </c>
      <c r="N138" s="707" t="s">
        <v>799</v>
      </c>
      <c r="O138" s="708">
        <v>8719</v>
      </c>
      <c r="P138" s="708">
        <v>8786</v>
      </c>
      <c r="Q138" s="704">
        <v>67</v>
      </c>
      <c r="R138" s="707" t="s">
        <v>701</v>
      </c>
      <c r="S138" s="709"/>
      <c r="T138" s="707" t="s">
        <v>763</v>
      </c>
      <c r="U138" s="707"/>
    </row>
    <row r="139" spans="1:21">
      <c r="A139" s="697"/>
      <c r="B139" s="710" t="s">
        <v>754</v>
      </c>
      <c r="C139" s="711" t="s">
        <v>755</v>
      </c>
      <c r="D139" s="721" t="s">
        <v>831</v>
      </c>
      <c r="E139" s="711" t="s">
        <v>190</v>
      </c>
      <c r="F139" s="712">
        <v>0.33333333333333298</v>
      </c>
      <c r="G139" s="712">
        <v>0.375</v>
      </c>
      <c r="H139" s="712">
        <v>0.72916666666666663</v>
      </c>
      <c r="I139" s="713">
        <v>540</v>
      </c>
      <c r="J139" s="714">
        <v>509.99999999999994</v>
      </c>
      <c r="K139" s="715">
        <v>-0.500000000000001</v>
      </c>
      <c r="L139" s="716">
        <v>8.4999999999999982</v>
      </c>
      <c r="M139" s="714" t="s">
        <v>834</v>
      </c>
      <c r="N139" s="711" t="s">
        <v>802</v>
      </c>
      <c r="O139" s="717">
        <v>21738</v>
      </c>
      <c r="P139" s="717">
        <v>21760</v>
      </c>
      <c r="Q139" s="704">
        <v>22</v>
      </c>
      <c r="R139" s="711" t="s">
        <v>701</v>
      </c>
      <c r="S139" s="718"/>
      <c r="T139" s="711" t="s">
        <v>806</v>
      </c>
      <c r="U139" s="711"/>
    </row>
    <row r="140" spans="1:21">
      <c r="A140" s="697"/>
      <c r="B140" s="721" t="s">
        <v>54</v>
      </c>
      <c r="C140" s="721"/>
      <c r="D140" s="699" t="s">
        <v>54</v>
      </c>
      <c r="E140" s="721"/>
      <c r="F140" s="721"/>
      <c r="G140" s="721"/>
      <c r="H140" s="721"/>
      <c r="I140" s="721"/>
      <c r="J140" s="721"/>
      <c r="K140" s="721"/>
      <c r="L140" s="721"/>
      <c r="M140" s="721" t="s">
        <v>54</v>
      </c>
      <c r="N140" s="721"/>
      <c r="O140" s="722"/>
      <c r="P140" s="722"/>
      <c r="Q140" s="704"/>
      <c r="R140" s="721"/>
      <c r="S140" s="723"/>
      <c r="T140" s="721"/>
      <c r="U140" s="721"/>
    </row>
    <row r="141" spans="1:21" ht="14.5">
      <c r="A141" s="697">
        <v>46241</v>
      </c>
      <c r="B141" s="698" t="s">
        <v>691</v>
      </c>
      <c r="C141" s="698" t="s">
        <v>692</v>
      </c>
      <c r="D141" s="698" t="s">
        <v>887</v>
      </c>
      <c r="E141" s="698" t="s">
        <v>693</v>
      </c>
      <c r="F141" s="700">
        <v>0.33333333333333298</v>
      </c>
      <c r="G141" s="700">
        <v>0.15763888888888888</v>
      </c>
      <c r="H141" s="700">
        <v>0.93958333333333333</v>
      </c>
      <c r="I141" s="701">
        <v>540</v>
      </c>
      <c r="J141" s="698">
        <v>1126</v>
      </c>
      <c r="K141" s="702">
        <v>9.7666666666666675</v>
      </c>
      <c r="L141" s="703">
        <v>18.766666666666666</v>
      </c>
      <c r="M141" s="698" t="s">
        <v>888</v>
      </c>
      <c r="N141" s="698" t="s">
        <v>889</v>
      </c>
      <c r="O141" s="706">
        <v>32159</v>
      </c>
      <c r="P141" s="706">
        <v>32586</v>
      </c>
      <c r="Q141" s="704">
        <v>427</v>
      </c>
      <c r="R141" s="698" t="s">
        <v>695</v>
      </c>
      <c r="S141" s="705">
        <v>36</v>
      </c>
      <c r="T141" s="698" t="s">
        <v>806</v>
      </c>
      <c r="U141" s="698" t="s">
        <v>764</v>
      </c>
    </row>
    <row r="142" spans="1:21" ht="14.5">
      <c r="A142" s="697"/>
      <c r="B142" s="698" t="s">
        <v>696</v>
      </c>
      <c r="C142" s="698" t="s">
        <v>697</v>
      </c>
      <c r="D142" s="698" t="s">
        <v>788</v>
      </c>
      <c r="E142" s="698" t="s">
        <v>693</v>
      </c>
      <c r="F142" s="700">
        <v>0.33333333333333298</v>
      </c>
      <c r="G142" s="700"/>
      <c r="H142" s="700"/>
      <c r="I142" s="701">
        <v>540</v>
      </c>
      <c r="J142" s="698">
        <v>0</v>
      </c>
      <c r="K142" s="702">
        <v>-9</v>
      </c>
      <c r="L142" s="703">
        <v>0</v>
      </c>
      <c r="M142" s="698" t="s">
        <v>694</v>
      </c>
      <c r="N142" s="698"/>
      <c r="O142" s="706"/>
      <c r="P142" s="706"/>
      <c r="Q142" s="704">
        <v>0</v>
      </c>
      <c r="R142" s="698" t="s">
        <v>695</v>
      </c>
      <c r="S142" s="705"/>
      <c r="T142" s="698"/>
      <c r="U142" s="698"/>
    </row>
    <row r="143" spans="1:21" ht="14.5">
      <c r="A143" s="697"/>
      <c r="B143" s="698" t="s">
        <v>698</v>
      </c>
      <c r="C143" s="698" t="s">
        <v>699</v>
      </c>
      <c r="D143" s="698" t="s">
        <v>890</v>
      </c>
      <c r="E143" s="698" t="s">
        <v>190</v>
      </c>
      <c r="F143" s="700">
        <v>0.33333333333333298</v>
      </c>
      <c r="G143" s="700">
        <v>0.54166666666666663</v>
      </c>
      <c r="H143" s="700">
        <v>0.71875</v>
      </c>
      <c r="I143" s="701">
        <v>540</v>
      </c>
      <c r="J143" s="698">
        <v>255.00000000000006</v>
      </c>
      <c r="K143" s="702">
        <v>-4.7499999999999991</v>
      </c>
      <c r="L143" s="703">
        <v>4.2500000000000009</v>
      </c>
      <c r="M143" s="698" t="s">
        <v>891</v>
      </c>
      <c r="N143" s="698" t="s">
        <v>892</v>
      </c>
      <c r="O143" s="706">
        <v>31435</v>
      </c>
      <c r="P143" s="706">
        <v>31488</v>
      </c>
      <c r="Q143" s="704">
        <v>53</v>
      </c>
      <c r="R143" s="698" t="s">
        <v>701</v>
      </c>
      <c r="S143" s="705">
        <v>10</v>
      </c>
      <c r="T143" s="698" t="s">
        <v>806</v>
      </c>
      <c r="U143" s="698"/>
    </row>
    <row r="144" spans="1:21" ht="14.5">
      <c r="A144" s="697"/>
      <c r="B144" s="698" t="s">
        <v>702</v>
      </c>
      <c r="C144" s="698" t="s">
        <v>703</v>
      </c>
      <c r="D144" s="698" t="s">
        <v>814</v>
      </c>
      <c r="E144" s="698" t="s">
        <v>700</v>
      </c>
      <c r="F144" s="700">
        <v>0.33333333333333298</v>
      </c>
      <c r="G144" s="700">
        <v>0.55555555555555558</v>
      </c>
      <c r="H144" s="700">
        <v>0.83680555555555547</v>
      </c>
      <c r="I144" s="701">
        <v>540</v>
      </c>
      <c r="J144" s="698">
        <v>404.99999999999983</v>
      </c>
      <c r="K144" s="702">
        <v>-2.2500000000000027</v>
      </c>
      <c r="L144" s="703">
        <v>6.7499999999999973</v>
      </c>
      <c r="M144" s="698" t="s">
        <v>893</v>
      </c>
      <c r="N144" s="698" t="s">
        <v>894</v>
      </c>
      <c r="O144" s="706">
        <v>19074</v>
      </c>
      <c r="P144" s="706">
        <v>19087</v>
      </c>
      <c r="Q144" s="704">
        <v>13</v>
      </c>
      <c r="R144" s="698" t="s">
        <v>701</v>
      </c>
      <c r="S144" s="705">
        <v>5</v>
      </c>
      <c r="T144" s="698" t="s">
        <v>728</v>
      </c>
      <c r="U144" s="698"/>
    </row>
    <row r="145" spans="1:21" ht="14.5">
      <c r="A145" s="697"/>
      <c r="B145" s="698" t="s">
        <v>704</v>
      </c>
      <c r="C145" s="698" t="s">
        <v>705</v>
      </c>
      <c r="D145" s="698" t="s">
        <v>895</v>
      </c>
      <c r="E145" s="698" t="s">
        <v>777</v>
      </c>
      <c r="F145" s="700">
        <v>0.33333333333333298</v>
      </c>
      <c r="G145" s="700">
        <v>0.29166666666666669</v>
      </c>
      <c r="H145" s="700">
        <v>0.70833333333333337</v>
      </c>
      <c r="I145" s="701">
        <v>540</v>
      </c>
      <c r="J145" s="698">
        <v>600</v>
      </c>
      <c r="K145" s="702">
        <v>1</v>
      </c>
      <c r="L145" s="703">
        <v>10</v>
      </c>
      <c r="M145" s="698" t="s">
        <v>823</v>
      </c>
      <c r="N145" s="698" t="s">
        <v>896</v>
      </c>
      <c r="O145" s="706">
        <v>42085</v>
      </c>
      <c r="P145" s="706">
        <v>42121</v>
      </c>
      <c r="Q145" s="704">
        <v>36</v>
      </c>
      <c r="R145" s="698" t="s">
        <v>701</v>
      </c>
      <c r="S145" s="705">
        <v>5</v>
      </c>
      <c r="T145" s="698" t="s">
        <v>728</v>
      </c>
      <c r="U145" s="698"/>
    </row>
    <row r="146" spans="1:21" ht="14.5">
      <c r="A146" s="697"/>
      <c r="B146" s="698" t="s">
        <v>706</v>
      </c>
      <c r="C146" s="698" t="s">
        <v>707</v>
      </c>
      <c r="D146" s="698" t="s">
        <v>897</v>
      </c>
      <c r="E146" s="698" t="s">
        <v>898</v>
      </c>
      <c r="F146" s="700">
        <v>0.33333333333333298</v>
      </c>
      <c r="G146" s="700">
        <v>0.33333333333333331</v>
      </c>
      <c r="H146" s="700">
        <v>0.70833333333333337</v>
      </c>
      <c r="I146" s="701">
        <v>540</v>
      </c>
      <c r="J146" s="698">
        <v>540.00000000000011</v>
      </c>
      <c r="K146" s="702">
        <v>1.8947806286936005E-15</v>
      </c>
      <c r="L146" s="703">
        <v>9.0000000000000018</v>
      </c>
      <c r="M146" s="698" t="s">
        <v>849</v>
      </c>
      <c r="N146" s="698" t="s">
        <v>899</v>
      </c>
      <c r="O146" s="706">
        <v>22646</v>
      </c>
      <c r="P146" s="706">
        <v>22680</v>
      </c>
      <c r="Q146" s="704">
        <v>34</v>
      </c>
      <c r="R146" s="698" t="s">
        <v>701</v>
      </c>
      <c r="S146" s="705">
        <v>5</v>
      </c>
      <c r="T146" s="698" t="s">
        <v>781</v>
      </c>
      <c r="U146" s="698"/>
    </row>
    <row r="147" spans="1:21" ht="14.5">
      <c r="A147" s="697"/>
      <c r="B147" s="698" t="s">
        <v>708</v>
      </c>
      <c r="C147" s="698" t="s">
        <v>709</v>
      </c>
      <c r="D147" s="698" t="s">
        <v>900</v>
      </c>
      <c r="E147" s="698" t="s">
        <v>710</v>
      </c>
      <c r="F147" s="700">
        <v>0.33333333333333298</v>
      </c>
      <c r="G147" s="700"/>
      <c r="H147" s="700"/>
      <c r="I147" s="701">
        <v>540</v>
      </c>
      <c r="J147" s="698">
        <v>0</v>
      </c>
      <c r="K147" s="702">
        <v>-9</v>
      </c>
      <c r="L147" s="703">
        <v>0</v>
      </c>
      <c r="M147" s="698" t="s">
        <v>694</v>
      </c>
      <c r="N147" s="698" t="s">
        <v>711</v>
      </c>
      <c r="O147" s="706"/>
      <c r="P147" s="706"/>
      <c r="Q147" s="704">
        <v>0</v>
      </c>
      <c r="R147" s="698" t="s">
        <v>695</v>
      </c>
      <c r="S147" s="705"/>
      <c r="T147" s="698"/>
      <c r="U147" s="698"/>
    </row>
    <row r="148" spans="1:21" ht="14.5">
      <c r="A148" s="697"/>
      <c r="B148" s="698" t="s">
        <v>712</v>
      </c>
      <c r="C148" s="698" t="s">
        <v>713</v>
      </c>
      <c r="D148" s="698" t="s">
        <v>901</v>
      </c>
      <c r="E148" s="698" t="s">
        <v>169</v>
      </c>
      <c r="F148" s="700">
        <v>0.33333333333333298</v>
      </c>
      <c r="G148" s="700">
        <v>0.33333333333333331</v>
      </c>
      <c r="H148" s="700">
        <v>1.0069444444444444</v>
      </c>
      <c r="I148" s="701">
        <v>540</v>
      </c>
      <c r="J148" s="698">
        <v>970.00000000000011</v>
      </c>
      <c r="K148" s="702">
        <v>7.1666666666666687</v>
      </c>
      <c r="L148" s="703">
        <v>16.166666666666668</v>
      </c>
      <c r="M148" s="698" t="s">
        <v>902</v>
      </c>
      <c r="N148" s="698" t="s">
        <v>714</v>
      </c>
      <c r="O148" s="706">
        <v>44298</v>
      </c>
      <c r="P148" s="706">
        <v>44497</v>
      </c>
      <c r="Q148" s="704">
        <v>199</v>
      </c>
      <c r="R148" s="698" t="s">
        <v>695</v>
      </c>
      <c r="S148" s="705">
        <v>23</v>
      </c>
      <c r="T148" s="698" t="s">
        <v>763</v>
      </c>
      <c r="U148" s="698" t="s">
        <v>903</v>
      </c>
    </row>
    <row r="149" spans="1:21" ht="14.5">
      <c r="A149" s="697"/>
      <c r="B149" s="698" t="s">
        <v>715</v>
      </c>
      <c r="C149" s="698" t="s">
        <v>716</v>
      </c>
      <c r="D149" s="707" t="s">
        <v>904</v>
      </c>
      <c r="E149" s="698" t="s">
        <v>190</v>
      </c>
      <c r="F149" s="700">
        <v>0.33333333333333298</v>
      </c>
      <c r="G149" s="700">
        <v>0.33333333333333331</v>
      </c>
      <c r="H149" s="700">
        <v>0.92361111111111116</v>
      </c>
      <c r="I149" s="701">
        <v>540</v>
      </c>
      <c r="J149" s="698">
        <v>850.00000000000023</v>
      </c>
      <c r="K149" s="702">
        <v>5.1666666666666705</v>
      </c>
      <c r="L149" s="703">
        <v>14.16666666666667</v>
      </c>
      <c r="M149" s="698" t="s">
        <v>787</v>
      </c>
      <c r="N149" s="698" t="s">
        <v>717</v>
      </c>
      <c r="O149" s="706">
        <v>39910</v>
      </c>
      <c r="P149" s="706">
        <v>40292</v>
      </c>
      <c r="Q149" s="704">
        <v>382</v>
      </c>
      <c r="R149" s="698" t="s">
        <v>695</v>
      </c>
      <c r="S149" s="705">
        <v>35</v>
      </c>
      <c r="T149" s="698" t="s">
        <v>806</v>
      </c>
      <c r="U149" s="698" t="s">
        <v>759</v>
      </c>
    </row>
    <row r="150" spans="1:21" ht="14.5">
      <c r="A150" s="697"/>
      <c r="B150" s="707" t="s">
        <v>718</v>
      </c>
      <c r="C150" s="707" t="s">
        <v>719</v>
      </c>
      <c r="D150" s="707" t="s">
        <v>788</v>
      </c>
      <c r="E150" s="707" t="s">
        <v>720</v>
      </c>
      <c r="F150" s="700">
        <v>0.33333333333333298</v>
      </c>
      <c r="G150" s="700"/>
      <c r="H150" s="700"/>
      <c r="I150" s="701">
        <v>540</v>
      </c>
      <c r="J150" s="698">
        <v>0</v>
      </c>
      <c r="K150" s="702">
        <v>-9</v>
      </c>
      <c r="L150" s="703">
        <v>0</v>
      </c>
      <c r="M150" s="698" t="s">
        <v>694</v>
      </c>
      <c r="N150" s="707" t="s">
        <v>721</v>
      </c>
      <c r="O150" s="708"/>
      <c r="P150" s="708"/>
      <c r="Q150" s="704">
        <v>0</v>
      </c>
      <c r="R150" s="707" t="s">
        <v>701</v>
      </c>
      <c r="S150" s="709"/>
      <c r="T150" s="707"/>
      <c r="U150" s="707"/>
    </row>
    <row r="151" spans="1:21" ht="14.5">
      <c r="A151" s="697"/>
      <c r="B151" s="707" t="s">
        <v>722</v>
      </c>
      <c r="C151" s="707" t="s">
        <v>723</v>
      </c>
      <c r="D151" s="707" t="s">
        <v>788</v>
      </c>
      <c r="E151" s="707" t="s">
        <v>725</v>
      </c>
      <c r="F151" s="700">
        <v>0.33333333333333298</v>
      </c>
      <c r="G151" s="700"/>
      <c r="H151" s="700"/>
      <c r="I151" s="701">
        <v>540</v>
      </c>
      <c r="J151" s="698">
        <v>0</v>
      </c>
      <c r="K151" s="702">
        <v>-9</v>
      </c>
      <c r="L151" s="703">
        <v>0</v>
      </c>
      <c r="M151" s="698" t="s">
        <v>694</v>
      </c>
      <c r="N151" s="707" t="s">
        <v>727</v>
      </c>
      <c r="O151" s="708"/>
      <c r="P151" s="708"/>
      <c r="Q151" s="704">
        <v>0</v>
      </c>
      <c r="R151" s="707" t="s">
        <v>695</v>
      </c>
      <c r="S151" s="709"/>
      <c r="T151" s="707"/>
      <c r="U151" s="707"/>
    </row>
    <row r="152" spans="1:21" ht="14.5">
      <c r="A152" s="697"/>
      <c r="B152" s="707" t="s">
        <v>730</v>
      </c>
      <c r="C152" s="707" t="s">
        <v>731</v>
      </c>
      <c r="D152" s="711" t="s">
        <v>905</v>
      </c>
      <c r="E152" s="707" t="s">
        <v>732</v>
      </c>
      <c r="F152" s="700">
        <v>0.33333333333333298</v>
      </c>
      <c r="G152" s="700">
        <v>0.22916666666666666</v>
      </c>
      <c r="H152" s="700">
        <v>0.88055555555555554</v>
      </c>
      <c r="I152" s="701">
        <v>540</v>
      </c>
      <c r="J152" s="698">
        <v>938</v>
      </c>
      <c r="K152" s="702">
        <v>6.6333333333333337</v>
      </c>
      <c r="L152" s="703">
        <v>15.633333333333333</v>
      </c>
      <c r="M152" s="698" t="s">
        <v>906</v>
      </c>
      <c r="N152" s="707" t="s">
        <v>733</v>
      </c>
      <c r="O152" s="708">
        <v>25068</v>
      </c>
      <c r="P152" s="708">
        <v>25437</v>
      </c>
      <c r="Q152" s="704">
        <v>369</v>
      </c>
      <c r="R152" s="707" t="s">
        <v>701</v>
      </c>
      <c r="S152" s="709">
        <v>26</v>
      </c>
      <c r="T152" s="707" t="s">
        <v>806</v>
      </c>
      <c r="U152" s="707" t="s">
        <v>907</v>
      </c>
    </row>
    <row r="153" spans="1:21" ht="14.5">
      <c r="A153" s="697"/>
      <c r="B153" s="710" t="s">
        <v>734</v>
      </c>
      <c r="C153" s="711" t="s">
        <v>735</v>
      </c>
      <c r="D153" s="714" t="s">
        <v>788</v>
      </c>
      <c r="E153" s="711" t="s">
        <v>89</v>
      </c>
      <c r="F153" s="712">
        <v>0.33333333333333298</v>
      </c>
      <c r="G153" s="712"/>
      <c r="H153" s="712"/>
      <c r="I153" s="713">
        <v>540</v>
      </c>
      <c r="J153" s="714">
        <v>0</v>
      </c>
      <c r="K153" s="715">
        <v>-9</v>
      </c>
      <c r="L153" s="716">
        <v>0</v>
      </c>
      <c r="M153" s="714" t="s">
        <v>694</v>
      </c>
      <c r="N153" s="711" t="s">
        <v>736</v>
      </c>
      <c r="O153" s="717"/>
      <c r="P153" s="717"/>
      <c r="Q153" s="704">
        <v>0</v>
      </c>
      <c r="R153" s="711" t="s">
        <v>701</v>
      </c>
      <c r="S153" s="718"/>
      <c r="T153" s="711"/>
      <c r="U153" s="711"/>
    </row>
    <row r="154" spans="1:21" ht="14.5">
      <c r="A154" s="697"/>
      <c r="B154" s="714" t="s">
        <v>737</v>
      </c>
      <c r="C154" s="714" t="s">
        <v>738</v>
      </c>
      <c r="D154" s="707" t="s">
        <v>788</v>
      </c>
      <c r="E154" s="714"/>
      <c r="F154" s="712">
        <v>0.33333333333333298</v>
      </c>
      <c r="G154" s="712"/>
      <c r="H154" s="712"/>
      <c r="I154" s="713">
        <v>540</v>
      </c>
      <c r="J154" s="714">
        <v>0</v>
      </c>
      <c r="K154" s="715">
        <v>-9</v>
      </c>
      <c r="L154" s="716">
        <v>0</v>
      </c>
      <c r="M154" s="714" t="s">
        <v>694</v>
      </c>
      <c r="N154" s="714"/>
      <c r="O154" s="719"/>
      <c r="P154" s="719"/>
      <c r="Q154" s="704">
        <v>0</v>
      </c>
      <c r="R154" s="714" t="s">
        <v>695</v>
      </c>
      <c r="S154" s="720"/>
      <c r="T154" s="714"/>
      <c r="U154" s="714" t="s">
        <v>739</v>
      </c>
    </row>
    <row r="155" spans="1:21" ht="14.5">
      <c r="A155" s="697"/>
      <c r="B155" s="707"/>
      <c r="C155" s="707" t="s">
        <v>740</v>
      </c>
      <c r="D155" s="707" t="s">
        <v>54</v>
      </c>
      <c r="E155" s="707" t="s">
        <v>741</v>
      </c>
      <c r="F155" s="700">
        <v>0.33333333333333298</v>
      </c>
      <c r="G155" s="700"/>
      <c r="H155" s="700"/>
      <c r="I155" s="701">
        <v>540</v>
      </c>
      <c r="J155" s="698">
        <v>0</v>
      </c>
      <c r="K155" s="702">
        <v>-9</v>
      </c>
      <c r="L155" s="703">
        <v>0</v>
      </c>
      <c r="M155" s="698" t="s">
        <v>694</v>
      </c>
      <c r="N155" s="707"/>
      <c r="O155" s="708"/>
      <c r="P155" s="708"/>
      <c r="Q155" s="704">
        <v>0</v>
      </c>
      <c r="R155" s="707" t="s">
        <v>742</v>
      </c>
      <c r="S155" s="709"/>
      <c r="T155" s="707"/>
      <c r="U155" s="707"/>
    </row>
    <row r="156" spans="1:21" ht="14.5">
      <c r="A156" s="697"/>
      <c r="B156" s="707" t="s">
        <v>54</v>
      </c>
      <c r="C156" s="707" t="s">
        <v>743</v>
      </c>
      <c r="D156" s="698"/>
      <c r="E156" s="707" t="s">
        <v>744</v>
      </c>
      <c r="F156" s="700">
        <v>0.33333333333333298</v>
      </c>
      <c r="G156" s="700"/>
      <c r="H156" s="700"/>
      <c r="I156" s="701">
        <v>540</v>
      </c>
      <c r="J156" s="698">
        <v>0</v>
      </c>
      <c r="K156" s="702">
        <v>-9</v>
      </c>
      <c r="L156" s="703">
        <v>0</v>
      </c>
      <c r="M156" s="698" t="s">
        <v>694</v>
      </c>
      <c r="N156" s="707"/>
      <c r="O156" s="708"/>
      <c r="P156" s="708"/>
      <c r="Q156" s="704">
        <v>0</v>
      </c>
      <c r="R156" s="707" t="s">
        <v>742</v>
      </c>
      <c r="S156" s="709"/>
      <c r="T156" s="707"/>
      <c r="U156" s="707"/>
    </row>
    <row r="157" spans="1:21" ht="14.5">
      <c r="A157" s="697"/>
      <c r="B157" s="698" t="s">
        <v>745</v>
      </c>
      <c r="C157" s="698"/>
      <c r="D157" s="698"/>
      <c r="E157" s="698"/>
      <c r="F157" s="700">
        <v>0.33333333333333298</v>
      </c>
      <c r="G157" s="700"/>
      <c r="H157" s="700"/>
      <c r="I157" s="701">
        <v>540</v>
      </c>
      <c r="J157" s="698">
        <v>0</v>
      </c>
      <c r="K157" s="702">
        <v>-9</v>
      </c>
      <c r="L157" s="703">
        <v>0</v>
      </c>
      <c r="M157" s="698" t="s">
        <v>694</v>
      </c>
      <c r="N157" s="698"/>
      <c r="O157" s="706"/>
      <c r="P157" s="706"/>
      <c r="Q157" s="704">
        <v>0</v>
      </c>
      <c r="R157" s="698"/>
      <c r="S157" s="705"/>
      <c r="T157" s="698"/>
      <c r="U157" s="698"/>
    </row>
    <row r="158" spans="1:21" ht="14.5">
      <c r="A158" s="697"/>
      <c r="B158" s="698" t="s">
        <v>746</v>
      </c>
      <c r="C158" s="698" t="s">
        <v>747</v>
      </c>
      <c r="D158" s="707" t="s">
        <v>908</v>
      </c>
      <c r="E158" s="698" t="s">
        <v>190</v>
      </c>
      <c r="F158" s="700">
        <v>0.33333333333333298</v>
      </c>
      <c r="G158" s="700">
        <v>0.36805555555555558</v>
      </c>
      <c r="H158" s="700">
        <v>0.79513888888888884</v>
      </c>
      <c r="I158" s="701">
        <v>540</v>
      </c>
      <c r="J158" s="698">
        <v>614.99999999999989</v>
      </c>
      <c r="K158" s="702">
        <v>1.249999999999998</v>
      </c>
      <c r="L158" s="703">
        <v>10.249999999999998</v>
      </c>
      <c r="M158" s="698" t="s">
        <v>883</v>
      </c>
      <c r="N158" s="698" t="s">
        <v>909</v>
      </c>
      <c r="O158" s="706">
        <v>39071</v>
      </c>
      <c r="P158" s="706">
        <v>39399</v>
      </c>
      <c r="Q158" s="704">
        <v>328</v>
      </c>
      <c r="R158" s="698" t="s">
        <v>701</v>
      </c>
      <c r="S158" s="705">
        <v>40</v>
      </c>
      <c r="T158" s="698" t="s">
        <v>774</v>
      </c>
      <c r="U158" s="698"/>
    </row>
    <row r="159" spans="1:21" ht="14.5">
      <c r="A159" s="697"/>
      <c r="B159" s="707" t="s">
        <v>748</v>
      </c>
      <c r="C159" s="707" t="s">
        <v>749</v>
      </c>
      <c r="D159" s="707" t="s">
        <v>910</v>
      </c>
      <c r="E159" s="707" t="s">
        <v>89</v>
      </c>
      <c r="F159" s="700">
        <v>0.33333333333333298</v>
      </c>
      <c r="G159" s="700">
        <v>0.5625</v>
      </c>
      <c r="H159" s="700">
        <v>0.72222222222222221</v>
      </c>
      <c r="I159" s="701">
        <v>540</v>
      </c>
      <c r="J159" s="698">
        <v>229.99999999999997</v>
      </c>
      <c r="K159" s="702">
        <v>-5.166666666666667</v>
      </c>
      <c r="L159" s="703">
        <v>3.833333333333333</v>
      </c>
      <c r="M159" s="698" t="s">
        <v>911</v>
      </c>
      <c r="N159" s="707" t="s">
        <v>912</v>
      </c>
      <c r="O159" s="708">
        <v>14031</v>
      </c>
      <c r="P159" s="708">
        <v>14052</v>
      </c>
      <c r="Q159" s="704">
        <v>21</v>
      </c>
      <c r="R159" s="707" t="s">
        <v>695</v>
      </c>
      <c r="S159" s="709"/>
      <c r="T159" s="707" t="s">
        <v>728</v>
      </c>
      <c r="U159" s="707" t="s">
        <v>913</v>
      </c>
    </row>
    <row r="160" spans="1:21" ht="14.5">
      <c r="A160" s="697"/>
      <c r="B160" s="707" t="s">
        <v>750</v>
      </c>
      <c r="C160" s="707"/>
      <c r="D160" s="707"/>
      <c r="E160" s="707"/>
      <c r="F160" s="700">
        <v>0.33333333333333298</v>
      </c>
      <c r="G160" s="700"/>
      <c r="H160" s="700"/>
      <c r="I160" s="701">
        <v>540</v>
      </c>
      <c r="J160" s="698">
        <v>0</v>
      </c>
      <c r="K160" s="702">
        <v>-9</v>
      </c>
      <c r="L160" s="703">
        <v>0</v>
      </c>
      <c r="M160" s="698" t="s">
        <v>694</v>
      </c>
      <c r="N160" s="707"/>
      <c r="O160" s="708"/>
      <c r="P160" s="708"/>
      <c r="Q160" s="704">
        <v>0</v>
      </c>
      <c r="R160" s="707"/>
      <c r="S160" s="709"/>
      <c r="T160" s="707"/>
      <c r="U160" s="707"/>
    </row>
    <row r="161" spans="1:21" ht="14.5">
      <c r="A161" s="697"/>
      <c r="B161" s="707" t="s">
        <v>751</v>
      </c>
      <c r="C161" s="707" t="s">
        <v>752</v>
      </c>
      <c r="D161" s="711" t="s">
        <v>914</v>
      </c>
      <c r="E161" s="707" t="s">
        <v>725</v>
      </c>
      <c r="F161" s="700">
        <v>0.33333333333333298</v>
      </c>
      <c r="G161" s="700">
        <v>0.29166666666666669</v>
      </c>
      <c r="H161" s="700">
        <v>0.79166666666666663</v>
      </c>
      <c r="I161" s="701">
        <v>540</v>
      </c>
      <c r="J161" s="698">
        <v>719.99999999999989</v>
      </c>
      <c r="K161" s="702">
        <v>2.9999999999999982</v>
      </c>
      <c r="L161" s="703">
        <v>11.999999999999998</v>
      </c>
      <c r="M161" s="698" t="s">
        <v>874</v>
      </c>
      <c r="N161" s="707" t="s">
        <v>915</v>
      </c>
      <c r="O161" s="708">
        <v>8786</v>
      </c>
      <c r="P161" s="708">
        <v>8854</v>
      </c>
      <c r="Q161" s="704">
        <v>68</v>
      </c>
      <c r="R161" s="707" t="s">
        <v>701</v>
      </c>
      <c r="S161" s="709">
        <v>20</v>
      </c>
      <c r="T161" s="707" t="s">
        <v>763</v>
      </c>
      <c r="U161" s="707"/>
    </row>
    <row r="162" spans="1:21">
      <c r="A162" s="697"/>
      <c r="B162" s="710" t="s">
        <v>754</v>
      </c>
      <c r="C162" s="711" t="s">
        <v>755</v>
      </c>
      <c r="D162" s="721" t="s">
        <v>831</v>
      </c>
      <c r="E162" s="711" t="s">
        <v>190</v>
      </c>
      <c r="F162" s="712">
        <v>0.33333333333333298</v>
      </c>
      <c r="G162" s="712">
        <v>0.375</v>
      </c>
      <c r="H162" s="712">
        <v>0.71180555555555547</v>
      </c>
      <c r="I162" s="713">
        <v>540</v>
      </c>
      <c r="J162" s="714">
        <v>484.99999999999989</v>
      </c>
      <c r="K162" s="715">
        <v>-0.91666666666666852</v>
      </c>
      <c r="L162" s="716">
        <v>8.0833333333333321</v>
      </c>
      <c r="M162" s="714" t="s">
        <v>795</v>
      </c>
      <c r="N162" s="711" t="s">
        <v>916</v>
      </c>
      <c r="O162" s="717">
        <v>21760</v>
      </c>
      <c r="P162" s="717">
        <v>21772</v>
      </c>
      <c r="Q162" s="704">
        <v>12</v>
      </c>
      <c r="R162" s="711" t="s">
        <v>701</v>
      </c>
      <c r="S162" s="718"/>
      <c r="T162" s="711" t="s">
        <v>846</v>
      </c>
      <c r="U162" s="711"/>
    </row>
    <row r="163" spans="1:21">
      <c r="A163" s="697"/>
      <c r="B163" s="721" t="s">
        <v>54</v>
      </c>
      <c r="C163" s="721"/>
      <c r="D163" s="699" t="s">
        <v>54</v>
      </c>
      <c r="E163" s="721"/>
      <c r="F163" s="721"/>
      <c r="G163" s="721"/>
      <c r="H163" s="721"/>
      <c r="I163" s="721"/>
      <c r="J163" s="721"/>
      <c r="K163" s="721"/>
      <c r="L163" s="721"/>
      <c r="M163" s="721" t="s">
        <v>54</v>
      </c>
      <c r="N163" s="721"/>
      <c r="O163" s="722"/>
      <c r="P163" s="722"/>
      <c r="Q163" s="704"/>
      <c r="R163" s="721"/>
      <c r="S163" s="723"/>
      <c r="T163" s="721"/>
      <c r="U163" s="721"/>
    </row>
    <row r="164" spans="1:21" ht="14.5">
      <c r="A164" s="697">
        <v>46242</v>
      </c>
      <c r="B164" s="698" t="s">
        <v>691</v>
      </c>
      <c r="C164" s="698" t="s">
        <v>692</v>
      </c>
      <c r="D164" s="698"/>
      <c r="E164" s="698" t="s">
        <v>756</v>
      </c>
      <c r="F164" s="700">
        <v>0.33333333333333298</v>
      </c>
      <c r="G164" s="700"/>
      <c r="H164" s="700"/>
      <c r="I164" s="701">
        <v>540</v>
      </c>
      <c r="J164" s="698">
        <v>0</v>
      </c>
      <c r="K164" s="702">
        <v>-9</v>
      </c>
      <c r="L164" s="703">
        <v>0</v>
      </c>
      <c r="M164" s="698" t="s">
        <v>694</v>
      </c>
      <c r="N164" s="698"/>
      <c r="O164" s="706"/>
      <c r="P164" s="706"/>
      <c r="Q164" s="704">
        <v>0</v>
      </c>
      <c r="R164" s="698" t="s">
        <v>695</v>
      </c>
      <c r="S164" s="705"/>
      <c r="T164" s="698"/>
      <c r="U164" s="698"/>
    </row>
    <row r="165" spans="1:21" ht="14.5">
      <c r="A165" s="697"/>
      <c r="B165" s="698" t="s">
        <v>696</v>
      </c>
      <c r="C165" s="698" t="s">
        <v>697</v>
      </c>
      <c r="D165" s="698"/>
      <c r="E165" s="698" t="s">
        <v>693</v>
      </c>
      <c r="F165" s="700">
        <v>0.33333333333333298</v>
      </c>
      <c r="G165" s="700"/>
      <c r="H165" s="700"/>
      <c r="I165" s="701">
        <v>540</v>
      </c>
      <c r="J165" s="698">
        <v>0</v>
      </c>
      <c r="K165" s="702">
        <v>-9</v>
      </c>
      <c r="L165" s="703">
        <v>0</v>
      </c>
      <c r="M165" s="698" t="s">
        <v>694</v>
      </c>
      <c r="N165" s="698"/>
      <c r="O165" s="706"/>
      <c r="P165" s="706"/>
      <c r="Q165" s="704">
        <v>0</v>
      </c>
      <c r="R165" s="698" t="s">
        <v>695</v>
      </c>
      <c r="S165" s="705"/>
      <c r="T165" s="698"/>
      <c r="U165" s="698"/>
    </row>
    <row r="166" spans="1:21" ht="14.5">
      <c r="A166" s="697"/>
      <c r="B166" s="698" t="s">
        <v>698</v>
      </c>
      <c r="C166" s="698" t="s">
        <v>699</v>
      </c>
      <c r="D166" s="698"/>
      <c r="E166" s="698" t="s">
        <v>700</v>
      </c>
      <c r="F166" s="700">
        <v>0.33333333333333298</v>
      </c>
      <c r="G166" s="700"/>
      <c r="H166" s="700"/>
      <c r="I166" s="701">
        <v>540</v>
      </c>
      <c r="J166" s="698">
        <v>0</v>
      </c>
      <c r="K166" s="702">
        <v>-9</v>
      </c>
      <c r="L166" s="703">
        <v>0</v>
      </c>
      <c r="M166" s="698" t="s">
        <v>694</v>
      </c>
      <c r="N166" s="698"/>
      <c r="O166" s="706"/>
      <c r="P166" s="706"/>
      <c r="Q166" s="704">
        <v>0</v>
      </c>
      <c r="R166" s="698" t="s">
        <v>701</v>
      </c>
      <c r="S166" s="705"/>
      <c r="T166" s="698"/>
      <c r="U166" s="698"/>
    </row>
    <row r="167" spans="1:21" ht="14.5">
      <c r="A167" s="697"/>
      <c r="B167" s="698" t="s">
        <v>702</v>
      </c>
      <c r="C167" s="698" t="s">
        <v>703</v>
      </c>
      <c r="D167" s="698"/>
      <c r="E167" s="698" t="s">
        <v>693</v>
      </c>
      <c r="F167" s="700">
        <v>0.33333333333333298</v>
      </c>
      <c r="G167" s="700"/>
      <c r="H167" s="700"/>
      <c r="I167" s="701">
        <v>540</v>
      </c>
      <c r="J167" s="698">
        <v>0</v>
      </c>
      <c r="K167" s="702">
        <v>-9</v>
      </c>
      <c r="L167" s="703">
        <v>0</v>
      </c>
      <c r="M167" s="698" t="s">
        <v>694</v>
      </c>
      <c r="N167" s="698"/>
      <c r="O167" s="706"/>
      <c r="P167" s="706"/>
      <c r="Q167" s="704">
        <v>0</v>
      </c>
      <c r="R167" s="698" t="s">
        <v>701</v>
      </c>
      <c r="S167" s="705"/>
      <c r="T167" s="698"/>
      <c r="U167" s="698"/>
    </row>
    <row r="168" spans="1:21" ht="14.5">
      <c r="A168" s="697"/>
      <c r="B168" s="698" t="s">
        <v>704</v>
      </c>
      <c r="C168" s="698" t="s">
        <v>705</v>
      </c>
      <c r="D168" s="698"/>
      <c r="E168" s="698" t="s">
        <v>693</v>
      </c>
      <c r="F168" s="700">
        <v>0.33333333333333298</v>
      </c>
      <c r="G168" s="700"/>
      <c r="H168" s="700"/>
      <c r="I168" s="701">
        <v>540</v>
      </c>
      <c r="J168" s="698">
        <v>0</v>
      </c>
      <c r="K168" s="702">
        <v>-9</v>
      </c>
      <c r="L168" s="703">
        <v>0</v>
      </c>
      <c r="M168" s="698" t="s">
        <v>694</v>
      </c>
      <c r="N168" s="698"/>
      <c r="O168" s="706"/>
      <c r="P168" s="706"/>
      <c r="Q168" s="704">
        <v>0</v>
      </c>
      <c r="R168" s="698" t="s">
        <v>701</v>
      </c>
      <c r="S168" s="705"/>
      <c r="T168" s="698"/>
      <c r="U168" s="698"/>
    </row>
    <row r="169" spans="1:21" ht="14.5">
      <c r="A169" s="697"/>
      <c r="B169" s="698" t="s">
        <v>706</v>
      </c>
      <c r="C169" s="698" t="s">
        <v>707</v>
      </c>
      <c r="D169" s="698"/>
      <c r="E169" s="698" t="s">
        <v>693</v>
      </c>
      <c r="F169" s="700">
        <v>0.33333333333333298</v>
      </c>
      <c r="G169" s="700"/>
      <c r="H169" s="700"/>
      <c r="I169" s="701">
        <v>540</v>
      </c>
      <c r="J169" s="698">
        <v>0</v>
      </c>
      <c r="K169" s="702">
        <v>-9</v>
      </c>
      <c r="L169" s="703">
        <v>0</v>
      </c>
      <c r="M169" s="698" t="s">
        <v>694</v>
      </c>
      <c r="N169" s="698"/>
      <c r="O169" s="706"/>
      <c r="P169" s="706"/>
      <c r="Q169" s="704">
        <v>0</v>
      </c>
      <c r="R169" s="698" t="s">
        <v>701</v>
      </c>
      <c r="S169" s="705"/>
      <c r="T169" s="698"/>
      <c r="U169" s="698"/>
    </row>
    <row r="170" spans="1:21" ht="14.5">
      <c r="A170" s="697"/>
      <c r="B170" s="698" t="s">
        <v>708</v>
      </c>
      <c r="C170" s="698" t="s">
        <v>709</v>
      </c>
      <c r="D170" s="698"/>
      <c r="E170" s="698" t="s">
        <v>710</v>
      </c>
      <c r="F170" s="700">
        <v>0.33333333333333298</v>
      </c>
      <c r="G170" s="700"/>
      <c r="H170" s="700"/>
      <c r="I170" s="701">
        <v>540</v>
      </c>
      <c r="J170" s="698">
        <v>0</v>
      </c>
      <c r="K170" s="702">
        <v>-9</v>
      </c>
      <c r="L170" s="703">
        <v>0</v>
      </c>
      <c r="M170" s="698" t="s">
        <v>694</v>
      </c>
      <c r="N170" s="698" t="s">
        <v>711</v>
      </c>
      <c r="O170" s="706"/>
      <c r="P170" s="706"/>
      <c r="Q170" s="704">
        <v>0</v>
      </c>
      <c r="R170" s="698" t="s">
        <v>695</v>
      </c>
      <c r="S170" s="705"/>
      <c r="T170" s="698"/>
      <c r="U170" s="698"/>
    </row>
    <row r="171" spans="1:21" ht="14.5">
      <c r="A171" s="697"/>
      <c r="B171" s="698" t="s">
        <v>712</v>
      </c>
      <c r="C171" s="698" t="s">
        <v>713</v>
      </c>
      <c r="D171" s="698"/>
      <c r="E171" s="698" t="s">
        <v>169</v>
      </c>
      <c r="F171" s="700">
        <v>0.33333333333333298</v>
      </c>
      <c r="G171" s="700"/>
      <c r="H171" s="700"/>
      <c r="I171" s="701">
        <v>540</v>
      </c>
      <c r="J171" s="698">
        <v>0</v>
      </c>
      <c r="K171" s="702">
        <v>-9</v>
      </c>
      <c r="L171" s="703">
        <v>0</v>
      </c>
      <c r="M171" s="698" t="s">
        <v>694</v>
      </c>
      <c r="N171" s="698" t="s">
        <v>714</v>
      </c>
      <c r="O171" s="706"/>
      <c r="P171" s="706"/>
      <c r="Q171" s="704">
        <v>0</v>
      </c>
      <c r="R171" s="698" t="s">
        <v>695</v>
      </c>
      <c r="S171" s="705"/>
      <c r="T171" s="698"/>
      <c r="U171" s="698"/>
    </row>
    <row r="172" spans="1:21" ht="14.5">
      <c r="A172" s="697"/>
      <c r="B172" s="698" t="s">
        <v>715</v>
      </c>
      <c r="C172" s="698" t="s">
        <v>716</v>
      </c>
      <c r="D172" s="707"/>
      <c r="E172" s="698" t="s">
        <v>190</v>
      </c>
      <c r="F172" s="700">
        <v>0.33333333333333298</v>
      </c>
      <c r="G172" s="700"/>
      <c r="H172" s="700"/>
      <c r="I172" s="701">
        <v>540</v>
      </c>
      <c r="J172" s="698">
        <v>0</v>
      </c>
      <c r="K172" s="702">
        <v>-9</v>
      </c>
      <c r="L172" s="703">
        <v>0</v>
      </c>
      <c r="M172" s="698" t="s">
        <v>694</v>
      </c>
      <c r="N172" s="698" t="s">
        <v>717</v>
      </c>
      <c r="O172" s="706"/>
      <c r="P172" s="706"/>
      <c r="Q172" s="704">
        <v>0</v>
      </c>
      <c r="R172" s="698" t="s">
        <v>695</v>
      </c>
      <c r="S172" s="705"/>
      <c r="T172" s="698"/>
      <c r="U172" s="698"/>
    </row>
    <row r="173" spans="1:21" ht="14.5">
      <c r="A173" s="697"/>
      <c r="B173" s="707" t="s">
        <v>718</v>
      </c>
      <c r="C173" s="707" t="s">
        <v>719</v>
      </c>
      <c r="D173" s="707"/>
      <c r="E173" s="707" t="s">
        <v>720</v>
      </c>
      <c r="F173" s="700">
        <v>0.33333333333333298</v>
      </c>
      <c r="G173" s="700"/>
      <c r="H173" s="700"/>
      <c r="I173" s="701">
        <v>540</v>
      </c>
      <c r="J173" s="698">
        <v>0</v>
      </c>
      <c r="K173" s="702">
        <v>-9</v>
      </c>
      <c r="L173" s="703">
        <v>0</v>
      </c>
      <c r="M173" s="698" t="s">
        <v>694</v>
      </c>
      <c r="N173" s="707" t="s">
        <v>721</v>
      </c>
      <c r="O173" s="708"/>
      <c r="P173" s="708"/>
      <c r="Q173" s="704">
        <v>0</v>
      </c>
      <c r="R173" s="707" t="s">
        <v>701</v>
      </c>
      <c r="S173" s="709"/>
      <c r="T173" s="707"/>
      <c r="U173" s="707"/>
    </row>
    <row r="174" spans="1:21" ht="14.5">
      <c r="A174" s="697"/>
      <c r="B174" s="707" t="s">
        <v>722</v>
      </c>
      <c r="C174" s="707" t="s">
        <v>723</v>
      </c>
      <c r="D174" s="707" t="s">
        <v>54</v>
      </c>
      <c r="E174" s="707" t="s">
        <v>725</v>
      </c>
      <c r="F174" s="700">
        <v>0.33333333333333298</v>
      </c>
      <c r="G174" s="700"/>
      <c r="H174" s="700"/>
      <c r="I174" s="701">
        <v>540</v>
      </c>
      <c r="J174" s="698">
        <v>0</v>
      </c>
      <c r="K174" s="702">
        <v>-9</v>
      </c>
      <c r="L174" s="703">
        <v>0</v>
      </c>
      <c r="M174" s="698" t="s">
        <v>694</v>
      </c>
      <c r="N174" s="707" t="s">
        <v>727</v>
      </c>
      <c r="O174" s="708"/>
      <c r="P174" s="708"/>
      <c r="Q174" s="704">
        <v>0</v>
      </c>
      <c r="R174" s="707" t="s">
        <v>695</v>
      </c>
      <c r="S174" s="709"/>
      <c r="T174" s="707"/>
      <c r="U174" s="707"/>
    </row>
    <row r="175" spans="1:21" ht="14.5">
      <c r="A175" s="697"/>
      <c r="B175" s="707" t="s">
        <v>730</v>
      </c>
      <c r="C175" s="707" t="s">
        <v>731</v>
      </c>
      <c r="D175" s="711"/>
      <c r="E175" s="707" t="s">
        <v>732</v>
      </c>
      <c r="F175" s="700">
        <v>0.33333333333333298</v>
      </c>
      <c r="G175" s="700"/>
      <c r="H175" s="700"/>
      <c r="I175" s="701">
        <v>540</v>
      </c>
      <c r="J175" s="698">
        <v>0</v>
      </c>
      <c r="K175" s="702">
        <v>-9</v>
      </c>
      <c r="L175" s="703">
        <v>0</v>
      </c>
      <c r="M175" s="698" t="s">
        <v>694</v>
      </c>
      <c r="N175" s="707" t="s">
        <v>733</v>
      </c>
      <c r="O175" s="708"/>
      <c r="P175" s="708"/>
      <c r="Q175" s="704">
        <v>0</v>
      </c>
      <c r="R175" s="707" t="s">
        <v>701</v>
      </c>
      <c r="S175" s="709"/>
      <c r="T175" s="707"/>
      <c r="U175" s="707"/>
    </row>
    <row r="176" spans="1:21" ht="14.5">
      <c r="A176" s="697"/>
      <c r="B176" s="710" t="s">
        <v>734</v>
      </c>
      <c r="C176" s="711" t="s">
        <v>735</v>
      </c>
      <c r="D176" s="714"/>
      <c r="E176" s="711" t="s">
        <v>89</v>
      </c>
      <c r="F176" s="712">
        <v>0.33333333333333298</v>
      </c>
      <c r="G176" s="712"/>
      <c r="H176" s="712"/>
      <c r="I176" s="713">
        <v>540</v>
      </c>
      <c r="J176" s="714">
        <v>0</v>
      </c>
      <c r="K176" s="715">
        <v>-9</v>
      </c>
      <c r="L176" s="716">
        <v>0</v>
      </c>
      <c r="M176" s="714" t="s">
        <v>694</v>
      </c>
      <c r="N176" s="711" t="s">
        <v>736</v>
      </c>
      <c r="O176" s="717"/>
      <c r="P176" s="717"/>
      <c r="Q176" s="704">
        <v>0</v>
      </c>
      <c r="R176" s="711" t="s">
        <v>701</v>
      </c>
      <c r="S176" s="718"/>
      <c r="T176" s="711"/>
      <c r="U176" s="711"/>
    </row>
    <row r="177" spans="1:21" ht="14.5">
      <c r="A177" s="697"/>
      <c r="B177" s="714" t="s">
        <v>737</v>
      </c>
      <c r="C177" s="714" t="s">
        <v>738</v>
      </c>
      <c r="D177" s="707"/>
      <c r="E177" s="714"/>
      <c r="F177" s="712">
        <v>0.33333333333333298</v>
      </c>
      <c r="G177" s="712"/>
      <c r="H177" s="712"/>
      <c r="I177" s="713">
        <v>540</v>
      </c>
      <c r="J177" s="714">
        <v>0</v>
      </c>
      <c r="K177" s="715">
        <v>-9</v>
      </c>
      <c r="L177" s="716">
        <v>0</v>
      </c>
      <c r="M177" s="714" t="s">
        <v>694</v>
      </c>
      <c r="N177" s="714"/>
      <c r="O177" s="719"/>
      <c r="P177" s="719"/>
      <c r="Q177" s="704">
        <v>0</v>
      </c>
      <c r="R177" s="714" t="s">
        <v>695</v>
      </c>
      <c r="S177" s="720"/>
      <c r="T177" s="714"/>
      <c r="U177" s="714" t="s">
        <v>739</v>
      </c>
    </row>
    <row r="178" spans="1:21" ht="14.5">
      <c r="A178" s="697"/>
      <c r="B178" s="707"/>
      <c r="C178" s="707" t="s">
        <v>740</v>
      </c>
      <c r="D178" s="707" t="s">
        <v>54</v>
      </c>
      <c r="E178" s="707" t="s">
        <v>741</v>
      </c>
      <c r="F178" s="700">
        <v>0.33333333333333298</v>
      </c>
      <c r="G178" s="700"/>
      <c r="H178" s="700"/>
      <c r="I178" s="701">
        <v>540</v>
      </c>
      <c r="J178" s="698">
        <v>0</v>
      </c>
      <c r="K178" s="702">
        <v>-9</v>
      </c>
      <c r="L178" s="703">
        <v>0</v>
      </c>
      <c r="M178" s="698" t="s">
        <v>694</v>
      </c>
      <c r="N178" s="707"/>
      <c r="O178" s="708"/>
      <c r="P178" s="708"/>
      <c r="Q178" s="704">
        <v>0</v>
      </c>
      <c r="R178" s="707" t="s">
        <v>742</v>
      </c>
      <c r="S178" s="709"/>
      <c r="T178" s="707"/>
      <c r="U178" s="707"/>
    </row>
    <row r="179" spans="1:21" ht="14.5">
      <c r="A179" s="697"/>
      <c r="B179" s="707" t="s">
        <v>54</v>
      </c>
      <c r="C179" s="707" t="s">
        <v>743</v>
      </c>
      <c r="D179" s="698"/>
      <c r="E179" s="707" t="s">
        <v>744</v>
      </c>
      <c r="F179" s="700">
        <v>0.33333333333333298</v>
      </c>
      <c r="G179" s="700"/>
      <c r="H179" s="700"/>
      <c r="I179" s="701">
        <v>540</v>
      </c>
      <c r="J179" s="698">
        <v>0</v>
      </c>
      <c r="K179" s="702">
        <v>-9</v>
      </c>
      <c r="L179" s="703">
        <v>0</v>
      </c>
      <c r="M179" s="698" t="s">
        <v>694</v>
      </c>
      <c r="N179" s="707"/>
      <c r="O179" s="708"/>
      <c r="P179" s="708"/>
      <c r="Q179" s="704">
        <v>0</v>
      </c>
      <c r="R179" s="707" t="s">
        <v>742</v>
      </c>
      <c r="S179" s="709"/>
      <c r="T179" s="707"/>
      <c r="U179" s="707"/>
    </row>
    <row r="180" spans="1:21" ht="14.5">
      <c r="A180" s="697"/>
      <c r="B180" s="698" t="s">
        <v>745</v>
      </c>
      <c r="C180" s="698"/>
      <c r="D180" s="698"/>
      <c r="E180" s="698"/>
      <c r="F180" s="700">
        <v>0.33333333333333298</v>
      </c>
      <c r="G180" s="700"/>
      <c r="H180" s="700"/>
      <c r="I180" s="701">
        <v>540</v>
      </c>
      <c r="J180" s="698">
        <v>0</v>
      </c>
      <c r="K180" s="702">
        <v>-9</v>
      </c>
      <c r="L180" s="703">
        <v>0</v>
      </c>
      <c r="M180" s="698" t="s">
        <v>694</v>
      </c>
      <c r="N180" s="698"/>
      <c r="O180" s="706"/>
      <c r="P180" s="706"/>
      <c r="Q180" s="704">
        <v>0</v>
      </c>
      <c r="R180" s="698"/>
      <c r="S180" s="705"/>
      <c r="T180" s="698"/>
      <c r="U180" s="698"/>
    </row>
    <row r="181" spans="1:21" ht="14.5">
      <c r="A181" s="697"/>
      <c r="B181" s="698" t="s">
        <v>746</v>
      </c>
      <c r="C181" s="698" t="s">
        <v>747</v>
      </c>
      <c r="D181" s="707"/>
      <c r="E181" s="698" t="s">
        <v>190</v>
      </c>
      <c r="F181" s="700">
        <v>0.33333333333333298</v>
      </c>
      <c r="G181" s="700"/>
      <c r="H181" s="700"/>
      <c r="I181" s="701">
        <v>540</v>
      </c>
      <c r="J181" s="698">
        <v>0</v>
      </c>
      <c r="K181" s="702">
        <v>-9</v>
      </c>
      <c r="L181" s="703">
        <v>0</v>
      </c>
      <c r="M181" s="698" t="s">
        <v>694</v>
      </c>
      <c r="N181" s="698"/>
      <c r="O181" s="706"/>
      <c r="P181" s="706"/>
      <c r="Q181" s="704">
        <v>0</v>
      </c>
      <c r="R181" s="698" t="s">
        <v>701</v>
      </c>
      <c r="S181" s="705"/>
      <c r="T181" s="698"/>
      <c r="U181" s="698"/>
    </row>
    <row r="182" spans="1:21" ht="14.5">
      <c r="A182" s="697"/>
      <c r="B182" s="707" t="s">
        <v>748</v>
      </c>
      <c r="C182" s="707" t="s">
        <v>749</v>
      </c>
      <c r="D182" s="707"/>
      <c r="E182" s="707" t="s">
        <v>278</v>
      </c>
      <c r="F182" s="700">
        <v>0.33333333333333298</v>
      </c>
      <c r="G182" s="700"/>
      <c r="H182" s="700"/>
      <c r="I182" s="701">
        <v>540</v>
      </c>
      <c r="J182" s="698">
        <v>0</v>
      </c>
      <c r="K182" s="702">
        <v>-9</v>
      </c>
      <c r="L182" s="703">
        <v>0</v>
      </c>
      <c r="M182" s="698" t="s">
        <v>694</v>
      </c>
      <c r="N182" s="707"/>
      <c r="O182" s="708"/>
      <c r="P182" s="708"/>
      <c r="Q182" s="704">
        <v>0</v>
      </c>
      <c r="R182" s="707" t="s">
        <v>695</v>
      </c>
      <c r="S182" s="709"/>
      <c r="T182" s="707"/>
      <c r="U182" s="707"/>
    </row>
    <row r="183" spans="1:21" ht="14.5">
      <c r="A183" s="697"/>
      <c r="B183" s="707" t="s">
        <v>750</v>
      </c>
      <c r="C183" s="707"/>
      <c r="D183" s="707"/>
      <c r="E183" s="707"/>
      <c r="F183" s="700">
        <v>0.33333333333333298</v>
      </c>
      <c r="G183" s="700"/>
      <c r="H183" s="700"/>
      <c r="I183" s="701">
        <v>540</v>
      </c>
      <c r="J183" s="698">
        <v>0</v>
      </c>
      <c r="K183" s="702">
        <v>-9</v>
      </c>
      <c r="L183" s="703">
        <v>0</v>
      </c>
      <c r="M183" s="698" t="s">
        <v>694</v>
      </c>
      <c r="N183" s="707"/>
      <c r="O183" s="708"/>
      <c r="P183" s="708"/>
      <c r="Q183" s="704">
        <v>0</v>
      </c>
      <c r="R183" s="707"/>
      <c r="S183" s="709"/>
      <c r="T183" s="707"/>
      <c r="U183" s="707"/>
    </row>
    <row r="184" spans="1:21" ht="14.5">
      <c r="A184" s="697"/>
      <c r="B184" s="707" t="s">
        <v>751</v>
      </c>
      <c r="C184" s="707" t="s">
        <v>752</v>
      </c>
      <c r="D184" s="711" t="s">
        <v>917</v>
      </c>
      <c r="E184" s="707" t="s">
        <v>725</v>
      </c>
      <c r="F184" s="700">
        <v>0.33333333333333298</v>
      </c>
      <c r="G184" s="700">
        <v>0.22083333333333333</v>
      </c>
      <c r="H184" s="700">
        <v>1</v>
      </c>
      <c r="I184" s="701">
        <v>540</v>
      </c>
      <c r="J184" s="698">
        <v>1122</v>
      </c>
      <c r="K184" s="702">
        <v>9.6999999999999993</v>
      </c>
      <c r="L184" s="703">
        <v>18.7</v>
      </c>
      <c r="M184" s="698" t="s">
        <v>918</v>
      </c>
      <c r="N184" s="707" t="s">
        <v>799</v>
      </c>
      <c r="O184" s="708">
        <v>8854</v>
      </c>
      <c r="P184" s="708">
        <v>8926</v>
      </c>
      <c r="Q184" s="704">
        <v>72</v>
      </c>
      <c r="R184" s="707" t="s">
        <v>701</v>
      </c>
      <c r="S184" s="709"/>
      <c r="T184" s="707" t="s">
        <v>763</v>
      </c>
      <c r="U184" s="707"/>
    </row>
    <row r="185" spans="1:21">
      <c r="A185" s="697"/>
      <c r="B185" s="710" t="s">
        <v>754</v>
      </c>
      <c r="C185" s="711" t="s">
        <v>755</v>
      </c>
      <c r="D185" s="721" t="s">
        <v>54</v>
      </c>
      <c r="E185" s="711" t="s">
        <v>190</v>
      </c>
      <c r="F185" s="712">
        <v>0.33333333333333298</v>
      </c>
      <c r="G185" s="712"/>
      <c r="H185" s="712"/>
      <c r="I185" s="713">
        <v>540</v>
      </c>
      <c r="J185" s="714">
        <v>0</v>
      </c>
      <c r="K185" s="715">
        <v>-9</v>
      </c>
      <c r="L185" s="716">
        <v>0</v>
      </c>
      <c r="M185" s="714" t="s">
        <v>694</v>
      </c>
      <c r="N185" s="711"/>
      <c r="O185" s="717"/>
      <c r="P185" s="717"/>
      <c r="Q185" s="704">
        <v>0</v>
      </c>
      <c r="R185" s="711" t="s">
        <v>701</v>
      </c>
      <c r="S185" s="718"/>
      <c r="T185" s="711"/>
      <c r="U185" s="711"/>
    </row>
    <row r="186" spans="1:21">
      <c r="A186" s="697"/>
      <c r="B186" s="721" t="s">
        <v>54</v>
      </c>
      <c r="C186" s="721"/>
      <c r="D186" s="699" t="s">
        <v>54</v>
      </c>
      <c r="E186" s="721"/>
      <c r="F186" s="721"/>
      <c r="G186" s="721"/>
      <c r="H186" s="721"/>
      <c r="I186" s="721"/>
      <c r="J186" s="721"/>
      <c r="K186" s="721"/>
      <c r="L186" s="721"/>
      <c r="M186" s="721" t="s">
        <v>54</v>
      </c>
      <c r="N186" s="721"/>
      <c r="O186" s="722"/>
      <c r="P186" s="722"/>
      <c r="Q186" s="704"/>
      <c r="R186" s="721"/>
      <c r="S186" s="723"/>
      <c r="T186" s="721"/>
      <c r="U186" s="721"/>
    </row>
    <row r="187" spans="1:21" ht="14.5">
      <c r="A187" s="697">
        <v>46243</v>
      </c>
      <c r="B187" s="698" t="s">
        <v>691</v>
      </c>
      <c r="C187" s="698" t="s">
        <v>692</v>
      </c>
      <c r="D187" s="698"/>
      <c r="E187" s="698" t="s">
        <v>693</v>
      </c>
      <c r="F187" s="700">
        <v>0.33333333333333298</v>
      </c>
      <c r="G187" s="700"/>
      <c r="H187" s="700"/>
      <c r="I187" s="701">
        <v>540</v>
      </c>
      <c r="J187" s="698">
        <v>0</v>
      </c>
      <c r="K187" s="702">
        <v>-9</v>
      </c>
      <c r="L187" s="703">
        <v>0</v>
      </c>
      <c r="M187" s="698" t="s">
        <v>694</v>
      </c>
      <c r="N187" s="698"/>
      <c r="O187" s="706"/>
      <c r="P187" s="706"/>
      <c r="Q187" s="704">
        <v>0</v>
      </c>
      <c r="R187" s="698" t="s">
        <v>695</v>
      </c>
      <c r="S187" s="705"/>
      <c r="T187" s="698"/>
      <c r="U187" s="698"/>
    </row>
    <row r="188" spans="1:21" ht="14.5">
      <c r="A188" s="697"/>
      <c r="B188" s="698" t="s">
        <v>696</v>
      </c>
      <c r="C188" s="698" t="s">
        <v>697</v>
      </c>
      <c r="D188" s="698"/>
      <c r="E188" s="698" t="s">
        <v>693</v>
      </c>
      <c r="F188" s="700">
        <v>0.33333333333333298</v>
      </c>
      <c r="G188" s="700"/>
      <c r="H188" s="700"/>
      <c r="I188" s="701">
        <v>540</v>
      </c>
      <c r="J188" s="698">
        <v>0</v>
      </c>
      <c r="K188" s="702">
        <v>-9</v>
      </c>
      <c r="L188" s="703">
        <v>0</v>
      </c>
      <c r="M188" s="698" t="s">
        <v>694</v>
      </c>
      <c r="N188" s="698"/>
      <c r="O188" s="706"/>
      <c r="P188" s="706"/>
      <c r="Q188" s="704">
        <v>0</v>
      </c>
      <c r="R188" s="698" t="s">
        <v>695</v>
      </c>
      <c r="S188" s="705"/>
      <c r="T188" s="698"/>
      <c r="U188" s="698"/>
    </row>
    <row r="189" spans="1:21" ht="14.5">
      <c r="A189" s="697"/>
      <c r="B189" s="698" t="s">
        <v>698</v>
      </c>
      <c r="C189" s="698" t="s">
        <v>699</v>
      </c>
      <c r="D189" s="698"/>
      <c r="E189" s="698" t="s">
        <v>700</v>
      </c>
      <c r="F189" s="700">
        <v>0.33333333333333298</v>
      </c>
      <c r="G189" s="700"/>
      <c r="H189" s="700"/>
      <c r="I189" s="701">
        <v>540</v>
      </c>
      <c r="J189" s="698">
        <v>0</v>
      </c>
      <c r="K189" s="702">
        <v>-9</v>
      </c>
      <c r="L189" s="703">
        <v>0</v>
      </c>
      <c r="M189" s="698" t="s">
        <v>694</v>
      </c>
      <c r="N189" s="698"/>
      <c r="O189" s="706"/>
      <c r="P189" s="706"/>
      <c r="Q189" s="704">
        <v>0</v>
      </c>
      <c r="R189" s="698" t="s">
        <v>701</v>
      </c>
      <c r="S189" s="705"/>
      <c r="T189" s="698"/>
      <c r="U189" s="698"/>
    </row>
    <row r="190" spans="1:21" ht="14.5">
      <c r="A190" s="697"/>
      <c r="B190" s="698" t="s">
        <v>702</v>
      </c>
      <c r="C190" s="698" t="s">
        <v>703</v>
      </c>
      <c r="D190" s="698"/>
      <c r="E190" s="698" t="s">
        <v>693</v>
      </c>
      <c r="F190" s="700">
        <v>0.33333333333333298</v>
      </c>
      <c r="G190" s="700"/>
      <c r="H190" s="700"/>
      <c r="I190" s="701">
        <v>540</v>
      </c>
      <c r="J190" s="698">
        <v>0</v>
      </c>
      <c r="K190" s="702">
        <v>-9</v>
      </c>
      <c r="L190" s="703">
        <v>0</v>
      </c>
      <c r="M190" s="698" t="s">
        <v>694</v>
      </c>
      <c r="N190" s="698"/>
      <c r="O190" s="706"/>
      <c r="P190" s="706"/>
      <c r="Q190" s="704">
        <v>0</v>
      </c>
      <c r="R190" s="698" t="s">
        <v>701</v>
      </c>
      <c r="S190" s="705"/>
      <c r="T190" s="698"/>
      <c r="U190" s="698"/>
    </row>
    <row r="191" spans="1:21" ht="14.5">
      <c r="A191" s="697"/>
      <c r="B191" s="698" t="s">
        <v>704</v>
      </c>
      <c r="C191" s="698" t="s">
        <v>705</v>
      </c>
      <c r="D191" s="698"/>
      <c r="E191" s="698" t="s">
        <v>693</v>
      </c>
      <c r="F191" s="700">
        <v>0.33333333333333298</v>
      </c>
      <c r="G191" s="700"/>
      <c r="H191" s="700"/>
      <c r="I191" s="701">
        <v>540</v>
      </c>
      <c r="J191" s="698">
        <v>0</v>
      </c>
      <c r="K191" s="702">
        <v>-9</v>
      </c>
      <c r="L191" s="703">
        <v>0</v>
      </c>
      <c r="M191" s="698" t="s">
        <v>694</v>
      </c>
      <c r="N191" s="698"/>
      <c r="O191" s="706"/>
      <c r="P191" s="706"/>
      <c r="Q191" s="704">
        <v>0</v>
      </c>
      <c r="R191" s="698" t="s">
        <v>701</v>
      </c>
      <c r="S191" s="705"/>
      <c r="T191" s="698"/>
      <c r="U191" s="698"/>
    </row>
    <row r="192" spans="1:21" ht="14.5">
      <c r="A192" s="697"/>
      <c r="B192" s="698" t="s">
        <v>706</v>
      </c>
      <c r="C192" s="698" t="s">
        <v>707</v>
      </c>
      <c r="D192" s="698"/>
      <c r="E192" s="698" t="s">
        <v>693</v>
      </c>
      <c r="F192" s="700">
        <v>0.33333333333333298</v>
      </c>
      <c r="G192" s="700"/>
      <c r="H192" s="700"/>
      <c r="I192" s="701">
        <v>540</v>
      </c>
      <c r="J192" s="698">
        <v>0</v>
      </c>
      <c r="K192" s="702">
        <v>-9</v>
      </c>
      <c r="L192" s="703">
        <v>0</v>
      </c>
      <c r="M192" s="698" t="s">
        <v>694</v>
      </c>
      <c r="N192" s="698"/>
      <c r="O192" s="706"/>
      <c r="P192" s="706"/>
      <c r="Q192" s="704">
        <v>0</v>
      </c>
      <c r="R192" s="698" t="s">
        <v>701</v>
      </c>
      <c r="S192" s="705"/>
      <c r="T192" s="698"/>
      <c r="U192" s="698"/>
    </row>
    <row r="193" spans="1:21" ht="14.5">
      <c r="A193" s="697"/>
      <c r="B193" s="698" t="s">
        <v>708</v>
      </c>
      <c r="C193" s="698" t="s">
        <v>709</v>
      </c>
      <c r="D193" s="698"/>
      <c r="E193" s="698" t="s">
        <v>710</v>
      </c>
      <c r="F193" s="700">
        <v>0.33333333333333298</v>
      </c>
      <c r="G193" s="700"/>
      <c r="H193" s="700"/>
      <c r="I193" s="701">
        <v>540</v>
      </c>
      <c r="J193" s="698">
        <v>0</v>
      </c>
      <c r="K193" s="702">
        <v>-9</v>
      </c>
      <c r="L193" s="703">
        <v>0</v>
      </c>
      <c r="M193" s="698" t="s">
        <v>694</v>
      </c>
      <c r="N193" s="698" t="s">
        <v>711</v>
      </c>
      <c r="O193" s="706"/>
      <c r="P193" s="706"/>
      <c r="Q193" s="704">
        <v>0</v>
      </c>
      <c r="R193" s="698" t="s">
        <v>695</v>
      </c>
      <c r="S193" s="705"/>
      <c r="T193" s="698"/>
      <c r="U193" s="698"/>
    </row>
    <row r="194" spans="1:21" ht="14.5">
      <c r="A194" s="697"/>
      <c r="B194" s="698" t="s">
        <v>712</v>
      </c>
      <c r="C194" s="698" t="s">
        <v>713</v>
      </c>
      <c r="D194" s="698"/>
      <c r="E194" s="698" t="s">
        <v>169</v>
      </c>
      <c r="F194" s="700">
        <v>0.33333333333333298</v>
      </c>
      <c r="G194" s="700"/>
      <c r="H194" s="700"/>
      <c r="I194" s="701">
        <v>540</v>
      </c>
      <c r="J194" s="698">
        <v>0</v>
      </c>
      <c r="K194" s="702">
        <v>-9</v>
      </c>
      <c r="L194" s="703">
        <v>0</v>
      </c>
      <c r="M194" s="698" t="s">
        <v>694</v>
      </c>
      <c r="N194" s="698" t="s">
        <v>714</v>
      </c>
      <c r="O194" s="706"/>
      <c r="P194" s="706"/>
      <c r="Q194" s="704">
        <v>0</v>
      </c>
      <c r="R194" s="698" t="s">
        <v>695</v>
      </c>
      <c r="S194" s="705"/>
      <c r="T194" s="698"/>
      <c r="U194" s="698"/>
    </row>
    <row r="195" spans="1:21" ht="14.5">
      <c r="A195" s="697"/>
      <c r="B195" s="698" t="s">
        <v>715</v>
      </c>
      <c r="C195" s="698" t="s">
        <v>716</v>
      </c>
      <c r="D195" s="707"/>
      <c r="E195" s="698" t="s">
        <v>190</v>
      </c>
      <c r="F195" s="700">
        <v>0.33333333333333298</v>
      </c>
      <c r="G195" s="700"/>
      <c r="H195" s="700"/>
      <c r="I195" s="701">
        <v>540</v>
      </c>
      <c r="J195" s="698">
        <v>0</v>
      </c>
      <c r="K195" s="702">
        <v>-9</v>
      </c>
      <c r="L195" s="703">
        <v>0</v>
      </c>
      <c r="M195" s="698" t="s">
        <v>694</v>
      </c>
      <c r="N195" s="698" t="s">
        <v>717</v>
      </c>
      <c r="O195" s="706"/>
      <c r="P195" s="706"/>
      <c r="Q195" s="704">
        <v>0</v>
      </c>
      <c r="R195" s="698" t="s">
        <v>695</v>
      </c>
      <c r="S195" s="705"/>
      <c r="T195" s="698"/>
      <c r="U195" s="698"/>
    </row>
    <row r="196" spans="1:21" ht="14.5">
      <c r="A196" s="697"/>
      <c r="B196" s="707" t="s">
        <v>718</v>
      </c>
      <c r="C196" s="707" t="s">
        <v>719</v>
      </c>
      <c r="D196" s="707" t="s">
        <v>919</v>
      </c>
      <c r="E196" s="707" t="s">
        <v>720</v>
      </c>
      <c r="F196" s="700">
        <v>0.33333333333333298</v>
      </c>
      <c r="G196" s="700">
        <v>0.3125</v>
      </c>
      <c r="H196" s="700">
        <v>0.50347222222222221</v>
      </c>
      <c r="I196" s="701">
        <v>540</v>
      </c>
      <c r="J196" s="698">
        <v>275</v>
      </c>
      <c r="K196" s="702">
        <v>-4.416666666666667</v>
      </c>
      <c r="L196" s="703">
        <v>4.583333333333333</v>
      </c>
      <c r="M196" s="698" t="s">
        <v>920</v>
      </c>
      <c r="N196" s="707" t="s">
        <v>721</v>
      </c>
      <c r="O196" s="708">
        <v>18936</v>
      </c>
      <c r="P196" s="708">
        <v>18972</v>
      </c>
      <c r="Q196" s="704">
        <v>36</v>
      </c>
      <c r="R196" s="707" t="s">
        <v>701</v>
      </c>
      <c r="S196" s="709">
        <v>5</v>
      </c>
      <c r="T196" s="707" t="s">
        <v>763</v>
      </c>
      <c r="U196" s="707" t="s">
        <v>921</v>
      </c>
    </row>
    <row r="197" spans="1:21" ht="14.5">
      <c r="A197" s="697"/>
      <c r="B197" s="707" t="s">
        <v>722</v>
      </c>
      <c r="C197" s="707" t="s">
        <v>723</v>
      </c>
      <c r="D197" s="707" t="s">
        <v>54</v>
      </c>
      <c r="E197" s="707" t="s">
        <v>725</v>
      </c>
      <c r="F197" s="700">
        <v>0.33333333333333298</v>
      </c>
      <c r="G197" s="700"/>
      <c r="H197" s="700"/>
      <c r="I197" s="701">
        <v>540</v>
      </c>
      <c r="J197" s="698">
        <v>0</v>
      </c>
      <c r="K197" s="702">
        <v>-9</v>
      </c>
      <c r="L197" s="703">
        <v>0</v>
      </c>
      <c r="M197" s="698" t="s">
        <v>694</v>
      </c>
      <c r="N197" s="707" t="s">
        <v>727</v>
      </c>
      <c r="O197" s="708"/>
      <c r="P197" s="708"/>
      <c r="Q197" s="704">
        <v>0</v>
      </c>
      <c r="R197" s="707" t="s">
        <v>695</v>
      </c>
      <c r="S197" s="709"/>
      <c r="T197" s="707"/>
      <c r="U197" s="707"/>
    </row>
    <row r="198" spans="1:21" ht="14.5">
      <c r="A198" s="697"/>
      <c r="B198" s="707" t="s">
        <v>730</v>
      </c>
      <c r="C198" s="707" t="s">
        <v>731</v>
      </c>
      <c r="D198" s="711"/>
      <c r="E198" s="707" t="s">
        <v>732</v>
      </c>
      <c r="F198" s="700">
        <v>0.33333333333333298</v>
      </c>
      <c r="G198" s="700"/>
      <c r="H198" s="700"/>
      <c r="I198" s="701">
        <v>540</v>
      </c>
      <c r="J198" s="698">
        <v>0</v>
      </c>
      <c r="K198" s="702">
        <v>-9</v>
      </c>
      <c r="L198" s="703">
        <v>0</v>
      </c>
      <c r="M198" s="698" t="s">
        <v>694</v>
      </c>
      <c r="N198" s="707" t="s">
        <v>733</v>
      </c>
      <c r="O198" s="708"/>
      <c r="P198" s="708"/>
      <c r="Q198" s="704">
        <v>0</v>
      </c>
      <c r="R198" s="707" t="s">
        <v>701</v>
      </c>
      <c r="S198" s="709"/>
      <c r="T198" s="707"/>
      <c r="U198" s="707"/>
    </row>
    <row r="199" spans="1:21" ht="14.5">
      <c r="A199" s="697"/>
      <c r="B199" s="710" t="s">
        <v>734</v>
      </c>
      <c r="C199" s="711" t="s">
        <v>735</v>
      </c>
      <c r="D199" s="714"/>
      <c r="E199" s="711" t="s">
        <v>89</v>
      </c>
      <c r="F199" s="712">
        <v>0.33333333333333298</v>
      </c>
      <c r="G199" s="712"/>
      <c r="H199" s="712"/>
      <c r="I199" s="713">
        <v>540</v>
      </c>
      <c r="J199" s="714">
        <v>0</v>
      </c>
      <c r="K199" s="715">
        <v>-9</v>
      </c>
      <c r="L199" s="716">
        <v>0</v>
      </c>
      <c r="M199" s="714" t="s">
        <v>694</v>
      </c>
      <c r="N199" s="711" t="s">
        <v>736</v>
      </c>
      <c r="O199" s="717"/>
      <c r="P199" s="717"/>
      <c r="Q199" s="704">
        <v>0</v>
      </c>
      <c r="R199" s="711" t="s">
        <v>701</v>
      </c>
      <c r="S199" s="718"/>
      <c r="T199" s="711"/>
      <c r="U199" s="711"/>
    </row>
    <row r="200" spans="1:21" ht="14.5">
      <c r="A200" s="697"/>
      <c r="B200" s="714" t="s">
        <v>737</v>
      </c>
      <c r="C200" s="714" t="s">
        <v>738</v>
      </c>
      <c r="D200" s="707"/>
      <c r="E200" s="714"/>
      <c r="F200" s="712">
        <v>0.33333333333333298</v>
      </c>
      <c r="G200" s="712"/>
      <c r="H200" s="712"/>
      <c r="I200" s="713">
        <v>540</v>
      </c>
      <c r="J200" s="714">
        <v>0</v>
      </c>
      <c r="K200" s="715">
        <v>-9</v>
      </c>
      <c r="L200" s="716">
        <v>0</v>
      </c>
      <c r="M200" s="714" t="s">
        <v>694</v>
      </c>
      <c r="N200" s="714"/>
      <c r="O200" s="719"/>
      <c r="P200" s="719"/>
      <c r="Q200" s="704">
        <v>0</v>
      </c>
      <c r="R200" s="714" t="s">
        <v>695</v>
      </c>
      <c r="S200" s="720"/>
      <c r="T200" s="714"/>
      <c r="U200" s="714" t="s">
        <v>739</v>
      </c>
    </row>
    <row r="201" spans="1:21" ht="14.5">
      <c r="A201" s="697"/>
      <c r="B201" s="707"/>
      <c r="C201" s="707" t="s">
        <v>740</v>
      </c>
      <c r="D201" s="707" t="s">
        <v>54</v>
      </c>
      <c r="E201" s="707" t="s">
        <v>741</v>
      </c>
      <c r="F201" s="700">
        <v>0.33333333333333298</v>
      </c>
      <c r="G201" s="700"/>
      <c r="H201" s="700"/>
      <c r="I201" s="701">
        <v>540</v>
      </c>
      <c r="J201" s="698">
        <v>0</v>
      </c>
      <c r="K201" s="702">
        <v>-9</v>
      </c>
      <c r="L201" s="703">
        <v>0</v>
      </c>
      <c r="M201" s="698" t="s">
        <v>694</v>
      </c>
      <c r="N201" s="707"/>
      <c r="O201" s="708"/>
      <c r="P201" s="708"/>
      <c r="Q201" s="704">
        <v>0</v>
      </c>
      <c r="R201" s="707" t="s">
        <v>742</v>
      </c>
      <c r="S201" s="709"/>
      <c r="T201" s="707"/>
      <c r="U201" s="707"/>
    </row>
    <row r="202" spans="1:21" ht="14.5">
      <c r="A202" s="697"/>
      <c r="B202" s="707" t="s">
        <v>54</v>
      </c>
      <c r="C202" s="707" t="s">
        <v>743</v>
      </c>
      <c r="D202" s="698"/>
      <c r="E202" s="707" t="s">
        <v>744</v>
      </c>
      <c r="F202" s="700">
        <v>0.33333333333333298</v>
      </c>
      <c r="G202" s="700"/>
      <c r="H202" s="700"/>
      <c r="I202" s="701">
        <v>540</v>
      </c>
      <c r="J202" s="698">
        <v>0</v>
      </c>
      <c r="K202" s="702">
        <v>-9</v>
      </c>
      <c r="L202" s="703">
        <v>0</v>
      </c>
      <c r="M202" s="698" t="s">
        <v>694</v>
      </c>
      <c r="N202" s="707"/>
      <c r="O202" s="708"/>
      <c r="P202" s="708"/>
      <c r="Q202" s="704">
        <v>0</v>
      </c>
      <c r="R202" s="707" t="s">
        <v>742</v>
      </c>
      <c r="S202" s="709"/>
      <c r="T202" s="707"/>
      <c r="U202" s="707"/>
    </row>
    <row r="203" spans="1:21" ht="14.5">
      <c r="A203" s="697"/>
      <c r="B203" s="698" t="s">
        <v>745</v>
      </c>
      <c r="C203" s="698"/>
      <c r="D203" s="698"/>
      <c r="E203" s="698"/>
      <c r="F203" s="700">
        <v>0.33333333333333298</v>
      </c>
      <c r="G203" s="700"/>
      <c r="H203" s="700"/>
      <c r="I203" s="701">
        <v>540</v>
      </c>
      <c r="J203" s="698">
        <v>0</v>
      </c>
      <c r="K203" s="702">
        <v>-9</v>
      </c>
      <c r="L203" s="703">
        <v>0</v>
      </c>
      <c r="M203" s="698" t="s">
        <v>694</v>
      </c>
      <c r="N203" s="698"/>
      <c r="O203" s="706"/>
      <c r="P203" s="706"/>
      <c r="Q203" s="704">
        <v>0</v>
      </c>
      <c r="R203" s="698"/>
      <c r="S203" s="705"/>
      <c r="T203" s="698"/>
      <c r="U203" s="698"/>
    </row>
    <row r="204" spans="1:21" ht="14.5">
      <c r="A204" s="697"/>
      <c r="B204" s="698" t="s">
        <v>746</v>
      </c>
      <c r="C204" s="698" t="s">
        <v>747</v>
      </c>
      <c r="D204" s="707"/>
      <c r="E204" s="698" t="s">
        <v>190</v>
      </c>
      <c r="F204" s="700">
        <v>0.33333333333333298</v>
      </c>
      <c r="G204" s="700"/>
      <c r="H204" s="700"/>
      <c r="I204" s="701">
        <v>540</v>
      </c>
      <c r="J204" s="698">
        <v>0</v>
      </c>
      <c r="K204" s="702">
        <v>-9</v>
      </c>
      <c r="L204" s="703">
        <v>0</v>
      </c>
      <c r="M204" s="698" t="s">
        <v>694</v>
      </c>
      <c r="N204" s="698"/>
      <c r="O204" s="706"/>
      <c r="P204" s="706"/>
      <c r="Q204" s="704">
        <v>0</v>
      </c>
      <c r="R204" s="698" t="s">
        <v>701</v>
      </c>
      <c r="S204" s="705"/>
      <c r="T204" s="698"/>
      <c r="U204" s="698"/>
    </row>
    <row r="205" spans="1:21" ht="14.5">
      <c r="A205" s="697"/>
      <c r="B205" s="707" t="s">
        <v>748</v>
      </c>
      <c r="C205" s="707" t="s">
        <v>749</v>
      </c>
      <c r="D205" s="707"/>
      <c r="E205" s="707" t="s">
        <v>278</v>
      </c>
      <c r="F205" s="700">
        <v>0.33333333333333298</v>
      </c>
      <c r="G205" s="700"/>
      <c r="H205" s="700"/>
      <c r="I205" s="701">
        <v>540</v>
      </c>
      <c r="J205" s="698">
        <v>0</v>
      </c>
      <c r="K205" s="702">
        <v>-9</v>
      </c>
      <c r="L205" s="703">
        <v>0</v>
      </c>
      <c r="M205" s="698" t="s">
        <v>694</v>
      </c>
      <c r="N205" s="707"/>
      <c r="O205" s="708"/>
      <c r="P205" s="708"/>
      <c r="Q205" s="704">
        <v>0</v>
      </c>
      <c r="R205" s="707" t="s">
        <v>695</v>
      </c>
      <c r="S205" s="709"/>
      <c r="T205" s="707"/>
      <c r="U205" s="707"/>
    </row>
    <row r="206" spans="1:21" ht="14.5">
      <c r="A206" s="697"/>
      <c r="B206" s="707" t="s">
        <v>750</v>
      </c>
      <c r="C206" s="707"/>
      <c r="D206" s="707"/>
      <c r="E206" s="707"/>
      <c r="F206" s="700">
        <v>0.33333333333333298</v>
      </c>
      <c r="G206" s="700"/>
      <c r="H206" s="700"/>
      <c r="I206" s="701">
        <v>540</v>
      </c>
      <c r="J206" s="698">
        <v>0</v>
      </c>
      <c r="K206" s="702">
        <v>-9</v>
      </c>
      <c r="L206" s="703">
        <v>0</v>
      </c>
      <c r="M206" s="698" t="s">
        <v>694</v>
      </c>
      <c r="N206" s="707"/>
      <c r="O206" s="708"/>
      <c r="P206" s="708"/>
      <c r="Q206" s="704">
        <v>0</v>
      </c>
      <c r="R206" s="707"/>
      <c r="S206" s="709"/>
      <c r="T206" s="707"/>
      <c r="U206" s="707"/>
    </row>
    <row r="207" spans="1:21" ht="14.5">
      <c r="A207" s="697"/>
      <c r="B207" s="707" t="s">
        <v>751</v>
      </c>
      <c r="C207" s="707" t="s">
        <v>752</v>
      </c>
      <c r="D207" s="711" t="s">
        <v>54</v>
      </c>
      <c r="E207" s="707" t="s">
        <v>753</v>
      </c>
      <c r="F207" s="700">
        <v>0.33333333333333298</v>
      </c>
      <c r="G207" s="700"/>
      <c r="H207" s="700"/>
      <c r="I207" s="701">
        <v>540</v>
      </c>
      <c r="J207" s="698">
        <v>0</v>
      </c>
      <c r="K207" s="702">
        <v>-9</v>
      </c>
      <c r="L207" s="703">
        <v>0</v>
      </c>
      <c r="M207" s="698" t="s">
        <v>694</v>
      </c>
      <c r="N207" s="707"/>
      <c r="O207" s="708"/>
      <c r="P207" s="708"/>
      <c r="Q207" s="704">
        <v>0</v>
      </c>
      <c r="R207" s="707" t="s">
        <v>701</v>
      </c>
      <c r="S207" s="709"/>
      <c r="T207" s="707"/>
      <c r="U207" s="707"/>
    </row>
    <row r="208" spans="1:21">
      <c r="A208" s="697"/>
      <c r="B208" s="710" t="s">
        <v>754</v>
      </c>
      <c r="C208" s="711" t="s">
        <v>755</v>
      </c>
      <c r="D208" s="721" t="s">
        <v>54</v>
      </c>
      <c r="E208" s="711" t="s">
        <v>190</v>
      </c>
      <c r="F208" s="712">
        <v>0.33333333333333298</v>
      </c>
      <c r="G208" s="712"/>
      <c r="H208" s="712"/>
      <c r="I208" s="713">
        <v>540</v>
      </c>
      <c r="J208" s="714">
        <v>0</v>
      </c>
      <c r="K208" s="715">
        <v>-9</v>
      </c>
      <c r="L208" s="716">
        <v>0</v>
      </c>
      <c r="M208" s="714" t="s">
        <v>694</v>
      </c>
      <c r="N208" s="711"/>
      <c r="O208" s="717"/>
      <c r="P208" s="717"/>
      <c r="Q208" s="704">
        <v>0</v>
      </c>
      <c r="R208" s="711" t="s">
        <v>701</v>
      </c>
      <c r="S208" s="718"/>
      <c r="T208" s="711"/>
      <c r="U208" s="711"/>
    </row>
    <row r="209" spans="1:21" ht="14.5" customHeight="1">
      <c r="A209" s="697"/>
      <c r="B209" s="721" t="s">
        <v>54</v>
      </c>
      <c r="C209" s="721"/>
      <c r="D209" s="699" t="s">
        <v>54</v>
      </c>
      <c r="E209" s="721"/>
      <c r="F209" s="721"/>
      <c r="G209" s="721"/>
      <c r="H209" s="721"/>
      <c r="I209" s="721"/>
      <c r="J209" s="721"/>
      <c r="K209" s="721"/>
      <c r="L209" s="721"/>
      <c r="M209" s="721" t="s">
        <v>54</v>
      </c>
      <c r="N209" s="721"/>
      <c r="O209" s="722"/>
      <c r="P209" s="722"/>
      <c r="Q209" s="704"/>
      <c r="R209" s="721"/>
      <c r="S209" s="723"/>
      <c r="T209" s="721"/>
      <c r="U209" s="721"/>
    </row>
    <row r="210" spans="1:21" ht="14.5">
      <c r="A210" s="697">
        <v>46244</v>
      </c>
      <c r="B210" s="698" t="s">
        <v>691</v>
      </c>
      <c r="C210" s="698" t="s">
        <v>692</v>
      </c>
      <c r="D210" s="698" t="s">
        <v>788</v>
      </c>
      <c r="E210" s="698" t="s">
        <v>756</v>
      </c>
      <c r="F210" s="700">
        <v>0.33333333333333298</v>
      </c>
      <c r="G210" s="700"/>
      <c r="H210" s="700"/>
      <c r="I210" s="701">
        <v>540</v>
      </c>
      <c r="J210" s="698">
        <v>0</v>
      </c>
      <c r="K210" s="702">
        <v>-9</v>
      </c>
      <c r="L210" s="703">
        <v>0</v>
      </c>
      <c r="M210" s="698" t="s">
        <v>694</v>
      </c>
      <c r="N210" s="698"/>
      <c r="O210" s="706"/>
      <c r="P210" s="706"/>
      <c r="Q210" s="704">
        <v>0</v>
      </c>
      <c r="R210" s="698" t="s">
        <v>695</v>
      </c>
      <c r="S210" s="705"/>
      <c r="T210" s="698"/>
      <c r="U210" s="698"/>
    </row>
    <row r="211" spans="1:21" ht="14.5">
      <c r="A211" s="697"/>
      <c r="B211" s="698" t="s">
        <v>696</v>
      </c>
      <c r="C211" s="698" t="s">
        <v>697</v>
      </c>
      <c r="D211" s="698" t="s">
        <v>788</v>
      </c>
      <c r="E211" s="698" t="s">
        <v>693</v>
      </c>
      <c r="F211" s="700">
        <v>0.33333333333333298</v>
      </c>
      <c r="G211" s="700"/>
      <c r="H211" s="700"/>
      <c r="I211" s="701">
        <v>540</v>
      </c>
      <c r="J211" s="698">
        <v>0</v>
      </c>
      <c r="K211" s="702">
        <v>-9</v>
      </c>
      <c r="L211" s="703">
        <v>0</v>
      </c>
      <c r="M211" s="698" t="s">
        <v>694</v>
      </c>
      <c r="N211" s="698"/>
      <c r="O211" s="706"/>
      <c r="P211" s="706"/>
      <c r="Q211" s="704">
        <v>0</v>
      </c>
      <c r="R211" s="698" t="s">
        <v>695</v>
      </c>
      <c r="S211" s="705"/>
      <c r="T211" s="698"/>
      <c r="U211" s="698"/>
    </row>
    <row r="212" spans="1:21" ht="14.5">
      <c r="A212" s="697"/>
      <c r="B212" s="698" t="s">
        <v>698</v>
      </c>
      <c r="C212" s="698" t="s">
        <v>699</v>
      </c>
      <c r="D212" s="698" t="s">
        <v>922</v>
      </c>
      <c r="E212" s="698" t="s">
        <v>278</v>
      </c>
      <c r="F212" s="700">
        <v>0.33333333333333298</v>
      </c>
      <c r="G212" s="700">
        <v>0.47916666666666669</v>
      </c>
      <c r="H212" s="700">
        <v>0.80625000000000002</v>
      </c>
      <c r="I212" s="701">
        <v>540</v>
      </c>
      <c r="J212" s="698">
        <v>471</v>
      </c>
      <c r="K212" s="702">
        <v>-1.1499999999999999</v>
      </c>
      <c r="L212" s="703">
        <v>7.85</v>
      </c>
      <c r="M212" s="698" t="s">
        <v>923</v>
      </c>
      <c r="N212" s="698" t="s">
        <v>875</v>
      </c>
      <c r="O212" s="706">
        <v>31488</v>
      </c>
      <c r="P212" s="706">
        <v>31606</v>
      </c>
      <c r="Q212" s="704">
        <v>118</v>
      </c>
      <c r="R212" s="698" t="s">
        <v>701</v>
      </c>
      <c r="S212" s="705">
        <v>10</v>
      </c>
      <c r="T212" s="698" t="s">
        <v>806</v>
      </c>
      <c r="U212" s="698"/>
    </row>
    <row r="213" spans="1:21" ht="14.5">
      <c r="A213" s="697"/>
      <c r="B213" s="698" t="s">
        <v>702</v>
      </c>
      <c r="C213" s="698" t="s">
        <v>703</v>
      </c>
      <c r="D213" s="698" t="s">
        <v>924</v>
      </c>
      <c r="E213" s="698" t="s">
        <v>843</v>
      </c>
      <c r="F213" s="700">
        <v>0.33333333333333298</v>
      </c>
      <c r="G213" s="700">
        <v>0.64583333333333337</v>
      </c>
      <c r="H213" s="700">
        <v>0.79305555555555562</v>
      </c>
      <c r="I213" s="701">
        <v>540</v>
      </c>
      <c r="J213" s="698">
        <v>212.00000000000006</v>
      </c>
      <c r="K213" s="702">
        <v>-5.4666666666666659</v>
      </c>
      <c r="L213" s="703">
        <v>3.5333333333333341</v>
      </c>
      <c r="M213" s="698" t="s">
        <v>925</v>
      </c>
      <c r="N213" s="698" t="s">
        <v>845</v>
      </c>
      <c r="O213" s="706">
        <v>19087</v>
      </c>
      <c r="P213" s="706">
        <v>19099</v>
      </c>
      <c r="Q213" s="704">
        <v>12</v>
      </c>
      <c r="R213" s="698" t="s">
        <v>701</v>
      </c>
      <c r="S213" s="705"/>
      <c r="T213" s="698" t="s">
        <v>806</v>
      </c>
      <c r="U213" s="698"/>
    </row>
    <row r="214" spans="1:21" ht="14.5">
      <c r="A214" s="697"/>
      <c r="B214" s="698" t="s">
        <v>704</v>
      </c>
      <c r="C214" s="698" t="s">
        <v>705</v>
      </c>
      <c r="D214" s="698" t="s">
        <v>926</v>
      </c>
      <c r="E214" s="698" t="s">
        <v>693</v>
      </c>
      <c r="F214" s="700">
        <v>0.33333333333333298</v>
      </c>
      <c r="G214" s="700">
        <v>0.41666666666666669</v>
      </c>
      <c r="H214" s="700">
        <v>0.875</v>
      </c>
      <c r="I214" s="701">
        <v>540</v>
      </c>
      <c r="J214" s="698">
        <v>660</v>
      </c>
      <c r="K214" s="702">
        <v>2</v>
      </c>
      <c r="L214" s="703">
        <v>11</v>
      </c>
      <c r="M214" s="698" t="s">
        <v>801</v>
      </c>
      <c r="N214" s="698" t="s">
        <v>927</v>
      </c>
      <c r="O214" s="706">
        <v>42121</v>
      </c>
      <c r="P214" s="706">
        <v>42158</v>
      </c>
      <c r="Q214" s="704">
        <v>37</v>
      </c>
      <c r="R214" s="698" t="s">
        <v>701</v>
      </c>
      <c r="S214" s="705">
        <v>5</v>
      </c>
      <c r="T214" s="698" t="s">
        <v>763</v>
      </c>
      <c r="U214" s="698"/>
    </row>
    <row r="215" spans="1:21" ht="14.5">
      <c r="A215" s="697"/>
      <c r="B215" s="698" t="s">
        <v>706</v>
      </c>
      <c r="C215" s="698" t="s">
        <v>707</v>
      </c>
      <c r="D215" s="698" t="s">
        <v>788</v>
      </c>
      <c r="E215" s="698" t="s">
        <v>693</v>
      </c>
      <c r="F215" s="700">
        <v>0.33333333333333298</v>
      </c>
      <c r="G215" s="700"/>
      <c r="H215" s="700"/>
      <c r="I215" s="701">
        <v>540</v>
      </c>
      <c r="J215" s="698">
        <v>0</v>
      </c>
      <c r="K215" s="702">
        <v>-9</v>
      </c>
      <c r="L215" s="703">
        <v>0</v>
      </c>
      <c r="M215" s="698" t="s">
        <v>694</v>
      </c>
      <c r="N215" s="698"/>
      <c r="O215" s="706"/>
      <c r="P215" s="706"/>
      <c r="Q215" s="704">
        <v>0</v>
      </c>
      <c r="R215" s="698" t="s">
        <v>701</v>
      </c>
      <c r="S215" s="705"/>
      <c r="T215" s="698"/>
      <c r="U215" s="698"/>
    </row>
    <row r="216" spans="1:21" ht="14.5">
      <c r="A216" s="697"/>
      <c r="B216" s="698" t="s">
        <v>708</v>
      </c>
      <c r="C216" s="698" t="s">
        <v>709</v>
      </c>
      <c r="D216" s="698" t="s">
        <v>788</v>
      </c>
      <c r="E216" s="698" t="s">
        <v>928</v>
      </c>
      <c r="F216" s="700">
        <v>0.33333333333333298</v>
      </c>
      <c r="G216" s="700"/>
      <c r="H216" s="700"/>
      <c r="I216" s="701">
        <v>540</v>
      </c>
      <c r="J216" s="698">
        <v>0</v>
      </c>
      <c r="K216" s="702">
        <v>-9</v>
      </c>
      <c r="L216" s="703">
        <v>0</v>
      </c>
      <c r="M216" s="698" t="s">
        <v>694</v>
      </c>
      <c r="N216" s="698" t="s">
        <v>711</v>
      </c>
      <c r="O216" s="706"/>
      <c r="P216" s="706"/>
      <c r="Q216" s="704">
        <v>0</v>
      </c>
      <c r="R216" s="698" t="s">
        <v>695</v>
      </c>
      <c r="S216" s="705"/>
      <c r="T216" s="698"/>
      <c r="U216" s="698"/>
    </row>
    <row r="217" spans="1:21" ht="14.5">
      <c r="A217" s="697"/>
      <c r="B217" s="698" t="s">
        <v>712</v>
      </c>
      <c r="C217" s="698" t="s">
        <v>713</v>
      </c>
      <c r="D217" s="698" t="s">
        <v>929</v>
      </c>
      <c r="E217" s="698" t="s">
        <v>930</v>
      </c>
      <c r="F217" s="700">
        <v>0.33333333333333298</v>
      </c>
      <c r="G217" s="700">
        <v>0.50069444444444444</v>
      </c>
      <c r="H217" s="700">
        <v>0.80902777777777779</v>
      </c>
      <c r="I217" s="701">
        <v>540</v>
      </c>
      <c r="J217" s="698">
        <v>444</v>
      </c>
      <c r="K217" s="702">
        <v>-1.6</v>
      </c>
      <c r="L217" s="703">
        <v>7.4</v>
      </c>
      <c r="M217" s="698" t="s">
        <v>931</v>
      </c>
      <c r="N217" s="698" t="s">
        <v>714</v>
      </c>
      <c r="O217" s="706">
        <v>44487</v>
      </c>
      <c r="P217" s="706">
        <v>44519</v>
      </c>
      <c r="Q217" s="704">
        <v>32</v>
      </c>
      <c r="R217" s="698" t="s">
        <v>695</v>
      </c>
      <c r="S217" s="705"/>
      <c r="T217" s="698" t="s">
        <v>763</v>
      </c>
      <c r="U217" s="698" t="s">
        <v>903</v>
      </c>
    </row>
    <row r="218" spans="1:21" ht="14.5">
      <c r="A218" s="697"/>
      <c r="B218" s="698" t="s">
        <v>715</v>
      </c>
      <c r="C218" s="698" t="s">
        <v>716</v>
      </c>
      <c r="D218" s="707" t="s">
        <v>932</v>
      </c>
      <c r="E218" s="698" t="s">
        <v>190</v>
      </c>
      <c r="F218" s="700">
        <v>0.33333333333333298</v>
      </c>
      <c r="G218" s="700">
        <v>0.33333333333333331</v>
      </c>
      <c r="H218" s="700">
        <v>0.82291666666666663</v>
      </c>
      <c r="I218" s="701">
        <v>540</v>
      </c>
      <c r="J218" s="698">
        <v>705</v>
      </c>
      <c r="K218" s="702">
        <v>2.75</v>
      </c>
      <c r="L218" s="703">
        <v>11.75</v>
      </c>
      <c r="M218" s="698" t="s">
        <v>933</v>
      </c>
      <c r="N218" s="698" t="s">
        <v>717</v>
      </c>
      <c r="O218" s="706">
        <v>40292</v>
      </c>
      <c r="P218" s="706">
        <v>40435</v>
      </c>
      <c r="Q218" s="704">
        <v>143</v>
      </c>
      <c r="R218" s="698" t="s">
        <v>695</v>
      </c>
      <c r="S218" s="705">
        <v>15</v>
      </c>
      <c r="T218" s="698" t="s">
        <v>728</v>
      </c>
      <c r="U218" s="698" t="s">
        <v>934</v>
      </c>
    </row>
    <row r="219" spans="1:21" ht="14.5">
      <c r="A219" s="697"/>
      <c r="B219" s="707" t="s">
        <v>718</v>
      </c>
      <c r="C219" s="707" t="s">
        <v>719</v>
      </c>
      <c r="D219" s="707" t="s">
        <v>935</v>
      </c>
      <c r="E219" s="707" t="s">
        <v>720</v>
      </c>
      <c r="F219" s="700">
        <v>0.33333333333333298</v>
      </c>
      <c r="G219" s="700">
        <v>0.33333333333333331</v>
      </c>
      <c r="H219" s="700">
        <v>0.71875</v>
      </c>
      <c r="I219" s="701">
        <v>540</v>
      </c>
      <c r="J219" s="698">
        <v>555</v>
      </c>
      <c r="K219" s="702">
        <v>0.25</v>
      </c>
      <c r="L219" s="703">
        <v>9.25</v>
      </c>
      <c r="M219" s="698" t="s">
        <v>812</v>
      </c>
      <c r="N219" s="707" t="s">
        <v>721</v>
      </c>
      <c r="O219" s="708">
        <v>18972</v>
      </c>
      <c r="P219" s="708">
        <v>19014</v>
      </c>
      <c r="Q219" s="704">
        <v>42</v>
      </c>
      <c r="R219" s="707" t="s">
        <v>701</v>
      </c>
      <c r="S219" s="709">
        <v>6</v>
      </c>
      <c r="T219" s="707" t="s">
        <v>763</v>
      </c>
      <c r="U219" s="707" t="s">
        <v>921</v>
      </c>
    </row>
    <row r="220" spans="1:21" ht="14.5">
      <c r="A220" s="697"/>
      <c r="B220" s="707" t="s">
        <v>722</v>
      </c>
      <c r="C220" s="707" t="s">
        <v>723</v>
      </c>
      <c r="D220" s="707" t="s">
        <v>788</v>
      </c>
      <c r="E220" s="707" t="s">
        <v>725</v>
      </c>
      <c r="F220" s="700">
        <v>0.33333333333333298</v>
      </c>
      <c r="G220" s="700"/>
      <c r="H220" s="700"/>
      <c r="I220" s="701">
        <v>540</v>
      </c>
      <c r="J220" s="698">
        <v>0</v>
      </c>
      <c r="K220" s="702">
        <v>-9</v>
      </c>
      <c r="L220" s="703">
        <v>0</v>
      </c>
      <c r="M220" s="698" t="s">
        <v>694</v>
      </c>
      <c r="N220" s="707" t="s">
        <v>727</v>
      </c>
      <c r="O220" s="708"/>
      <c r="P220" s="708"/>
      <c r="Q220" s="704">
        <v>0</v>
      </c>
      <c r="R220" s="707" t="s">
        <v>695</v>
      </c>
      <c r="S220" s="709"/>
      <c r="T220" s="707"/>
      <c r="U220" s="707"/>
    </row>
    <row r="221" spans="1:21" ht="14.5">
      <c r="A221" s="697"/>
      <c r="B221" s="707" t="s">
        <v>730</v>
      </c>
      <c r="C221" s="707" t="s">
        <v>731</v>
      </c>
      <c r="D221" s="711" t="s">
        <v>788</v>
      </c>
      <c r="E221" s="707" t="s">
        <v>732</v>
      </c>
      <c r="F221" s="700">
        <v>0.33333333333333298</v>
      </c>
      <c r="G221" s="700"/>
      <c r="H221" s="700"/>
      <c r="I221" s="701">
        <v>540</v>
      </c>
      <c r="J221" s="698">
        <v>0</v>
      </c>
      <c r="K221" s="702">
        <v>-9</v>
      </c>
      <c r="L221" s="703">
        <v>0</v>
      </c>
      <c r="M221" s="698" t="s">
        <v>694</v>
      </c>
      <c r="N221" s="707" t="s">
        <v>733</v>
      </c>
      <c r="O221" s="708"/>
      <c r="P221" s="708"/>
      <c r="Q221" s="704">
        <v>0</v>
      </c>
      <c r="R221" s="707" t="s">
        <v>701</v>
      </c>
      <c r="S221" s="709"/>
      <c r="T221" s="707"/>
      <c r="U221" s="707"/>
    </row>
    <row r="222" spans="1:21" ht="14.5">
      <c r="A222" s="697"/>
      <c r="B222" s="710" t="s">
        <v>734</v>
      </c>
      <c r="C222" s="711" t="s">
        <v>735</v>
      </c>
      <c r="D222" s="714" t="s">
        <v>936</v>
      </c>
      <c r="E222" s="711" t="s">
        <v>89</v>
      </c>
      <c r="F222" s="712">
        <v>0.33333333333333298</v>
      </c>
      <c r="G222" s="712">
        <v>0.35416666666666669</v>
      </c>
      <c r="H222" s="712">
        <v>0.875</v>
      </c>
      <c r="I222" s="713">
        <v>540</v>
      </c>
      <c r="J222" s="714">
        <v>749.99999999999989</v>
      </c>
      <c r="K222" s="715">
        <v>3.4999999999999982</v>
      </c>
      <c r="L222" s="716">
        <v>12.499999999999998</v>
      </c>
      <c r="M222" s="714" t="s">
        <v>937</v>
      </c>
      <c r="N222" s="711" t="s">
        <v>736</v>
      </c>
      <c r="O222" s="717">
        <v>32838</v>
      </c>
      <c r="P222" s="717">
        <v>32910</v>
      </c>
      <c r="Q222" s="704">
        <v>72</v>
      </c>
      <c r="R222" s="711" t="s">
        <v>701</v>
      </c>
      <c r="S222" s="718">
        <v>10</v>
      </c>
      <c r="T222" s="711" t="s">
        <v>806</v>
      </c>
      <c r="U222" s="711" t="s">
        <v>938</v>
      </c>
    </row>
    <row r="223" spans="1:21" ht="14.5">
      <c r="A223" s="697"/>
      <c r="B223" s="714" t="s">
        <v>737</v>
      </c>
      <c r="C223" s="714" t="s">
        <v>738</v>
      </c>
      <c r="D223" s="707" t="s">
        <v>788</v>
      </c>
      <c r="E223" s="714"/>
      <c r="F223" s="712">
        <v>0.33333333333333298</v>
      </c>
      <c r="G223" s="712"/>
      <c r="H223" s="712"/>
      <c r="I223" s="713">
        <v>540</v>
      </c>
      <c r="J223" s="714">
        <v>0</v>
      </c>
      <c r="K223" s="715">
        <v>-9</v>
      </c>
      <c r="L223" s="716">
        <v>0</v>
      </c>
      <c r="M223" s="714" t="s">
        <v>694</v>
      </c>
      <c r="N223" s="714"/>
      <c r="O223" s="719"/>
      <c r="P223" s="719"/>
      <c r="Q223" s="704">
        <v>0</v>
      </c>
      <c r="R223" s="714" t="s">
        <v>695</v>
      </c>
      <c r="S223" s="720"/>
      <c r="T223" s="714"/>
      <c r="U223" s="714" t="s">
        <v>739</v>
      </c>
    </row>
    <row r="224" spans="1:21" ht="14.5">
      <c r="A224" s="697"/>
      <c r="B224" s="707"/>
      <c r="C224" s="707" t="s">
        <v>740</v>
      </c>
      <c r="D224" s="707" t="s">
        <v>54</v>
      </c>
      <c r="E224" s="707" t="s">
        <v>741</v>
      </c>
      <c r="F224" s="700">
        <v>0.33333333333333298</v>
      </c>
      <c r="G224" s="700"/>
      <c r="H224" s="700"/>
      <c r="I224" s="701">
        <v>540</v>
      </c>
      <c r="J224" s="698">
        <v>0</v>
      </c>
      <c r="K224" s="702">
        <v>-9</v>
      </c>
      <c r="L224" s="703">
        <v>0</v>
      </c>
      <c r="M224" s="698" t="s">
        <v>694</v>
      </c>
      <c r="N224" s="707"/>
      <c r="O224" s="708"/>
      <c r="P224" s="708"/>
      <c r="Q224" s="704">
        <v>0</v>
      </c>
      <c r="R224" s="707" t="s">
        <v>742</v>
      </c>
      <c r="S224" s="709"/>
      <c r="T224" s="707"/>
      <c r="U224" s="707"/>
    </row>
    <row r="225" spans="1:21" ht="14.5">
      <c r="A225" s="697"/>
      <c r="B225" s="707" t="s">
        <v>54</v>
      </c>
      <c r="C225" s="707" t="s">
        <v>743</v>
      </c>
      <c r="D225" s="698"/>
      <c r="E225" s="707" t="s">
        <v>744</v>
      </c>
      <c r="F225" s="700">
        <v>0.33333333333333298</v>
      </c>
      <c r="G225" s="700"/>
      <c r="H225" s="700"/>
      <c r="I225" s="701">
        <v>540</v>
      </c>
      <c r="J225" s="698">
        <v>0</v>
      </c>
      <c r="K225" s="702">
        <v>-9</v>
      </c>
      <c r="L225" s="703">
        <v>0</v>
      </c>
      <c r="M225" s="698" t="s">
        <v>694</v>
      </c>
      <c r="N225" s="707"/>
      <c r="O225" s="708"/>
      <c r="P225" s="708"/>
      <c r="Q225" s="704">
        <v>0</v>
      </c>
      <c r="R225" s="707" t="s">
        <v>742</v>
      </c>
      <c r="S225" s="709"/>
      <c r="T225" s="707"/>
      <c r="U225" s="707"/>
    </row>
    <row r="226" spans="1:21" ht="14.5">
      <c r="A226" s="697"/>
      <c r="B226" s="698" t="s">
        <v>745</v>
      </c>
      <c r="C226" s="698"/>
      <c r="D226" s="698"/>
      <c r="E226" s="698"/>
      <c r="F226" s="700">
        <v>0.33333333333333298</v>
      </c>
      <c r="G226" s="700"/>
      <c r="H226" s="700"/>
      <c r="I226" s="701">
        <v>540</v>
      </c>
      <c r="J226" s="698">
        <v>0</v>
      </c>
      <c r="K226" s="702">
        <v>-9</v>
      </c>
      <c r="L226" s="703">
        <v>0</v>
      </c>
      <c r="M226" s="698" t="s">
        <v>694</v>
      </c>
      <c r="N226" s="698"/>
      <c r="O226" s="706"/>
      <c r="P226" s="706"/>
      <c r="Q226" s="704">
        <v>0</v>
      </c>
      <c r="R226" s="698"/>
      <c r="S226" s="705"/>
      <c r="T226" s="698"/>
      <c r="U226" s="698"/>
    </row>
    <row r="227" spans="1:21" ht="14.5">
      <c r="A227" s="697"/>
      <c r="B227" s="698" t="s">
        <v>746</v>
      </c>
      <c r="C227" s="698" t="s">
        <v>747</v>
      </c>
      <c r="D227" s="707" t="s">
        <v>939</v>
      </c>
      <c r="E227" s="698" t="s">
        <v>190</v>
      </c>
      <c r="F227" s="700">
        <v>0.33333333333333298</v>
      </c>
      <c r="G227" s="700">
        <v>0.40972222222222227</v>
      </c>
      <c r="H227" s="700">
        <v>0.71180555555555547</v>
      </c>
      <c r="I227" s="701">
        <v>540</v>
      </c>
      <c r="J227" s="698">
        <v>434.99999999999983</v>
      </c>
      <c r="K227" s="702">
        <v>-1.7500000000000029</v>
      </c>
      <c r="L227" s="703">
        <v>7.2499999999999973</v>
      </c>
      <c r="M227" s="698" t="s">
        <v>940</v>
      </c>
      <c r="N227" s="698" t="s">
        <v>941</v>
      </c>
      <c r="O227" s="706">
        <v>39399</v>
      </c>
      <c r="P227" s="706">
        <v>39452</v>
      </c>
      <c r="Q227" s="704">
        <v>53</v>
      </c>
      <c r="R227" s="698" t="s">
        <v>701</v>
      </c>
      <c r="S227" s="705">
        <v>5</v>
      </c>
      <c r="T227" s="698" t="s">
        <v>763</v>
      </c>
      <c r="U227" s="698"/>
    </row>
    <row r="228" spans="1:21" ht="14.5">
      <c r="A228" s="697"/>
      <c r="B228" s="707" t="s">
        <v>748</v>
      </c>
      <c r="C228" s="707" t="s">
        <v>749</v>
      </c>
      <c r="D228" s="707" t="s">
        <v>788</v>
      </c>
      <c r="E228" s="707" t="s">
        <v>278</v>
      </c>
      <c r="F228" s="700">
        <v>0.33333333333333298</v>
      </c>
      <c r="G228" s="700"/>
      <c r="H228" s="700"/>
      <c r="I228" s="701">
        <v>540</v>
      </c>
      <c r="J228" s="698">
        <v>0</v>
      </c>
      <c r="K228" s="702">
        <v>-9</v>
      </c>
      <c r="L228" s="703">
        <v>0</v>
      </c>
      <c r="M228" s="698" t="s">
        <v>694</v>
      </c>
      <c r="N228" s="707"/>
      <c r="O228" s="708"/>
      <c r="P228" s="708"/>
      <c r="Q228" s="704">
        <v>0</v>
      </c>
      <c r="R228" s="707" t="s">
        <v>695</v>
      </c>
      <c r="S228" s="709"/>
      <c r="T228" s="707"/>
      <c r="U228" s="707"/>
    </row>
    <row r="229" spans="1:21" ht="14.5">
      <c r="A229" s="697"/>
      <c r="B229" s="707" t="s">
        <v>750</v>
      </c>
      <c r="C229" s="707"/>
      <c r="D229" s="707"/>
      <c r="E229" s="707"/>
      <c r="F229" s="700">
        <v>0.33333333333333298</v>
      </c>
      <c r="G229" s="700"/>
      <c r="H229" s="700"/>
      <c r="I229" s="701">
        <v>540</v>
      </c>
      <c r="J229" s="698">
        <v>0</v>
      </c>
      <c r="K229" s="702">
        <v>-9</v>
      </c>
      <c r="L229" s="703">
        <v>0</v>
      </c>
      <c r="M229" s="698" t="s">
        <v>694</v>
      </c>
      <c r="N229" s="707"/>
      <c r="O229" s="708"/>
      <c r="P229" s="708"/>
      <c r="Q229" s="704">
        <v>0</v>
      </c>
      <c r="R229" s="707"/>
      <c r="S229" s="709"/>
      <c r="T229" s="707"/>
      <c r="U229" s="707"/>
    </row>
    <row r="230" spans="1:21" ht="14.5">
      <c r="A230" s="697"/>
      <c r="B230" s="707" t="s">
        <v>751</v>
      </c>
      <c r="C230" s="707" t="s">
        <v>752</v>
      </c>
      <c r="D230" s="711" t="s">
        <v>942</v>
      </c>
      <c r="E230" s="707" t="s">
        <v>725</v>
      </c>
      <c r="F230" s="700">
        <v>0.33333333333333298</v>
      </c>
      <c r="G230" s="700">
        <v>0.31805555555555554</v>
      </c>
      <c r="H230" s="700">
        <v>0.87638888888888899</v>
      </c>
      <c r="I230" s="701">
        <v>540</v>
      </c>
      <c r="J230" s="698">
        <v>804.00000000000023</v>
      </c>
      <c r="K230" s="702">
        <v>4.4000000000000039</v>
      </c>
      <c r="L230" s="703">
        <v>13.400000000000004</v>
      </c>
      <c r="M230" s="698" t="s">
        <v>943</v>
      </c>
      <c r="N230" s="707" t="s">
        <v>944</v>
      </c>
      <c r="O230" s="708">
        <v>8926</v>
      </c>
      <c r="P230" s="708">
        <v>8999</v>
      </c>
      <c r="Q230" s="704">
        <v>73</v>
      </c>
      <c r="R230" s="707" t="s">
        <v>701</v>
      </c>
      <c r="S230" s="709">
        <v>20</v>
      </c>
      <c r="T230" s="707" t="s">
        <v>806</v>
      </c>
      <c r="U230" s="707"/>
    </row>
    <row r="231" spans="1:21">
      <c r="A231" s="697"/>
      <c r="B231" s="710" t="s">
        <v>754</v>
      </c>
      <c r="C231" s="711" t="s">
        <v>755</v>
      </c>
      <c r="D231" s="721" t="s">
        <v>945</v>
      </c>
      <c r="E231" s="711" t="s">
        <v>190</v>
      </c>
      <c r="F231" s="712">
        <v>0.33333333333333298</v>
      </c>
      <c r="G231" s="712">
        <v>0.5</v>
      </c>
      <c r="H231" s="712">
        <v>0.95833333333333337</v>
      </c>
      <c r="I231" s="713">
        <v>540</v>
      </c>
      <c r="J231" s="714">
        <v>660</v>
      </c>
      <c r="K231" s="715">
        <v>2</v>
      </c>
      <c r="L231" s="716">
        <v>11</v>
      </c>
      <c r="M231" s="714" t="s">
        <v>801</v>
      </c>
      <c r="N231" s="711" t="s">
        <v>916</v>
      </c>
      <c r="O231" s="717">
        <v>21772</v>
      </c>
      <c r="P231" s="717">
        <v>22143</v>
      </c>
      <c r="Q231" s="704">
        <v>371</v>
      </c>
      <c r="R231" s="711" t="s">
        <v>701</v>
      </c>
      <c r="S231" s="718">
        <v>40</v>
      </c>
      <c r="T231" s="711" t="s">
        <v>781</v>
      </c>
      <c r="U231" s="711"/>
    </row>
    <row r="232" spans="1:21">
      <c r="A232" s="697"/>
      <c r="B232" s="721" t="s">
        <v>54</v>
      </c>
      <c r="C232" s="721"/>
      <c r="D232" s="699" t="s">
        <v>54</v>
      </c>
      <c r="E232" s="721"/>
      <c r="F232" s="721"/>
      <c r="G232" s="721"/>
      <c r="H232" s="721"/>
      <c r="I232" s="721"/>
      <c r="J232" s="721"/>
      <c r="K232" s="721"/>
      <c r="L232" s="721"/>
      <c r="M232" s="721" t="s">
        <v>54</v>
      </c>
      <c r="N232" s="721"/>
      <c r="O232" s="722"/>
      <c r="P232" s="722"/>
      <c r="Q232" s="704"/>
      <c r="R232" s="721"/>
      <c r="S232" s="723"/>
      <c r="T232" s="721"/>
      <c r="U232" s="721"/>
    </row>
    <row r="233" spans="1:21" ht="14.5">
      <c r="A233" s="697">
        <v>46245</v>
      </c>
      <c r="B233" s="698" t="s">
        <v>691</v>
      </c>
      <c r="C233" s="698" t="s">
        <v>692</v>
      </c>
      <c r="D233" s="698" t="s">
        <v>946</v>
      </c>
      <c r="E233" s="698" t="s">
        <v>693</v>
      </c>
      <c r="F233" s="700">
        <v>0.33333333333333298</v>
      </c>
      <c r="G233" s="700">
        <v>0.7729166666666667</v>
      </c>
      <c r="H233" s="700">
        <v>0.94236111111111109</v>
      </c>
      <c r="I233" s="701">
        <v>540</v>
      </c>
      <c r="J233" s="698">
        <v>243.99999999999994</v>
      </c>
      <c r="K233" s="702">
        <v>-4.9333333333333345</v>
      </c>
      <c r="L233" s="703">
        <v>4.0666666666666655</v>
      </c>
      <c r="M233" s="698" t="s">
        <v>947</v>
      </c>
      <c r="N233" s="698" t="s">
        <v>767</v>
      </c>
      <c r="O233" s="706">
        <v>28489</v>
      </c>
      <c r="P233" s="706">
        <v>28558</v>
      </c>
      <c r="Q233" s="704">
        <v>69</v>
      </c>
      <c r="R233" s="698" t="s">
        <v>695</v>
      </c>
      <c r="S233" s="705">
        <v>7</v>
      </c>
      <c r="T233" s="698" t="s">
        <v>763</v>
      </c>
      <c r="U233" s="698"/>
    </row>
    <row r="234" spans="1:21" ht="14.5">
      <c r="A234" s="697"/>
      <c r="B234" s="698" t="s">
        <v>696</v>
      </c>
      <c r="C234" s="698" t="s">
        <v>697</v>
      </c>
      <c r="D234" s="698" t="s">
        <v>948</v>
      </c>
      <c r="E234" s="698" t="s">
        <v>693</v>
      </c>
      <c r="F234" s="700">
        <v>0.33333333333333298</v>
      </c>
      <c r="G234" s="700">
        <v>0.21111111111111111</v>
      </c>
      <c r="H234" s="700">
        <v>0.92361111111111116</v>
      </c>
      <c r="I234" s="701">
        <v>540</v>
      </c>
      <c r="J234" s="698">
        <v>1026</v>
      </c>
      <c r="K234" s="702">
        <v>8.1</v>
      </c>
      <c r="L234" s="703">
        <v>17.100000000000001</v>
      </c>
      <c r="M234" s="698" t="s">
        <v>949</v>
      </c>
      <c r="N234" s="698" t="s">
        <v>950</v>
      </c>
      <c r="O234" s="706">
        <v>32586</v>
      </c>
      <c r="P234" s="706">
        <v>32707</v>
      </c>
      <c r="Q234" s="704">
        <v>121</v>
      </c>
      <c r="R234" s="698" t="s">
        <v>695</v>
      </c>
      <c r="S234" s="705">
        <v>12</v>
      </c>
      <c r="T234" s="698" t="s">
        <v>763</v>
      </c>
      <c r="U234" s="698" t="s">
        <v>764</v>
      </c>
    </row>
    <row r="235" spans="1:21" ht="14.5">
      <c r="A235" s="697"/>
      <c r="B235" s="698" t="s">
        <v>698</v>
      </c>
      <c r="C235" s="698" t="s">
        <v>699</v>
      </c>
      <c r="D235" s="698" t="s">
        <v>951</v>
      </c>
      <c r="E235" s="698" t="s">
        <v>952</v>
      </c>
      <c r="F235" s="700">
        <v>0.33333333333333298</v>
      </c>
      <c r="G235" s="700">
        <v>0.31597222222222221</v>
      </c>
      <c r="H235" s="700">
        <v>0.71180555555555547</v>
      </c>
      <c r="I235" s="701">
        <v>540</v>
      </c>
      <c r="J235" s="698">
        <v>569.99999999999989</v>
      </c>
      <c r="K235" s="702">
        <v>0.49999999999999811</v>
      </c>
      <c r="L235" s="703">
        <v>9.4999999999999982</v>
      </c>
      <c r="M235" s="698" t="s">
        <v>953</v>
      </c>
      <c r="N235" s="698" t="s">
        <v>954</v>
      </c>
      <c r="O235" s="706">
        <v>31606</v>
      </c>
      <c r="P235" s="706">
        <v>31623</v>
      </c>
      <c r="Q235" s="704">
        <v>17</v>
      </c>
      <c r="R235" s="698" t="s">
        <v>701</v>
      </c>
      <c r="S235" s="705"/>
      <c r="T235" s="698" t="s">
        <v>806</v>
      </c>
      <c r="U235" s="698"/>
    </row>
    <row r="236" spans="1:21" ht="14.5">
      <c r="A236" s="697"/>
      <c r="B236" s="698" t="s">
        <v>702</v>
      </c>
      <c r="C236" s="698" t="s">
        <v>703</v>
      </c>
      <c r="D236" s="698" t="s">
        <v>955</v>
      </c>
      <c r="E236" s="698" t="s">
        <v>700</v>
      </c>
      <c r="F236" s="700">
        <v>0.33333333333333298</v>
      </c>
      <c r="G236" s="700">
        <v>0.64583333333333337</v>
      </c>
      <c r="H236" s="700">
        <v>0.70972222222222225</v>
      </c>
      <c r="I236" s="701">
        <v>540</v>
      </c>
      <c r="J236" s="698">
        <v>92</v>
      </c>
      <c r="K236" s="702">
        <v>-7.4666666666666668</v>
      </c>
      <c r="L236" s="703">
        <v>1.5333333333333334</v>
      </c>
      <c r="M236" s="698" t="s">
        <v>956</v>
      </c>
      <c r="N236" s="698" t="s">
        <v>957</v>
      </c>
      <c r="O236" s="706">
        <v>19099</v>
      </c>
      <c r="P236" s="706">
        <v>19106</v>
      </c>
      <c r="Q236" s="704">
        <v>7</v>
      </c>
      <c r="R236" s="698" t="s">
        <v>701</v>
      </c>
      <c r="S236" s="705"/>
      <c r="T236" s="698" t="s">
        <v>781</v>
      </c>
      <c r="U236" s="698"/>
    </row>
    <row r="237" spans="1:21" ht="14.5">
      <c r="A237" s="697"/>
      <c r="B237" s="698" t="s">
        <v>704</v>
      </c>
      <c r="C237" s="698" t="s">
        <v>705</v>
      </c>
      <c r="D237" s="698" t="s">
        <v>958</v>
      </c>
      <c r="E237" s="698" t="s">
        <v>959</v>
      </c>
      <c r="F237" s="700">
        <v>0.33333333333333298</v>
      </c>
      <c r="G237" s="700">
        <v>0.54166666666666663</v>
      </c>
      <c r="H237" s="700">
        <v>0.70833333333333337</v>
      </c>
      <c r="I237" s="701">
        <v>540</v>
      </c>
      <c r="J237" s="698">
        <v>240.00000000000011</v>
      </c>
      <c r="K237" s="702">
        <v>-4.9999999999999982</v>
      </c>
      <c r="L237" s="703">
        <v>4.0000000000000018</v>
      </c>
      <c r="M237" s="698" t="s">
        <v>960</v>
      </c>
      <c r="N237" s="698" t="s">
        <v>896</v>
      </c>
      <c r="O237" s="706">
        <v>42158</v>
      </c>
      <c r="P237" s="706">
        <v>42235</v>
      </c>
      <c r="Q237" s="704">
        <v>77</v>
      </c>
      <c r="R237" s="698" t="s">
        <v>701</v>
      </c>
      <c r="S237" s="705">
        <v>10</v>
      </c>
      <c r="T237" s="698" t="s">
        <v>961</v>
      </c>
      <c r="U237" s="698"/>
    </row>
    <row r="238" spans="1:21" ht="14.5">
      <c r="A238" s="697"/>
      <c r="B238" s="698" t="s">
        <v>706</v>
      </c>
      <c r="C238" s="698" t="s">
        <v>707</v>
      </c>
      <c r="D238" s="698" t="s">
        <v>955</v>
      </c>
      <c r="E238" s="698" t="s">
        <v>962</v>
      </c>
      <c r="F238" s="700">
        <v>0.33333333333333298</v>
      </c>
      <c r="G238" s="700">
        <v>0.58333333333333337</v>
      </c>
      <c r="H238" s="700">
        <v>0.79166666666666663</v>
      </c>
      <c r="I238" s="701">
        <v>540</v>
      </c>
      <c r="J238" s="698">
        <v>299.99999999999989</v>
      </c>
      <c r="K238" s="702">
        <v>-4.0000000000000018</v>
      </c>
      <c r="L238" s="703">
        <v>4.9999999999999982</v>
      </c>
      <c r="M238" s="698" t="s">
        <v>963</v>
      </c>
      <c r="N238" s="698" t="s">
        <v>964</v>
      </c>
      <c r="O238" s="706">
        <v>22680</v>
      </c>
      <c r="P238" s="706">
        <v>22695</v>
      </c>
      <c r="Q238" s="704">
        <v>15</v>
      </c>
      <c r="R238" s="698" t="s">
        <v>701</v>
      </c>
      <c r="S238" s="705">
        <v>5</v>
      </c>
      <c r="T238" s="698" t="s">
        <v>846</v>
      </c>
      <c r="U238" s="698"/>
    </row>
    <row r="239" spans="1:21" ht="14.5">
      <c r="A239" s="697"/>
      <c r="B239" s="698" t="s">
        <v>708</v>
      </c>
      <c r="C239" s="698" t="s">
        <v>709</v>
      </c>
      <c r="D239" s="698" t="s">
        <v>965</v>
      </c>
      <c r="E239" s="698" t="s">
        <v>928</v>
      </c>
      <c r="F239" s="700">
        <v>0.33333333333333298</v>
      </c>
      <c r="G239" s="700">
        <v>0.28819444444444448</v>
      </c>
      <c r="H239" s="700">
        <v>0.86458333333333337</v>
      </c>
      <c r="I239" s="701">
        <v>540</v>
      </c>
      <c r="J239" s="698">
        <v>829.99999999999989</v>
      </c>
      <c r="K239" s="702">
        <v>4.8333333333333313</v>
      </c>
      <c r="L239" s="703">
        <v>13.833333333333332</v>
      </c>
      <c r="M239" s="698" t="s">
        <v>761</v>
      </c>
      <c r="N239" s="698" t="s">
        <v>711</v>
      </c>
      <c r="O239" s="706">
        <v>21508</v>
      </c>
      <c r="P239" s="706">
        <v>21562</v>
      </c>
      <c r="Q239" s="704">
        <v>54</v>
      </c>
      <c r="R239" s="698" t="s">
        <v>695</v>
      </c>
      <c r="S239" s="705"/>
      <c r="T239" s="698" t="s">
        <v>806</v>
      </c>
      <c r="U239" s="698" t="s">
        <v>966</v>
      </c>
    </row>
    <row r="240" spans="1:21" ht="14.5">
      <c r="A240" s="697"/>
      <c r="B240" s="698" t="s">
        <v>712</v>
      </c>
      <c r="C240" s="698" t="s">
        <v>713</v>
      </c>
      <c r="D240" s="698" t="s">
        <v>967</v>
      </c>
      <c r="E240" s="698" t="s">
        <v>930</v>
      </c>
      <c r="F240" s="700">
        <v>0.33333333333333298</v>
      </c>
      <c r="G240" s="700">
        <v>0.25</v>
      </c>
      <c r="H240" s="700">
        <v>0.97916666666666663</v>
      </c>
      <c r="I240" s="701">
        <v>540</v>
      </c>
      <c r="J240" s="698">
        <v>1050</v>
      </c>
      <c r="K240" s="702">
        <v>8.5</v>
      </c>
      <c r="L240" s="703">
        <v>17.5</v>
      </c>
      <c r="M240" s="698" t="s">
        <v>968</v>
      </c>
      <c r="N240" s="698" t="s">
        <v>714</v>
      </c>
      <c r="O240" s="706">
        <v>44519</v>
      </c>
      <c r="P240" s="706">
        <v>44688</v>
      </c>
      <c r="Q240" s="704">
        <v>169</v>
      </c>
      <c r="R240" s="698" t="s">
        <v>695</v>
      </c>
      <c r="S240" s="705">
        <v>20</v>
      </c>
      <c r="T240" s="698" t="s">
        <v>806</v>
      </c>
      <c r="U240" s="698" t="s">
        <v>785</v>
      </c>
    </row>
    <row r="241" spans="1:21" ht="14.5">
      <c r="A241" s="697"/>
      <c r="B241" s="698" t="s">
        <v>715</v>
      </c>
      <c r="C241" s="698" t="s">
        <v>716</v>
      </c>
      <c r="D241" s="707" t="s">
        <v>969</v>
      </c>
      <c r="E241" s="698" t="s">
        <v>190</v>
      </c>
      <c r="F241" s="700">
        <v>0.33333333333333298</v>
      </c>
      <c r="G241" s="700">
        <v>0.16666666666666666</v>
      </c>
      <c r="H241" s="700">
        <v>0.89236111111111116</v>
      </c>
      <c r="I241" s="701">
        <v>540</v>
      </c>
      <c r="J241" s="698">
        <v>1045.0000000000002</v>
      </c>
      <c r="K241" s="702">
        <v>8.4166666666666696</v>
      </c>
      <c r="L241" s="703">
        <v>17.416666666666671</v>
      </c>
      <c r="M241" s="698" t="s">
        <v>970</v>
      </c>
      <c r="N241" s="698" t="s">
        <v>717</v>
      </c>
      <c r="O241" s="706">
        <v>40435</v>
      </c>
      <c r="P241" s="706">
        <v>40811</v>
      </c>
      <c r="Q241" s="704">
        <v>376</v>
      </c>
      <c r="R241" s="698" t="s">
        <v>695</v>
      </c>
      <c r="S241" s="705">
        <v>40</v>
      </c>
      <c r="T241" s="698" t="s">
        <v>846</v>
      </c>
      <c r="U241" s="698" t="s">
        <v>759</v>
      </c>
    </row>
    <row r="242" spans="1:21" ht="14.5">
      <c r="A242" s="697"/>
      <c r="B242" s="707" t="s">
        <v>718</v>
      </c>
      <c r="C242" s="707" t="s">
        <v>719</v>
      </c>
      <c r="D242" s="707" t="s">
        <v>971</v>
      </c>
      <c r="E242" s="707" t="s">
        <v>720</v>
      </c>
      <c r="F242" s="700">
        <v>0.33333333333333298</v>
      </c>
      <c r="G242" s="700">
        <v>0.33333333333333331</v>
      </c>
      <c r="H242" s="700">
        <v>0.71180555555555547</v>
      </c>
      <c r="I242" s="701">
        <v>540</v>
      </c>
      <c r="J242" s="698">
        <v>544.99999999999989</v>
      </c>
      <c r="K242" s="702">
        <v>8.3333333333331441E-2</v>
      </c>
      <c r="L242" s="703">
        <v>9.0833333333333321</v>
      </c>
      <c r="M242" s="698" t="s">
        <v>972</v>
      </c>
      <c r="N242" s="707" t="s">
        <v>721</v>
      </c>
      <c r="O242" s="708">
        <v>19014</v>
      </c>
      <c r="P242" s="708">
        <v>19070</v>
      </c>
      <c r="Q242" s="704">
        <v>56</v>
      </c>
      <c r="R242" s="707" t="s">
        <v>701</v>
      </c>
      <c r="S242" s="709">
        <v>7</v>
      </c>
      <c r="T242" s="707" t="s">
        <v>763</v>
      </c>
      <c r="U242" s="707" t="s">
        <v>921</v>
      </c>
    </row>
    <row r="243" spans="1:21" ht="14.5">
      <c r="A243" s="697"/>
      <c r="B243" s="707" t="s">
        <v>722</v>
      </c>
      <c r="C243" s="707" t="s">
        <v>723</v>
      </c>
      <c r="D243" s="707" t="s">
        <v>788</v>
      </c>
      <c r="E243" s="707" t="s">
        <v>725</v>
      </c>
      <c r="F243" s="700">
        <v>0.33333333333333298</v>
      </c>
      <c r="G243" s="700"/>
      <c r="H243" s="700"/>
      <c r="I243" s="701">
        <v>540</v>
      </c>
      <c r="J243" s="698">
        <v>0</v>
      </c>
      <c r="K243" s="702">
        <v>-9</v>
      </c>
      <c r="L243" s="703">
        <v>0</v>
      </c>
      <c r="M243" s="698" t="s">
        <v>694</v>
      </c>
      <c r="N243" s="707" t="s">
        <v>727</v>
      </c>
      <c r="O243" s="708"/>
      <c r="P243" s="708"/>
      <c r="Q243" s="704">
        <v>0</v>
      </c>
      <c r="R243" s="707" t="s">
        <v>695</v>
      </c>
      <c r="S243" s="709"/>
      <c r="T243" s="707"/>
      <c r="U243" s="707"/>
    </row>
    <row r="244" spans="1:21" ht="14.5">
      <c r="A244" s="697"/>
      <c r="B244" s="707" t="s">
        <v>730</v>
      </c>
      <c r="C244" s="707" t="s">
        <v>731</v>
      </c>
      <c r="D244" s="711" t="s">
        <v>788</v>
      </c>
      <c r="E244" s="707" t="s">
        <v>732</v>
      </c>
      <c r="F244" s="700">
        <v>0.33333333333333298</v>
      </c>
      <c r="G244" s="700"/>
      <c r="H244" s="700"/>
      <c r="I244" s="701">
        <v>540</v>
      </c>
      <c r="J244" s="698">
        <v>0</v>
      </c>
      <c r="K244" s="702">
        <v>-9</v>
      </c>
      <c r="L244" s="703">
        <v>0</v>
      </c>
      <c r="M244" s="698" t="s">
        <v>694</v>
      </c>
      <c r="N244" s="707" t="s">
        <v>733</v>
      </c>
      <c r="O244" s="708"/>
      <c r="P244" s="708"/>
      <c r="Q244" s="704">
        <v>0</v>
      </c>
      <c r="R244" s="707" t="s">
        <v>701</v>
      </c>
      <c r="S244" s="709"/>
      <c r="T244" s="707"/>
      <c r="U244" s="707"/>
    </row>
    <row r="245" spans="1:21" ht="14.5">
      <c r="A245" s="697"/>
      <c r="B245" s="710" t="s">
        <v>734</v>
      </c>
      <c r="C245" s="711" t="s">
        <v>735</v>
      </c>
      <c r="D245" s="714" t="s">
        <v>973</v>
      </c>
      <c r="E245" s="711" t="s">
        <v>89</v>
      </c>
      <c r="F245" s="712">
        <v>0.33333333333333298</v>
      </c>
      <c r="G245" s="712">
        <v>0.66666666666666663</v>
      </c>
      <c r="H245" s="712">
        <v>0.83333333333333337</v>
      </c>
      <c r="I245" s="713">
        <v>540</v>
      </c>
      <c r="J245" s="714">
        <v>240.00000000000011</v>
      </c>
      <c r="K245" s="715">
        <v>-4.9999999999999982</v>
      </c>
      <c r="L245" s="716">
        <v>4.0000000000000018</v>
      </c>
      <c r="M245" s="714" t="s">
        <v>960</v>
      </c>
      <c r="N245" s="711" t="s">
        <v>736</v>
      </c>
      <c r="O245" s="717"/>
      <c r="P245" s="717"/>
      <c r="Q245" s="704">
        <v>0</v>
      </c>
      <c r="R245" s="711" t="s">
        <v>701</v>
      </c>
      <c r="S245" s="718"/>
      <c r="T245" s="711" t="s">
        <v>763</v>
      </c>
      <c r="U245" s="711" t="s">
        <v>974</v>
      </c>
    </row>
    <row r="246" spans="1:21" ht="14.5">
      <c r="A246" s="697"/>
      <c r="B246" s="714" t="s">
        <v>737</v>
      </c>
      <c r="C246" s="714" t="s">
        <v>738</v>
      </c>
      <c r="D246" s="707" t="s">
        <v>975</v>
      </c>
      <c r="E246" s="714" t="s">
        <v>976</v>
      </c>
      <c r="F246" s="712">
        <v>0.33333333333333298</v>
      </c>
      <c r="G246" s="712">
        <v>0.375</v>
      </c>
      <c r="H246" s="712">
        <v>0.79166666666666663</v>
      </c>
      <c r="I246" s="713">
        <v>540</v>
      </c>
      <c r="J246" s="714">
        <v>600</v>
      </c>
      <c r="K246" s="715">
        <v>1</v>
      </c>
      <c r="L246" s="716">
        <v>10</v>
      </c>
      <c r="M246" s="714" t="s">
        <v>823</v>
      </c>
      <c r="N246" s="714" t="s">
        <v>977</v>
      </c>
      <c r="O246" s="719">
        <v>6629</v>
      </c>
      <c r="P246" s="719">
        <v>6753</v>
      </c>
      <c r="Q246" s="704">
        <v>124</v>
      </c>
      <c r="R246" s="714" t="s">
        <v>695</v>
      </c>
      <c r="S246" s="720">
        <v>20</v>
      </c>
      <c r="T246" s="714" t="s">
        <v>763</v>
      </c>
      <c r="U246" s="714" t="s">
        <v>739</v>
      </c>
    </row>
    <row r="247" spans="1:21" ht="14.5">
      <c r="A247" s="697"/>
      <c r="B247" s="707"/>
      <c r="C247" s="707" t="s">
        <v>740</v>
      </c>
      <c r="D247" s="707" t="s">
        <v>54</v>
      </c>
      <c r="E247" s="707" t="s">
        <v>741</v>
      </c>
      <c r="F247" s="700">
        <v>0.33333333333333298</v>
      </c>
      <c r="G247" s="700"/>
      <c r="H247" s="700"/>
      <c r="I247" s="701">
        <v>540</v>
      </c>
      <c r="J247" s="698">
        <v>0</v>
      </c>
      <c r="K247" s="702">
        <v>-9</v>
      </c>
      <c r="L247" s="703">
        <v>0</v>
      </c>
      <c r="M247" s="698" t="s">
        <v>694</v>
      </c>
      <c r="N247" s="707"/>
      <c r="O247" s="708"/>
      <c r="P247" s="708"/>
      <c r="Q247" s="704">
        <v>0</v>
      </c>
      <c r="R247" s="707" t="s">
        <v>742</v>
      </c>
      <c r="S247" s="709"/>
      <c r="T247" s="707"/>
      <c r="U247" s="707"/>
    </row>
    <row r="248" spans="1:21" ht="14.5">
      <c r="A248" s="697"/>
      <c r="B248" s="707" t="s">
        <v>54</v>
      </c>
      <c r="C248" s="707" t="s">
        <v>743</v>
      </c>
      <c r="D248" s="698"/>
      <c r="E248" s="707" t="s">
        <v>744</v>
      </c>
      <c r="F248" s="700">
        <v>0.33333333333333298</v>
      </c>
      <c r="G248" s="700"/>
      <c r="H248" s="700"/>
      <c r="I248" s="701">
        <v>540</v>
      </c>
      <c r="J248" s="698">
        <v>0</v>
      </c>
      <c r="K248" s="702">
        <v>-9</v>
      </c>
      <c r="L248" s="703">
        <v>0</v>
      </c>
      <c r="M248" s="698" t="s">
        <v>694</v>
      </c>
      <c r="N248" s="707"/>
      <c r="O248" s="708"/>
      <c r="P248" s="708"/>
      <c r="Q248" s="704">
        <v>0</v>
      </c>
      <c r="R248" s="707" t="s">
        <v>742</v>
      </c>
      <c r="S248" s="709"/>
      <c r="T248" s="707"/>
      <c r="U248" s="707"/>
    </row>
    <row r="249" spans="1:21" ht="14.5">
      <c r="A249" s="697"/>
      <c r="B249" s="698" t="s">
        <v>745</v>
      </c>
      <c r="C249" s="698"/>
      <c r="D249" s="698"/>
      <c r="E249" s="698"/>
      <c r="F249" s="700">
        <v>0.33333333333333298</v>
      </c>
      <c r="G249" s="700"/>
      <c r="H249" s="700"/>
      <c r="I249" s="701">
        <v>540</v>
      </c>
      <c r="J249" s="698">
        <v>0</v>
      </c>
      <c r="K249" s="702">
        <v>-9</v>
      </c>
      <c r="L249" s="703">
        <v>0</v>
      </c>
      <c r="M249" s="698" t="s">
        <v>694</v>
      </c>
      <c r="N249" s="698"/>
      <c r="O249" s="706"/>
      <c r="P249" s="706"/>
      <c r="Q249" s="704">
        <v>0</v>
      </c>
      <c r="R249" s="698"/>
      <c r="S249" s="705"/>
      <c r="T249" s="698"/>
      <c r="U249" s="698"/>
    </row>
    <row r="250" spans="1:21" ht="14.5">
      <c r="A250" s="697"/>
      <c r="B250" s="698" t="s">
        <v>746</v>
      </c>
      <c r="C250" s="698" t="s">
        <v>747</v>
      </c>
      <c r="D250" s="707" t="s">
        <v>978</v>
      </c>
      <c r="E250" s="698" t="s">
        <v>190</v>
      </c>
      <c r="F250" s="700">
        <v>0.33333333333333298</v>
      </c>
      <c r="G250" s="700">
        <v>0.61805555555555558</v>
      </c>
      <c r="H250" s="700">
        <v>0.79513888888888884</v>
      </c>
      <c r="I250" s="701">
        <v>540</v>
      </c>
      <c r="J250" s="698">
        <v>254.99999999999989</v>
      </c>
      <c r="K250" s="702">
        <v>-4.7500000000000018</v>
      </c>
      <c r="L250" s="703">
        <v>4.2499999999999982</v>
      </c>
      <c r="M250" s="698" t="s">
        <v>891</v>
      </c>
      <c r="N250" s="698" t="s">
        <v>979</v>
      </c>
      <c r="O250" s="706">
        <v>39452</v>
      </c>
      <c r="P250" s="706">
        <v>39471</v>
      </c>
      <c r="Q250" s="704">
        <v>19</v>
      </c>
      <c r="R250" s="698" t="s">
        <v>701</v>
      </c>
      <c r="S250" s="705"/>
      <c r="T250" s="698" t="s">
        <v>806</v>
      </c>
      <c r="U250" s="698"/>
    </row>
    <row r="251" spans="1:21" ht="14.5">
      <c r="A251" s="697"/>
      <c r="B251" s="707" t="s">
        <v>748</v>
      </c>
      <c r="C251" s="707" t="s">
        <v>749</v>
      </c>
      <c r="D251" s="707" t="s">
        <v>980</v>
      </c>
      <c r="E251" s="707" t="s">
        <v>981</v>
      </c>
      <c r="F251" s="700">
        <v>0.33333333333333298</v>
      </c>
      <c r="G251" s="700">
        <v>0.52083333333333337</v>
      </c>
      <c r="H251" s="700">
        <v>0.70833333333333337</v>
      </c>
      <c r="I251" s="701">
        <v>540</v>
      </c>
      <c r="J251" s="698">
        <v>270</v>
      </c>
      <c r="K251" s="702">
        <v>-4.5</v>
      </c>
      <c r="L251" s="703">
        <v>4.5</v>
      </c>
      <c r="M251" s="698" t="s">
        <v>982</v>
      </c>
      <c r="N251" s="707" t="s">
        <v>983</v>
      </c>
      <c r="O251" s="708">
        <v>14052</v>
      </c>
      <c r="P251" s="708">
        <v>14055</v>
      </c>
      <c r="Q251" s="704">
        <v>3</v>
      </c>
      <c r="R251" s="707" t="s">
        <v>695</v>
      </c>
      <c r="S251" s="709"/>
      <c r="T251" s="707" t="s">
        <v>774</v>
      </c>
      <c r="U251" s="707"/>
    </row>
    <row r="252" spans="1:21" ht="14.5">
      <c r="A252" s="697"/>
      <c r="B252" s="707" t="s">
        <v>750</v>
      </c>
      <c r="C252" s="707"/>
      <c r="D252" s="707"/>
      <c r="E252" s="707"/>
      <c r="F252" s="700">
        <v>0.33333333333333298</v>
      </c>
      <c r="G252" s="700"/>
      <c r="H252" s="700"/>
      <c r="I252" s="701">
        <v>540</v>
      </c>
      <c r="J252" s="698">
        <v>0</v>
      </c>
      <c r="K252" s="702">
        <v>-9</v>
      </c>
      <c r="L252" s="703">
        <v>0</v>
      </c>
      <c r="M252" s="698" t="s">
        <v>694</v>
      </c>
      <c r="N252" s="707"/>
      <c r="O252" s="708"/>
      <c r="P252" s="708"/>
      <c r="Q252" s="704">
        <v>0</v>
      </c>
      <c r="R252" s="707"/>
      <c r="S252" s="709"/>
      <c r="T252" s="707"/>
      <c r="U252" s="707"/>
    </row>
    <row r="253" spans="1:21" ht="14.5">
      <c r="A253" s="697"/>
      <c r="B253" s="707" t="s">
        <v>751</v>
      </c>
      <c r="C253" s="707" t="s">
        <v>752</v>
      </c>
      <c r="D253" s="711" t="s">
        <v>984</v>
      </c>
      <c r="E253" s="707" t="s">
        <v>725</v>
      </c>
      <c r="F253" s="700">
        <v>0.33333333333333298</v>
      </c>
      <c r="G253" s="700">
        <v>0.32500000000000001</v>
      </c>
      <c r="H253" s="700">
        <v>0.8847222222222223</v>
      </c>
      <c r="I253" s="701">
        <v>540</v>
      </c>
      <c r="J253" s="698">
        <v>806</v>
      </c>
      <c r="K253" s="702">
        <v>4.4333333333333336</v>
      </c>
      <c r="L253" s="703">
        <v>13.433333333333334</v>
      </c>
      <c r="M253" s="698" t="s">
        <v>985</v>
      </c>
      <c r="N253" s="707" t="s">
        <v>986</v>
      </c>
      <c r="O253" s="708">
        <v>8999</v>
      </c>
      <c r="P253" s="708">
        <v>9090</v>
      </c>
      <c r="Q253" s="704">
        <v>91</v>
      </c>
      <c r="R253" s="707" t="s">
        <v>701</v>
      </c>
      <c r="S253" s="709"/>
      <c r="T253" s="707" t="s">
        <v>806</v>
      </c>
      <c r="U253" s="707"/>
    </row>
    <row r="254" spans="1:21">
      <c r="A254" s="697"/>
      <c r="B254" s="710" t="s">
        <v>754</v>
      </c>
      <c r="C254" s="711" t="s">
        <v>755</v>
      </c>
      <c r="D254" s="721" t="s">
        <v>945</v>
      </c>
      <c r="E254" s="711" t="s">
        <v>190</v>
      </c>
      <c r="F254" s="712">
        <v>0.33333333333333298</v>
      </c>
      <c r="G254" s="712">
        <v>0.33333333333333331</v>
      </c>
      <c r="H254" s="712">
        <v>0.875</v>
      </c>
      <c r="I254" s="713">
        <v>540</v>
      </c>
      <c r="J254" s="714">
        <v>780.00000000000011</v>
      </c>
      <c r="K254" s="715">
        <v>4.0000000000000018</v>
      </c>
      <c r="L254" s="716">
        <v>13.000000000000002</v>
      </c>
      <c r="M254" s="714" t="s">
        <v>987</v>
      </c>
      <c r="N254" s="711" t="s">
        <v>916</v>
      </c>
      <c r="O254" s="717">
        <v>22143</v>
      </c>
      <c r="P254" s="717">
        <v>22158</v>
      </c>
      <c r="Q254" s="704">
        <v>15</v>
      </c>
      <c r="R254" s="711" t="s">
        <v>701</v>
      </c>
      <c r="S254" s="718">
        <v>35</v>
      </c>
      <c r="T254" s="711" t="s">
        <v>781</v>
      </c>
      <c r="U254" s="711"/>
    </row>
    <row r="255" spans="1:21">
      <c r="A255" s="697"/>
      <c r="B255" s="721" t="s">
        <v>54</v>
      </c>
      <c r="C255" s="721"/>
      <c r="D255" s="699" t="s">
        <v>54</v>
      </c>
      <c r="E255" s="721"/>
      <c r="F255" s="721"/>
      <c r="G255" s="721"/>
      <c r="H255" s="721"/>
      <c r="I255" s="721"/>
      <c r="J255" s="721"/>
      <c r="K255" s="721"/>
      <c r="L255" s="721"/>
      <c r="M255" s="721" t="s">
        <v>54</v>
      </c>
      <c r="N255" s="721"/>
      <c r="O255" s="722"/>
      <c r="P255" s="722"/>
      <c r="Q255" s="704"/>
      <c r="R255" s="721"/>
      <c r="S255" s="723"/>
      <c r="T255" s="721"/>
      <c r="U255" s="721"/>
    </row>
    <row r="256" spans="1:21" ht="14.5">
      <c r="A256" s="697">
        <v>46246</v>
      </c>
      <c r="B256" s="698" t="s">
        <v>691</v>
      </c>
      <c r="C256" s="698" t="s">
        <v>692</v>
      </c>
      <c r="D256" s="698" t="s">
        <v>988</v>
      </c>
      <c r="E256" s="698" t="s">
        <v>693</v>
      </c>
      <c r="F256" s="700">
        <v>0.33333333333333298</v>
      </c>
      <c r="G256" s="700">
        <v>0.43194444444444446</v>
      </c>
      <c r="H256" s="700">
        <v>0.72361111111111109</v>
      </c>
      <c r="I256" s="701">
        <v>540</v>
      </c>
      <c r="J256" s="698">
        <v>419.99999999999994</v>
      </c>
      <c r="K256" s="702">
        <v>-2.0000000000000009</v>
      </c>
      <c r="L256" s="703">
        <v>6.9999999999999991</v>
      </c>
      <c r="M256" s="698" t="s">
        <v>989</v>
      </c>
      <c r="N256" s="698" t="s">
        <v>762</v>
      </c>
      <c r="O256" s="706">
        <v>32707</v>
      </c>
      <c r="P256" s="706">
        <v>32728</v>
      </c>
      <c r="Q256" s="704">
        <v>21</v>
      </c>
      <c r="R256" s="698" t="s">
        <v>695</v>
      </c>
      <c r="S256" s="705"/>
      <c r="T256" s="698" t="s">
        <v>728</v>
      </c>
      <c r="U256" s="698"/>
    </row>
    <row r="257" spans="1:21" ht="14.5">
      <c r="A257" s="697"/>
      <c r="B257" s="698" t="s">
        <v>696</v>
      </c>
      <c r="C257" s="698" t="s">
        <v>697</v>
      </c>
      <c r="D257" s="698" t="s">
        <v>990</v>
      </c>
      <c r="E257" s="698" t="s">
        <v>693</v>
      </c>
      <c r="F257" s="700">
        <v>0.33333333333333298</v>
      </c>
      <c r="G257" s="700">
        <v>0.76458333333333339</v>
      </c>
      <c r="H257" s="700">
        <v>0.94097222222222221</v>
      </c>
      <c r="I257" s="701">
        <v>540</v>
      </c>
      <c r="J257" s="698">
        <v>253.99999999999989</v>
      </c>
      <c r="K257" s="702">
        <v>-4.7666666666666684</v>
      </c>
      <c r="L257" s="703">
        <v>4.2333333333333316</v>
      </c>
      <c r="M257" s="698" t="s">
        <v>991</v>
      </c>
      <c r="N257" s="698" t="s">
        <v>767</v>
      </c>
      <c r="O257" s="706">
        <v>28558</v>
      </c>
      <c r="P257" s="706">
        <v>28599</v>
      </c>
      <c r="Q257" s="704">
        <v>41</v>
      </c>
      <c r="R257" s="698" t="s">
        <v>695</v>
      </c>
      <c r="S257" s="705">
        <v>4</v>
      </c>
      <c r="T257" s="698" t="s">
        <v>763</v>
      </c>
      <c r="U257" s="698"/>
    </row>
    <row r="258" spans="1:21" ht="14.5">
      <c r="A258" s="697"/>
      <c r="B258" s="698" t="s">
        <v>698</v>
      </c>
      <c r="C258" s="698" t="s">
        <v>699</v>
      </c>
      <c r="D258" s="698" t="s">
        <v>853</v>
      </c>
      <c r="E258" s="698" t="s">
        <v>700</v>
      </c>
      <c r="F258" s="700">
        <v>0.33333333333333298</v>
      </c>
      <c r="G258" s="700">
        <v>0.35416666666666669</v>
      </c>
      <c r="H258" s="700">
        <v>0.8027777777777777</v>
      </c>
      <c r="I258" s="701">
        <v>540</v>
      </c>
      <c r="J258" s="698">
        <v>645.99999999999989</v>
      </c>
      <c r="K258" s="702">
        <v>1.7666666666666648</v>
      </c>
      <c r="L258" s="703">
        <v>10.766666666666664</v>
      </c>
      <c r="M258" s="698" t="s">
        <v>992</v>
      </c>
      <c r="N258" s="698" t="s">
        <v>993</v>
      </c>
      <c r="O258" s="706">
        <v>31623</v>
      </c>
      <c r="P258" s="706">
        <v>31807</v>
      </c>
      <c r="Q258" s="704">
        <v>184</v>
      </c>
      <c r="R258" s="698" t="s">
        <v>701</v>
      </c>
      <c r="S258" s="705">
        <v>15</v>
      </c>
      <c r="T258" s="698" t="s">
        <v>846</v>
      </c>
      <c r="U258" s="698"/>
    </row>
    <row r="259" spans="1:21" ht="14.5">
      <c r="A259" s="697"/>
      <c r="B259" s="698" t="s">
        <v>702</v>
      </c>
      <c r="C259" s="698" t="s">
        <v>703</v>
      </c>
      <c r="D259" s="698" t="s">
        <v>788</v>
      </c>
      <c r="E259" s="698" t="s">
        <v>693</v>
      </c>
      <c r="F259" s="700">
        <v>0.33333333333333298</v>
      </c>
      <c r="G259" s="700"/>
      <c r="H259" s="700"/>
      <c r="I259" s="701">
        <v>540</v>
      </c>
      <c r="J259" s="698">
        <v>0</v>
      </c>
      <c r="K259" s="702">
        <v>-9</v>
      </c>
      <c r="L259" s="703">
        <v>0</v>
      </c>
      <c r="M259" s="698" t="s">
        <v>694</v>
      </c>
      <c r="N259" s="698"/>
      <c r="O259" s="706"/>
      <c r="P259" s="706"/>
      <c r="Q259" s="704">
        <v>0</v>
      </c>
      <c r="R259" s="698" t="s">
        <v>701</v>
      </c>
      <c r="S259" s="705"/>
      <c r="T259" s="698"/>
      <c r="U259" s="698"/>
    </row>
    <row r="260" spans="1:21" ht="14.5">
      <c r="A260" s="697"/>
      <c r="B260" s="698" t="s">
        <v>704</v>
      </c>
      <c r="C260" s="698" t="s">
        <v>705</v>
      </c>
      <c r="D260" s="698" t="s">
        <v>788</v>
      </c>
      <c r="E260" s="698" t="s">
        <v>693</v>
      </c>
      <c r="F260" s="700">
        <v>0.33333333333333298</v>
      </c>
      <c r="G260" s="700"/>
      <c r="H260" s="700"/>
      <c r="I260" s="701">
        <v>540</v>
      </c>
      <c r="J260" s="698">
        <v>0</v>
      </c>
      <c r="K260" s="702">
        <v>-9</v>
      </c>
      <c r="L260" s="703">
        <v>0</v>
      </c>
      <c r="M260" s="698" t="s">
        <v>694</v>
      </c>
      <c r="N260" s="698"/>
      <c r="O260" s="706"/>
      <c r="P260" s="706"/>
      <c r="Q260" s="704">
        <v>0</v>
      </c>
      <c r="R260" s="698" t="s">
        <v>701</v>
      </c>
      <c r="S260" s="705"/>
      <c r="T260" s="698"/>
      <c r="U260" s="698"/>
    </row>
    <row r="261" spans="1:21" ht="14.5">
      <c r="A261" s="697"/>
      <c r="B261" s="698" t="s">
        <v>706</v>
      </c>
      <c r="C261" s="698" t="s">
        <v>707</v>
      </c>
      <c r="D261" s="698" t="s">
        <v>994</v>
      </c>
      <c r="E261" s="698" t="s">
        <v>777</v>
      </c>
      <c r="F261" s="700">
        <v>0.33333333333333298</v>
      </c>
      <c r="G261" s="700">
        <v>0.33333333333333331</v>
      </c>
      <c r="H261" s="700">
        <v>0.70833333333333337</v>
      </c>
      <c r="I261" s="701">
        <v>540</v>
      </c>
      <c r="J261" s="698">
        <v>540.00000000000011</v>
      </c>
      <c r="K261" s="702">
        <v>1.8947806286936005E-15</v>
      </c>
      <c r="L261" s="703">
        <v>9.0000000000000018</v>
      </c>
      <c r="M261" s="698" t="s">
        <v>849</v>
      </c>
      <c r="N261" s="698" t="s">
        <v>995</v>
      </c>
      <c r="O261" s="706">
        <v>22695</v>
      </c>
      <c r="P261" s="706">
        <v>22710</v>
      </c>
      <c r="Q261" s="704">
        <v>15</v>
      </c>
      <c r="R261" s="698" t="s">
        <v>701</v>
      </c>
      <c r="S261" s="705">
        <v>5</v>
      </c>
      <c r="T261" s="698" t="s">
        <v>846</v>
      </c>
      <c r="U261" s="698"/>
    </row>
    <row r="262" spans="1:21" ht="14.5">
      <c r="A262" s="697"/>
      <c r="B262" s="698" t="s">
        <v>708</v>
      </c>
      <c r="C262" s="698" t="s">
        <v>709</v>
      </c>
      <c r="D262" s="698" t="s">
        <v>788</v>
      </c>
      <c r="E262" s="698" t="s">
        <v>928</v>
      </c>
      <c r="F262" s="700">
        <v>0.33333333333333298</v>
      </c>
      <c r="G262" s="700">
        <v>0.31597222222222221</v>
      </c>
      <c r="H262" s="700">
        <v>0.70833333333333337</v>
      </c>
      <c r="I262" s="701">
        <v>540</v>
      </c>
      <c r="J262" s="698">
        <v>565.00000000000011</v>
      </c>
      <c r="K262" s="702">
        <v>0.41666666666666857</v>
      </c>
      <c r="L262" s="703">
        <v>9.4166666666666679</v>
      </c>
      <c r="M262" s="698" t="s">
        <v>996</v>
      </c>
      <c r="N262" s="698" t="s">
        <v>711</v>
      </c>
      <c r="O262" s="706">
        <v>21508</v>
      </c>
      <c r="P262" s="706">
        <v>21562</v>
      </c>
      <c r="Q262" s="704">
        <v>54</v>
      </c>
      <c r="R262" s="698" t="s">
        <v>695</v>
      </c>
      <c r="S262" s="705"/>
      <c r="T262" s="698"/>
      <c r="U262" s="698"/>
    </row>
    <row r="263" spans="1:21" ht="14.5">
      <c r="A263" s="697"/>
      <c r="B263" s="698" t="s">
        <v>712</v>
      </c>
      <c r="C263" s="698" t="s">
        <v>713</v>
      </c>
      <c r="D263" s="698" t="s">
        <v>997</v>
      </c>
      <c r="E263" s="698" t="s">
        <v>930</v>
      </c>
      <c r="F263" s="700">
        <v>0.33333333333333298</v>
      </c>
      <c r="G263" s="700">
        <v>0.29166666666666669</v>
      </c>
      <c r="H263" s="700">
        <v>0.70833333333333337</v>
      </c>
      <c r="I263" s="701">
        <v>540</v>
      </c>
      <c r="J263" s="698">
        <v>600</v>
      </c>
      <c r="K263" s="702">
        <v>1</v>
      </c>
      <c r="L263" s="703">
        <v>10</v>
      </c>
      <c r="M263" s="698" t="s">
        <v>823</v>
      </c>
      <c r="N263" s="698" t="s">
        <v>714</v>
      </c>
      <c r="O263" s="706">
        <v>44688</v>
      </c>
      <c r="P263" s="706">
        <v>44788</v>
      </c>
      <c r="Q263" s="704">
        <v>100</v>
      </c>
      <c r="R263" s="698" t="s">
        <v>695</v>
      </c>
      <c r="S263" s="705"/>
      <c r="T263" s="698" t="s">
        <v>763</v>
      </c>
      <c r="U263" s="698" t="s">
        <v>903</v>
      </c>
    </row>
    <row r="264" spans="1:21" ht="14.5">
      <c r="A264" s="697"/>
      <c r="B264" s="698" t="s">
        <v>715</v>
      </c>
      <c r="C264" s="698" t="s">
        <v>716</v>
      </c>
      <c r="D264" s="707" t="s">
        <v>998</v>
      </c>
      <c r="E264" s="698" t="s">
        <v>190</v>
      </c>
      <c r="F264" s="700">
        <v>0.33333333333333298</v>
      </c>
      <c r="G264" s="700">
        <v>0.20833333333333334</v>
      </c>
      <c r="H264" s="700">
        <v>0.88194444444444453</v>
      </c>
      <c r="I264" s="701">
        <v>540</v>
      </c>
      <c r="J264" s="698">
        <v>970.00000000000011</v>
      </c>
      <c r="K264" s="702">
        <v>7.1666666666666687</v>
      </c>
      <c r="L264" s="703">
        <v>16.166666666666668</v>
      </c>
      <c r="M264" s="698" t="s">
        <v>902</v>
      </c>
      <c r="N264" s="698" t="s">
        <v>717</v>
      </c>
      <c r="O264" s="706">
        <v>40811</v>
      </c>
      <c r="P264" s="706">
        <v>40935</v>
      </c>
      <c r="Q264" s="704">
        <v>124</v>
      </c>
      <c r="R264" s="698" t="s">
        <v>695</v>
      </c>
      <c r="S264" s="705">
        <v>15</v>
      </c>
      <c r="T264" s="698" t="s">
        <v>806</v>
      </c>
      <c r="U264" s="698" t="s">
        <v>881</v>
      </c>
    </row>
    <row r="265" spans="1:21" ht="14.5">
      <c r="A265" s="697"/>
      <c r="B265" s="707" t="s">
        <v>718</v>
      </c>
      <c r="C265" s="707" t="s">
        <v>719</v>
      </c>
      <c r="D265" s="707" t="s">
        <v>718</v>
      </c>
      <c r="E265" s="707" t="s">
        <v>720</v>
      </c>
      <c r="F265" s="700">
        <v>0.33333333333333298</v>
      </c>
      <c r="G265" s="700"/>
      <c r="H265" s="700"/>
      <c r="I265" s="701">
        <v>540</v>
      </c>
      <c r="J265" s="698">
        <v>0</v>
      </c>
      <c r="K265" s="702">
        <v>-9</v>
      </c>
      <c r="L265" s="703">
        <v>0</v>
      </c>
      <c r="M265" s="698" t="s">
        <v>694</v>
      </c>
      <c r="N265" s="707" t="s">
        <v>721</v>
      </c>
      <c r="O265" s="708"/>
      <c r="P265" s="708"/>
      <c r="Q265" s="704">
        <v>0</v>
      </c>
      <c r="R265" s="707" t="s">
        <v>701</v>
      </c>
      <c r="S265" s="709"/>
      <c r="T265" s="707"/>
      <c r="U265" s="707"/>
    </row>
    <row r="266" spans="1:21" ht="14.5">
      <c r="A266" s="697"/>
      <c r="B266" s="707" t="s">
        <v>722</v>
      </c>
      <c r="C266" s="707" t="s">
        <v>723</v>
      </c>
      <c r="D266" s="707" t="s">
        <v>788</v>
      </c>
      <c r="E266" s="707" t="s">
        <v>725</v>
      </c>
      <c r="F266" s="700">
        <v>0.33333333333333298</v>
      </c>
      <c r="G266" s="700"/>
      <c r="H266" s="700"/>
      <c r="I266" s="701">
        <v>540</v>
      </c>
      <c r="J266" s="698">
        <v>0</v>
      </c>
      <c r="K266" s="702">
        <v>-9</v>
      </c>
      <c r="L266" s="703">
        <v>0</v>
      </c>
      <c r="M266" s="698" t="s">
        <v>694</v>
      </c>
      <c r="N266" s="707" t="s">
        <v>727</v>
      </c>
      <c r="O266" s="708"/>
      <c r="P266" s="708"/>
      <c r="Q266" s="704">
        <v>0</v>
      </c>
      <c r="R266" s="707" t="s">
        <v>695</v>
      </c>
      <c r="S266" s="709"/>
      <c r="T266" s="707"/>
      <c r="U266" s="707"/>
    </row>
    <row r="267" spans="1:21" ht="14.5">
      <c r="A267" s="697"/>
      <c r="B267" s="707" t="s">
        <v>730</v>
      </c>
      <c r="C267" s="707" t="s">
        <v>731</v>
      </c>
      <c r="D267" s="711" t="s">
        <v>788</v>
      </c>
      <c r="E267" s="707" t="s">
        <v>732</v>
      </c>
      <c r="F267" s="700">
        <v>0.33333333333333298</v>
      </c>
      <c r="G267" s="700"/>
      <c r="H267" s="700"/>
      <c r="I267" s="701">
        <v>540</v>
      </c>
      <c r="J267" s="698">
        <v>0</v>
      </c>
      <c r="K267" s="702">
        <v>-9</v>
      </c>
      <c r="L267" s="703">
        <v>0</v>
      </c>
      <c r="M267" s="698" t="s">
        <v>694</v>
      </c>
      <c r="N267" s="707" t="s">
        <v>733</v>
      </c>
      <c r="O267" s="708"/>
      <c r="P267" s="708"/>
      <c r="Q267" s="704">
        <v>0</v>
      </c>
      <c r="R267" s="707" t="s">
        <v>701</v>
      </c>
      <c r="S267" s="709"/>
      <c r="T267" s="707"/>
      <c r="U267" s="707"/>
    </row>
    <row r="268" spans="1:21" ht="14.5">
      <c r="A268" s="697"/>
      <c r="B268" s="710" t="s">
        <v>734</v>
      </c>
      <c r="C268" s="711" t="s">
        <v>735</v>
      </c>
      <c r="D268" s="714" t="s">
        <v>999</v>
      </c>
      <c r="E268" s="711" t="s">
        <v>89</v>
      </c>
      <c r="F268" s="712">
        <v>0.33333333333333298</v>
      </c>
      <c r="G268" s="712">
        <v>0.52083333333333337</v>
      </c>
      <c r="H268" s="712">
        <v>0.70833333333333337</v>
      </c>
      <c r="I268" s="713">
        <v>540</v>
      </c>
      <c r="J268" s="714">
        <v>270</v>
      </c>
      <c r="K268" s="715">
        <v>-4.5</v>
      </c>
      <c r="L268" s="716">
        <v>4.5</v>
      </c>
      <c r="M268" s="714" t="s">
        <v>982</v>
      </c>
      <c r="N268" s="711" t="s">
        <v>736</v>
      </c>
      <c r="O268" s="717">
        <v>32910</v>
      </c>
      <c r="P268" s="717">
        <v>32917</v>
      </c>
      <c r="Q268" s="704">
        <v>7</v>
      </c>
      <c r="R268" s="711" t="s">
        <v>701</v>
      </c>
      <c r="S268" s="718"/>
      <c r="T268" s="711" t="s">
        <v>774</v>
      </c>
      <c r="U268" s="711" t="s">
        <v>1000</v>
      </c>
    </row>
    <row r="269" spans="1:21" ht="14.5">
      <c r="A269" s="697"/>
      <c r="B269" s="714" t="s">
        <v>737</v>
      </c>
      <c r="C269" s="714" t="s">
        <v>738</v>
      </c>
      <c r="D269" s="707" t="s">
        <v>1001</v>
      </c>
      <c r="E269" s="714" t="s">
        <v>976</v>
      </c>
      <c r="F269" s="712">
        <v>0.33333333333333298</v>
      </c>
      <c r="G269" s="712">
        <v>0.375</v>
      </c>
      <c r="H269" s="712">
        <v>0.70833333333333337</v>
      </c>
      <c r="I269" s="713">
        <v>540</v>
      </c>
      <c r="J269" s="714">
        <v>480.00000000000006</v>
      </c>
      <c r="K269" s="715">
        <v>-0.999999999999999</v>
      </c>
      <c r="L269" s="716">
        <v>8.0000000000000018</v>
      </c>
      <c r="M269" s="714" t="s">
        <v>808</v>
      </c>
      <c r="N269" s="714"/>
      <c r="O269" s="719">
        <v>6753</v>
      </c>
      <c r="P269" s="719">
        <v>6775</v>
      </c>
      <c r="Q269" s="704">
        <v>22</v>
      </c>
      <c r="R269" s="714" t="s">
        <v>695</v>
      </c>
      <c r="S269" s="720">
        <v>5</v>
      </c>
      <c r="T269" s="714"/>
      <c r="U269" s="714" t="s">
        <v>739</v>
      </c>
    </row>
    <row r="270" spans="1:21" ht="14.5">
      <c r="A270" s="697"/>
      <c r="B270" s="707"/>
      <c r="C270" s="707" t="s">
        <v>740</v>
      </c>
      <c r="D270" s="707" t="s">
        <v>54</v>
      </c>
      <c r="E270" s="707" t="s">
        <v>741</v>
      </c>
      <c r="F270" s="700">
        <v>0.33333333333333298</v>
      </c>
      <c r="G270" s="700"/>
      <c r="H270" s="700"/>
      <c r="I270" s="701">
        <v>540</v>
      </c>
      <c r="J270" s="698">
        <v>0</v>
      </c>
      <c r="K270" s="702">
        <v>-9</v>
      </c>
      <c r="L270" s="703">
        <v>0</v>
      </c>
      <c r="M270" s="698" t="s">
        <v>694</v>
      </c>
      <c r="N270" s="707"/>
      <c r="O270" s="708"/>
      <c r="P270" s="708"/>
      <c r="Q270" s="704">
        <v>0</v>
      </c>
      <c r="R270" s="707" t="s">
        <v>742</v>
      </c>
      <c r="S270" s="709"/>
      <c r="T270" s="707"/>
      <c r="U270" s="707"/>
    </row>
    <row r="271" spans="1:21" ht="14.5">
      <c r="A271" s="697"/>
      <c r="B271" s="707" t="s">
        <v>54</v>
      </c>
      <c r="C271" s="707" t="s">
        <v>743</v>
      </c>
      <c r="D271" s="698"/>
      <c r="E271" s="707" t="s">
        <v>744</v>
      </c>
      <c r="F271" s="700">
        <v>0.33333333333333298</v>
      </c>
      <c r="G271" s="700"/>
      <c r="H271" s="700"/>
      <c r="I271" s="701">
        <v>540</v>
      </c>
      <c r="J271" s="698">
        <v>0</v>
      </c>
      <c r="K271" s="702">
        <v>-9</v>
      </c>
      <c r="L271" s="703">
        <v>0</v>
      </c>
      <c r="M271" s="698" t="s">
        <v>694</v>
      </c>
      <c r="N271" s="707"/>
      <c r="O271" s="708"/>
      <c r="P271" s="708"/>
      <c r="Q271" s="704">
        <v>0</v>
      </c>
      <c r="R271" s="707" t="s">
        <v>742</v>
      </c>
      <c r="S271" s="709"/>
      <c r="T271" s="707"/>
      <c r="U271" s="707"/>
    </row>
    <row r="272" spans="1:21" ht="14.5">
      <c r="A272" s="697"/>
      <c r="B272" s="698" t="s">
        <v>745</v>
      </c>
      <c r="C272" s="698"/>
      <c r="D272" s="698"/>
      <c r="E272" s="698"/>
      <c r="F272" s="700">
        <v>0.33333333333333298</v>
      </c>
      <c r="G272" s="700"/>
      <c r="H272" s="700"/>
      <c r="I272" s="701">
        <v>540</v>
      </c>
      <c r="J272" s="698">
        <v>0</v>
      </c>
      <c r="K272" s="702">
        <v>-9</v>
      </c>
      <c r="L272" s="703">
        <v>0</v>
      </c>
      <c r="M272" s="698" t="s">
        <v>694</v>
      </c>
      <c r="N272" s="698"/>
      <c r="O272" s="706"/>
      <c r="P272" s="706"/>
      <c r="Q272" s="704">
        <v>0</v>
      </c>
      <c r="R272" s="698"/>
      <c r="S272" s="705"/>
      <c r="T272" s="698"/>
      <c r="U272" s="698"/>
    </row>
    <row r="273" spans="1:21" ht="14.5">
      <c r="A273" s="697"/>
      <c r="B273" s="698" t="s">
        <v>746</v>
      </c>
      <c r="C273" s="698" t="s">
        <v>747</v>
      </c>
      <c r="D273" s="707" t="s">
        <v>1002</v>
      </c>
      <c r="E273" s="698" t="s">
        <v>190</v>
      </c>
      <c r="F273" s="700">
        <v>0.33333333333333298</v>
      </c>
      <c r="G273" s="700">
        <v>0.375</v>
      </c>
      <c r="H273" s="700">
        <v>0.70833333333333337</v>
      </c>
      <c r="I273" s="701">
        <v>540</v>
      </c>
      <c r="J273" s="698">
        <v>480.00000000000006</v>
      </c>
      <c r="K273" s="702">
        <v>-0.999999999999999</v>
      </c>
      <c r="L273" s="703">
        <v>8.0000000000000018</v>
      </c>
      <c r="M273" s="698" t="s">
        <v>808</v>
      </c>
      <c r="N273" s="698" t="s">
        <v>979</v>
      </c>
      <c r="O273" s="706">
        <v>39471</v>
      </c>
      <c r="P273" s="706">
        <v>39519</v>
      </c>
      <c r="Q273" s="704">
        <v>48</v>
      </c>
      <c r="R273" s="698" t="s">
        <v>701</v>
      </c>
      <c r="S273" s="705">
        <v>5</v>
      </c>
      <c r="T273" s="698" t="s">
        <v>806</v>
      </c>
      <c r="U273" s="698"/>
    </row>
    <row r="274" spans="1:21" ht="14.5">
      <c r="A274" s="697"/>
      <c r="B274" s="707" t="s">
        <v>748</v>
      </c>
      <c r="C274" s="707" t="s">
        <v>749</v>
      </c>
      <c r="D274" s="707" t="s">
        <v>788</v>
      </c>
      <c r="E274" s="707" t="s">
        <v>278</v>
      </c>
      <c r="F274" s="700">
        <v>0.33333333333333298</v>
      </c>
      <c r="G274" s="700"/>
      <c r="H274" s="700"/>
      <c r="I274" s="701">
        <v>540</v>
      </c>
      <c r="J274" s="698">
        <v>0</v>
      </c>
      <c r="K274" s="702">
        <v>-9</v>
      </c>
      <c r="L274" s="703">
        <v>0</v>
      </c>
      <c r="M274" s="698" t="s">
        <v>694</v>
      </c>
      <c r="N274" s="707"/>
      <c r="O274" s="708"/>
      <c r="P274" s="708"/>
      <c r="Q274" s="704">
        <v>0</v>
      </c>
      <c r="R274" s="707" t="s">
        <v>695</v>
      </c>
      <c r="S274" s="709"/>
      <c r="T274" s="707"/>
      <c r="U274" s="707"/>
    </row>
    <row r="275" spans="1:21" ht="14.5">
      <c r="A275" s="697"/>
      <c r="B275" s="707" t="s">
        <v>750</v>
      </c>
      <c r="C275" s="707"/>
      <c r="D275" s="707"/>
      <c r="E275" s="707"/>
      <c r="F275" s="700">
        <v>0.33333333333333298</v>
      </c>
      <c r="G275" s="700"/>
      <c r="H275" s="700"/>
      <c r="I275" s="701">
        <v>540</v>
      </c>
      <c r="J275" s="698">
        <v>0</v>
      </c>
      <c r="K275" s="702">
        <v>-9</v>
      </c>
      <c r="L275" s="703">
        <v>0</v>
      </c>
      <c r="M275" s="698" t="s">
        <v>694</v>
      </c>
      <c r="N275" s="707"/>
      <c r="O275" s="708"/>
      <c r="P275" s="708"/>
      <c r="Q275" s="704">
        <v>0</v>
      </c>
      <c r="R275" s="707"/>
      <c r="S275" s="709"/>
      <c r="T275" s="707"/>
      <c r="U275" s="707"/>
    </row>
    <row r="276" spans="1:21" ht="14.5">
      <c r="A276" s="697"/>
      <c r="B276" s="707" t="s">
        <v>751</v>
      </c>
      <c r="C276" s="707" t="s">
        <v>752</v>
      </c>
      <c r="D276" s="711" t="s">
        <v>1003</v>
      </c>
      <c r="E276" s="707" t="s">
        <v>725</v>
      </c>
      <c r="F276" s="700">
        <v>0.33333333333333298</v>
      </c>
      <c r="G276" s="700">
        <v>0.29166666666666669</v>
      </c>
      <c r="H276" s="700">
        <v>0.75138888888888899</v>
      </c>
      <c r="I276" s="701">
        <v>540</v>
      </c>
      <c r="J276" s="698">
        <v>662.00000000000011</v>
      </c>
      <c r="K276" s="702">
        <v>2.0333333333333354</v>
      </c>
      <c r="L276" s="703">
        <v>11.033333333333335</v>
      </c>
      <c r="M276" s="698" t="s">
        <v>1004</v>
      </c>
      <c r="N276" s="707" t="s">
        <v>799</v>
      </c>
      <c r="O276" s="708">
        <v>9090</v>
      </c>
      <c r="P276" s="708">
        <v>9129</v>
      </c>
      <c r="Q276" s="704">
        <v>39</v>
      </c>
      <c r="R276" s="707" t="s">
        <v>701</v>
      </c>
      <c r="S276" s="709"/>
      <c r="T276" s="707" t="s">
        <v>763</v>
      </c>
      <c r="U276" s="707"/>
    </row>
    <row r="277" spans="1:21">
      <c r="A277" s="697"/>
      <c r="B277" s="710" t="s">
        <v>754</v>
      </c>
      <c r="C277" s="711" t="s">
        <v>755</v>
      </c>
      <c r="D277" s="721" t="s">
        <v>1005</v>
      </c>
      <c r="E277" s="711" t="s">
        <v>190</v>
      </c>
      <c r="F277" s="712">
        <v>0.33333333333333298</v>
      </c>
      <c r="G277" s="712">
        <v>0.33333333333333331</v>
      </c>
      <c r="H277" s="712">
        <v>0.97916666666666663</v>
      </c>
      <c r="I277" s="713">
        <v>540</v>
      </c>
      <c r="J277" s="714">
        <v>929.99999999999989</v>
      </c>
      <c r="K277" s="715">
        <v>6.4999999999999982</v>
      </c>
      <c r="L277" s="716">
        <v>15.499999999999998</v>
      </c>
      <c r="M277" s="714" t="s">
        <v>1006</v>
      </c>
      <c r="N277" s="711" t="s">
        <v>916</v>
      </c>
      <c r="O277" s="717">
        <v>22158</v>
      </c>
      <c r="P277" s="717">
        <v>22573</v>
      </c>
      <c r="Q277" s="704">
        <v>415</v>
      </c>
      <c r="R277" s="711" t="s">
        <v>701</v>
      </c>
      <c r="S277" s="718">
        <v>10</v>
      </c>
      <c r="T277" s="711" t="s">
        <v>781</v>
      </c>
      <c r="U277" s="711"/>
    </row>
    <row r="278" spans="1:21">
      <c r="A278" s="697"/>
      <c r="B278" s="721" t="s">
        <v>54</v>
      </c>
      <c r="C278" s="721"/>
      <c r="D278" s="699" t="s">
        <v>54</v>
      </c>
      <c r="E278" s="721"/>
      <c r="F278" s="721"/>
      <c r="G278" s="721"/>
      <c r="H278" s="721"/>
      <c r="I278" s="721"/>
      <c r="J278" s="721"/>
      <c r="K278" s="721"/>
      <c r="L278" s="721"/>
      <c r="M278" s="721" t="s">
        <v>54</v>
      </c>
      <c r="N278" s="721"/>
      <c r="O278" s="722"/>
      <c r="P278" s="722"/>
      <c r="Q278" s="704"/>
      <c r="R278" s="721"/>
      <c r="S278" s="723"/>
      <c r="T278" s="721"/>
      <c r="U278" s="721"/>
    </row>
    <row r="279" spans="1:21" ht="14.5">
      <c r="A279" s="697">
        <v>46247</v>
      </c>
      <c r="B279" s="698" t="s">
        <v>691</v>
      </c>
      <c r="C279" s="698" t="s">
        <v>692</v>
      </c>
      <c r="D279" s="698" t="s">
        <v>1007</v>
      </c>
      <c r="E279" s="698" t="s">
        <v>693</v>
      </c>
      <c r="F279" s="700">
        <v>0.33333333333333298</v>
      </c>
      <c r="G279" s="700">
        <v>0.65625</v>
      </c>
      <c r="H279" s="700">
        <v>0.92361111111111116</v>
      </c>
      <c r="I279" s="701">
        <v>540</v>
      </c>
      <c r="J279" s="698">
        <v>385.00000000000006</v>
      </c>
      <c r="K279" s="702">
        <v>-2.5833333333333326</v>
      </c>
      <c r="L279" s="703">
        <v>6.4166666666666679</v>
      </c>
      <c r="M279" s="698" t="s">
        <v>1008</v>
      </c>
      <c r="N279" s="698" t="s">
        <v>1009</v>
      </c>
      <c r="O279" s="706">
        <v>32728</v>
      </c>
      <c r="P279" s="706">
        <v>32849</v>
      </c>
      <c r="Q279" s="704">
        <v>121</v>
      </c>
      <c r="R279" s="698" t="s">
        <v>695</v>
      </c>
      <c r="S279" s="705">
        <v>14</v>
      </c>
      <c r="T279" s="698" t="s">
        <v>846</v>
      </c>
      <c r="U279" s="698"/>
    </row>
    <row r="280" spans="1:21" ht="14.5">
      <c r="A280" s="697"/>
      <c r="B280" s="698" t="s">
        <v>696</v>
      </c>
      <c r="C280" s="698" t="s">
        <v>697</v>
      </c>
      <c r="D280" s="698" t="s">
        <v>1010</v>
      </c>
      <c r="E280" s="698" t="s">
        <v>693</v>
      </c>
      <c r="F280" s="700">
        <v>0.33333333333333298</v>
      </c>
      <c r="G280" s="700">
        <v>0.40625</v>
      </c>
      <c r="H280" s="700">
        <v>0.92152777777777783</v>
      </c>
      <c r="I280" s="701">
        <v>540</v>
      </c>
      <c r="J280" s="698">
        <v>742.00000000000011</v>
      </c>
      <c r="K280" s="702">
        <v>3.3666666666666685</v>
      </c>
      <c r="L280" s="703">
        <v>12.366666666666669</v>
      </c>
      <c r="M280" s="698" t="s">
        <v>1011</v>
      </c>
      <c r="N280" s="698" t="s">
        <v>767</v>
      </c>
      <c r="O280" s="706">
        <v>28599</v>
      </c>
      <c r="P280" s="706">
        <v>28666</v>
      </c>
      <c r="Q280" s="704">
        <v>67</v>
      </c>
      <c r="R280" s="698" t="s">
        <v>695</v>
      </c>
      <c r="S280" s="705">
        <v>6</v>
      </c>
      <c r="T280" s="698" t="s">
        <v>763</v>
      </c>
      <c r="U280" s="698"/>
    </row>
    <row r="281" spans="1:21" ht="14.5">
      <c r="A281" s="697"/>
      <c r="B281" s="698" t="s">
        <v>698</v>
      </c>
      <c r="C281" s="698" t="s">
        <v>699</v>
      </c>
      <c r="D281" s="698" t="s">
        <v>1012</v>
      </c>
      <c r="E281" s="698" t="s">
        <v>700</v>
      </c>
      <c r="F281" s="700">
        <v>0.33333333333333298</v>
      </c>
      <c r="G281" s="700">
        <v>0.4826388888888889</v>
      </c>
      <c r="H281" s="700">
        <v>0.84375</v>
      </c>
      <c r="I281" s="701">
        <v>540</v>
      </c>
      <c r="J281" s="698">
        <v>520</v>
      </c>
      <c r="K281" s="702">
        <v>-0.33333333333333331</v>
      </c>
      <c r="L281" s="703">
        <v>8.6666666666666661</v>
      </c>
      <c r="M281" s="698" t="s">
        <v>1013</v>
      </c>
      <c r="N281" s="698" t="s">
        <v>1014</v>
      </c>
      <c r="O281" s="706">
        <v>31807</v>
      </c>
      <c r="P281" s="706">
        <v>31848</v>
      </c>
      <c r="Q281" s="704">
        <v>41</v>
      </c>
      <c r="R281" s="698" t="s">
        <v>701</v>
      </c>
      <c r="S281" s="705">
        <v>10</v>
      </c>
      <c r="T281" s="698" t="s">
        <v>728</v>
      </c>
      <c r="U281" s="698"/>
    </row>
    <row r="282" spans="1:21" ht="14.5">
      <c r="A282" s="697"/>
      <c r="B282" s="698" t="s">
        <v>702</v>
      </c>
      <c r="C282" s="698" t="s">
        <v>703</v>
      </c>
      <c r="D282" s="698" t="s">
        <v>1015</v>
      </c>
      <c r="E282" s="698" t="s">
        <v>278</v>
      </c>
      <c r="F282" s="700">
        <v>0.33333333333333298</v>
      </c>
      <c r="G282" s="700">
        <v>0.52083333333333337</v>
      </c>
      <c r="H282" s="700">
        <v>0.71180555555555547</v>
      </c>
      <c r="I282" s="701">
        <v>540</v>
      </c>
      <c r="J282" s="698">
        <v>274.99999999999983</v>
      </c>
      <c r="K282" s="702">
        <v>-4.4166666666666696</v>
      </c>
      <c r="L282" s="703">
        <v>4.5833333333333304</v>
      </c>
      <c r="M282" s="698" t="s">
        <v>920</v>
      </c>
      <c r="N282" s="698" t="s">
        <v>1016</v>
      </c>
      <c r="O282" s="706">
        <v>19106</v>
      </c>
      <c r="P282" s="706">
        <v>19131</v>
      </c>
      <c r="Q282" s="704">
        <v>25</v>
      </c>
      <c r="R282" s="698" t="s">
        <v>701</v>
      </c>
      <c r="S282" s="705">
        <v>5</v>
      </c>
      <c r="T282" s="698" t="s">
        <v>728</v>
      </c>
      <c r="U282" s="698"/>
    </row>
    <row r="283" spans="1:21" ht="14.5">
      <c r="A283" s="697"/>
      <c r="B283" s="698" t="s">
        <v>704</v>
      </c>
      <c r="C283" s="698" t="s">
        <v>705</v>
      </c>
      <c r="D283" s="698" t="s">
        <v>1017</v>
      </c>
      <c r="E283" s="698" t="s">
        <v>1018</v>
      </c>
      <c r="F283" s="700">
        <v>0.33333333333333298</v>
      </c>
      <c r="G283" s="700">
        <v>0.41666666666666669</v>
      </c>
      <c r="H283" s="700">
        <v>0.83333333333333337</v>
      </c>
      <c r="I283" s="701">
        <v>540</v>
      </c>
      <c r="J283" s="698">
        <v>600</v>
      </c>
      <c r="K283" s="702">
        <v>1</v>
      </c>
      <c r="L283" s="703">
        <v>10</v>
      </c>
      <c r="M283" s="698" t="s">
        <v>823</v>
      </c>
      <c r="N283" s="698" t="s">
        <v>1019</v>
      </c>
      <c r="O283" s="706">
        <v>42235</v>
      </c>
      <c r="P283" s="706">
        <v>42327</v>
      </c>
      <c r="Q283" s="704">
        <v>92</v>
      </c>
      <c r="R283" s="698" t="s">
        <v>701</v>
      </c>
      <c r="S283" s="705">
        <v>10</v>
      </c>
      <c r="T283" s="698" t="s">
        <v>846</v>
      </c>
      <c r="U283" s="698"/>
    </row>
    <row r="284" spans="1:21" ht="14.5">
      <c r="A284" s="697"/>
      <c r="B284" s="698" t="s">
        <v>706</v>
      </c>
      <c r="C284" s="698" t="s">
        <v>707</v>
      </c>
      <c r="D284" s="698" t="s">
        <v>1020</v>
      </c>
      <c r="E284" s="698" t="s">
        <v>1021</v>
      </c>
      <c r="F284" s="700">
        <v>0.33333333333333298</v>
      </c>
      <c r="G284" s="700">
        <v>0.45833333333333331</v>
      </c>
      <c r="H284" s="700">
        <v>0.70833333333333337</v>
      </c>
      <c r="I284" s="701">
        <v>540</v>
      </c>
      <c r="J284" s="698">
        <v>360.00000000000006</v>
      </c>
      <c r="K284" s="702">
        <v>-2.9999999999999991</v>
      </c>
      <c r="L284" s="703">
        <v>6.0000000000000009</v>
      </c>
      <c r="M284" s="698" t="s">
        <v>1022</v>
      </c>
      <c r="N284" s="698" t="s">
        <v>845</v>
      </c>
      <c r="O284" s="706">
        <v>22710</v>
      </c>
      <c r="P284" s="706">
        <v>22723</v>
      </c>
      <c r="Q284" s="704">
        <v>13</v>
      </c>
      <c r="R284" s="698" t="s">
        <v>701</v>
      </c>
      <c r="S284" s="705">
        <v>5</v>
      </c>
      <c r="T284" s="698" t="s">
        <v>806</v>
      </c>
      <c r="U284" s="698"/>
    </row>
    <row r="285" spans="1:21" ht="14.5">
      <c r="A285" s="697"/>
      <c r="B285" s="698" t="s">
        <v>708</v>
      </c>
      <c r="C285" s="698" t="s">
        <v>709</v>
      </c>
      <c r="D285" s="698" t="s">
        <v>955</v>
      </c>
      <c r="E285" s="698" t="s">
        <v>928</v>
      </c>
      <c r="F285" s="700">
        <v>0.33333333333333298</v>
      </c>
      <c r="G285" s="700">
        <v>0.31597222222222221</v>
      </c>
      <c r="H285" s="700">
        <v>0.77777777777777779</v>
      </c>
      <c r="I285" s="701">
        <v>540</v>
      </c>
      <c r="J285" s="698">
        <v>665</v>
      </c>
      <c r="K285" s="702">
        <v>2.0833333333333335</v>
      </c>
      <c r="L285" s="703">
        <v>11.083333333333334</v>
      </c>
      <c r="M285" s="698" t="s">
        <v>858</v>
      </c>
      <c r="N285" s="698" t="s">
        <v>711</v>
      </c>
      <c r="O285" s="706">
        <v>21562</v>
      </c>
      <c r="P285" s="706">
        <v>21577</v>
      </c>
      <c r="Q285" s="704">
        <v>15</v>
      </c>
      <c r="R285" s="698" t="s">
        <v>695</v>
      </c>
      <c r="S285" s="705"/>
      <c r="T285" s="698" t="s">
        <v>728</v>
      </c>
      <c r="U285" s="698" t="s">
        <v>1023</v>
      </c>
    </row>
    <row r="286" spans="1:21" ht="14.5">
      <c r="A286" s="697"/>
      <c r="B286" s="698" t="s">
        <v>712</v>
      </c>
      <c r="C286" s="698" t="s">
        <v>713</v>
      </c>
      <c r="D286" s="698" t="s">
        <v>788</v>
      </c>
      <c r="E286" s="698" t="s">
        <v>930</v>
      </c>
      <c r="F286" s="700">
        <v>0.33333333333333298</v>
      </c>
      <c r="G286" s="700"/>
      <c r="H286" s="700"/>
      <c r="I286" s="701">
        <v>540</v>
      </c>
      <c r="J286" s="698">
        <v>0</v>
      </c>
      <c r="K286" s="702">
        <v>-9</v>
      </c>
      <c r="L286" s="703">
        <v>0</v>
      </c>
      <c r="M286" s="698" t="s">
        <v>694</v>
      </c>
      <c r="N286" s="698" t="s">
        <v>714</v>
      </c>
      <c r="O286" s="706"/>
      <c r="P286" s="706"/>
      <c r="Q286" s="704">
        <v>0</v>
      </c>
      <c r="R286" s="698" t="s">
        <v>695</v>
      </c>
      <c r="S286" s="705"/>
      <c r="T286" s="698"/>
      <c r="U286" s="698"/>
    </row>
    <row r="287" spans="1:21" ht="14.5">
      <c r="A287" s="697"/>
      <c r="B287" s="698" t="s">
        <v>715</v>
      </c>
      <c r="C287" s="698" t="s">
        <v>716</v>
      </c>
      <c r="D287" s="707" t="s">
        <v>1024</v>
      </c>
      <c r="E287" s="698" t="s">
        <v>190</v>
      </c>
      <c r="F287" s="700">
        <v>0.33333333333333298</v>
      </c>
      <c r="G287" s="700">
        <v>0.33333333333333331</v>
      </c>
      <c r="H287" s="700">
        <v>0.90347222222222223</v>
      </c>
      <c r="I287" s="701">
        <v>540</v>
      </c>
      <c r="J287" s="698">
        <v>821.00000000000011</v>
      </c>
      <c r="K287" s="702">
        <v>4.6833333333333353</v>
      </c>
      <c r="L287" s="703">
        <v>13.683333333333335</v>
      </c>
      <c r="M287" s="698" t="s">
        <v>1025</v>
      </c>
      <c r="N287" s="698" t="s">
        <v>717</v>
      </c>
      <c r="O287" s="706">
        <v>40935</v>
      </c>
      <c r="P287" s="706">
        <v>41266</v>
      </c>
      <c r="Q287" s="704">
        <v>331</v>
      </c>
      <c r="R287" s="698" t="s">
        <v>695</v>
      </c>
      <c r="S287" s="705">
        <v>35</v>
      </c>
      <c r="T287" s="698" t="s">
        <v>806</v>
      </c>
      <c r="U287" s="698" t="s">
        <v>1026</v>
      </c>
    </row>
    <row r="288" spans="1:21" ht="14.5">
      <c r="A288" s="697"/>
      <c r="B288" s="707" t="s">
        <v>718</v>
      </c>
      <c r="C288" s="707" t="s">
        <v>719</v>
      </c>
      <c r="D288" s="707" t="s">
        <v>1027</v>
      </c>
      <c r="E288" s="707" t="s">
        <v>720</v>
      </c>
      <c r="F288" s="700">
        <v>0.33333333333333298</v>
      </c>
      <c r="G288" s="700">
        <v>0.5</v>
      </c>
      <c r="H288" s="700">
        <v>0.72222222222222221</v>
      </c>
      <c r="I288" s="701">
        <v>540</v>
      </c>
      <c r="J288" s="698">
        <v>320</v>
      </c>
      <c r="K288" s="702">
        <v>-3.6666666666666665</v>
      </c>
      <c r="L288" s="703">
        <v>5.333333333333333</v>
      </c>
      <c r="M288" s="698" t="s">
        <v>1028</v>
      </c>
      <c r="N288" s="707" t="s">
        <v>721</v>
      </c>
      <c r="O288" s="708">
        <v>19070</v>
      </c>
      <c r="P288" s="708">
        <v>19103</v>
      </c>
      <c r="Q288" s="704">
        <v>33</v>
      </c>
      <c r="R288" s="707" t="s">
        <v>701</v>
      </c>
      <c r="S288" s="709">
        <v>5</v>
      </c>
      <c r="T288" s="707" t="s">
        <v>728</v>
      </c>
      <c r="U288" s="707" t="s">
        <v>1029</v>
      </c>
    </row>
    <row r="289" spans="1:21" ht="14.5">
      <c r="A289" s="697"/>
      <c r="B289" s="707" t="s">
        <v>722</v>
      </c>
      <c r="C289" s="707" t="s">
        <v>723</v>
      </c>
      <c r="D289" s="707" t="s">
        <v>788</v>
      </c>
      <c r="E289" s="707" t="s">
        <v>725</v>
      </c>
      <c r="F289" s="700">
        <v>0.33333333333333298</v>
      </c>
      <c r="G289" s="700"/>
      <c r="H289" s="700"/>
      <c r="I289" s="701">
        <v>540</v>
      </c>
      <c r="J289" s="698">
        <v>0</v>
      </c>
      <c r="K289" s="702">
        <v>-9</v>
      </c>
      <c r="L289" s="703">
        <v>0</v>
      </c>
      <c r="M289" s="698" t="s">
        <v>694</v>
      </c>
      <c r="N289" s="707" t="s">
        <v>727</v>
      </c>
      <c r="O289" s="708"/>
      <c r="P289" s="708"/>
      <c r="Q289" s="704">
        <v>0</v>
      </c>
      <c r="R289" s="707" t="s">
        <v>695</v>
      </c>
      <c r="S289" s="709"/>
      <c r="T289" s="707"/>
      <c r="U289" s="707"/>
    </row>
    <row r="290" spans="1:21" ht="14.5">
      <c r="A290" s="697"/>
      <c r="B290" s="707" t="s">
        <v>730</v>
      </c>
      <c r="C290" s="707" t="s">
        <v>731</v>
      </c>
      <c r="D290" s="711" t="s">
        <v>1030</v>
      </c>
      <c r="E290" s="707" t="s">
        <v>732</v>
      </c>
      <c r="F290" s="700">
        <v>0.33333333333333298</v>
      </c>
      <c r="G290" s="700">
        <v>0.54166666666666663</v>
      </c>
      <c r="H290" s="700">
        <v>0.75</v>
      </c>
      <c r="I290" s="701">
        <v>540</v>
      </c>
      <c r="J290" s="698">
        <v>300.00000000000006</v>
      </c>
      <c r="K290" s="702">
        <v>-3.9999999999999991</v>
      </c>
      <c r="L290" s="703">
        <v>5.0000000000000009</v>
      </c>
      <c r="M290" s="698" t="s">
        <v>963</v>
      </c>
      <c r="N290" s="707" t="s">
        <v>733</v>
      </c>
      <c r="O290" s="708">
        <v>25447</v>
      </c>
      <c r="P290" s="708">
        <v>25455</v>
      </c>
      <c r="Q290" s="704">
        <v>8</v>
      </c>
      <c r="R290" s="707" t="s">
        <v>701</v>
      </c>
      <c r="S290" s="709"/>
      <c r="T290" s="707" t="s">
        <v>806</v>
      </c>
      <c r="U290" s="707" t="s">
        <v>1031</v>
      </c>
    </row>
    <row r="291" spans="1:21" ht="14.5">
      <c r="A291" s="697"/>
      <c r="B291" s="710" t="s">
        <v>734</v>
      </c>
      <c r="C291" s="711" t="s">
        <v>735</v>
      </c>
      <c r="D291" s="714" t="s">
        <v>1032</v>
      </c>
      <c r="E291" s="711" t="s">
        <v>89</v>
      </c>
      <c r="F291" s="712">
        <v>0.33333333333333298</v>
      </c>
      <c r="G291" s="712">
        <v>0.41666666666666669</v>
      </c>
      <c r="H291" s="712">
        <v>0.70833333333333337</v>
      </c>
      <c r="I291" s="713">
        <v>540</v>
      </c>
      <c r="J291" s="714">
        <v>420</v>
      </c>
      <c r="K291" s="715">
        <v>-2</v>
      </c>
      <c r="L291" s="716">
        <v>7</v>
      </c>
      <c r="M291" s="714" t="s">
        <v>989</v>
      </c>
      <c r="N291" s="711" t="s">
        <v>736</v>
      </c>
      <c r="O291" s="717">
        <v>32917</v>
      </c>
      <c r="P291" s="717">
        <v>32964</v>
      </c>
      <c r="Q291" s="704">
        <v>47</v>
      </c>
      <c r="R291" s="711" t="s">
        <v>701</v>
      </c>
      <c r="S291" s="718">
        <v>10</v>
      </c>
      <c r="T291" s="711" t="s">
        <v>728</v>
      </c>
      <c r="U291" s="711" t="s">
        <v>1033</v>
      </c>
    </row>
    <row r="292" spans="1:21" ht="14.5">
      <c r="A292" s="697"/>
      <c r="B292" s="714" t="s">
        <v>737</v>
      </c>
      <c r="C292" s="714" t="s">
        <v>738</v>
      </c>
      <c r="D292" s="707" t="s">
        <v>788</v>
      </c>
      <c r="E292" s="714"/>
      <c r="F292" s="712">
        <v>0.33333333333333298</v>
      </c>
      <c r="G292" s="712"/>
      <c r="H292" s="712"/>
      <c r="I292" s="713">
        <v>540</v>
      </c>
      <c r="J292" s="714">
        <v>0</v>
      </c>
      <c r="K292" s="715">
        <v>-9</v>
      </c>
      <c r="L292" s="716">
        <v>0</v>
      </c>
      <c r="M292" s="714" t="s">
        <v>694</v>
      </c>
      <c r="N292" s="714"/>
      <c r="O292" s="719"/>
      <c r="P292" s="719"/>
      <c r="Q292" s="704">
        <v>0</v>
      </c>
      <c r="R292" s="714" t="s">
        <v>695</v>
      </c>
      <c r="S292" s="720"/>
      <c r="T292" s="714"/>
      <c r="U292" s="714" t="s">
        <v>739</v>
      </c>
    </row>
    <row r="293" spans="1:21" ht="14.5">
      <c r="A293" s="697"/>
      <c r="B293" s="707"/>
      <c r="C293" s="707" t="s">
        <v>740</v>
      </c>
      <c r="D293" s="707" t="s">
        <v>54</v>
      </c>
      <c r="E293" s="707" t="s">
        <v>741</v>
      </c>
      <c r="F293" s="700">
        <v>0.33333333333333298</v>
      </c>
      <c r="G293" s="700"/>
      <c r="H293" s="700"/>
      <c r="I293" s="701">
        <v>540</v>
      </c>
      <c r="J293" s="698">
        <v>0</v>
      </c>
      <c r="K293" s="702">
        <v>-9</v>
      </c>
      <c r="L293" s="703">
        <v>0</v>
      </c>
      <c r="M293" s="698" t="s">
        <v>694</v>
      </c>
      <c r="N293" s="707"/>
      <c r="O293" s="708"/>
      <c r="P293" s="708"/>
      <c r="Q293" s="704">
        <v>0</v>
      </c>
      <c r="R293" s="707" t="s">
        <v>742</v>
      </c>
      <c r="S293" s="709"/>
      <c r="T293" s="707"/>
      <c r="U293" s="707"/>
    </row>
    <row r="294" spans="1:21" ht="14.5">
      <c r="A294" s="697"/>
      <c r="B294" s="707" t="s">
        <v>54</v>
      </c>
      <c r="C294" s="707" t="s">
        <v>743</v>
      </c>
      <c r="D294" s="698"/>
      <c r="E294" s="707" t="s">
        <v>744</v>
      </c>
      <c r="F294" s="700">
        <v>0.33333333333333298</v>
      </c>
      <c r="G294" s="700"/>
      <c r="H294" s="700"/>
      <c r="I294" s="701">
        <v>540</v>
      </c>
      <c r="J294" s="698">
        <v>0</v>
      </c>
      <c r="K294" s="702">
        <v>-9</v>
      </c>
      <c r="L294" s="703">
        <v>0</v>
      </c>
      <c r="M294" s="698" t="s">
        <v>694</v>
      </c>
      <c r="N294" s="707"/>
      <c r="O294" s="708"/>
      <c r="P294" s="708"/>
      <c r="Q294" s="704">
        <v>0</v>
      </c>
      <c r="R294" s="707" t="s">
        <v>742</v>
      </c>
      <c r="S294" s="709"/>
      <c r="T294" s="707"/>
      <c r="U294" s="707"/>
    </row>
    <row r="295" spans="1:21" ht="14.5">
      <c r="A295" s="697"/>
      <c r="B295" s="698" t="s">
        <v>745</v>
      </c>
      <c r="C295" s="698"/>
      <c r="D295" s="698"/>
      <c r="E295" s="698"/>
      <c r="F295" s="700">
        <v>0.33333333333333298</v>
      </c>
      <c r="G295" s="700"/>
      <c r="H295" s="700"/>
      <c r="I295" s="701">
        <v>540</v>
      </c>
      <c r="J295" s="698">
        <v>0</v>
      </c>
      <c r="K295" s="702">
        <v>-9</v>
      </c>
      <c r="L295" s="703">
        <v>0</v>
      </c>
      <c r="M295" s="698" t="s">
        <v>694</v>
      </c>
      <c r="N295" s="698"/>
      <c r="O295" s="706"/>
      <c r="P295" s="706"/>
      <c r="Q295" s="704">
        <v>0</v>
      </c>
      <c r="R295" s="698"/>
      <c r="S295" s="705"/>
      <c r="T295" s="698"/>
      <c r="U295" s="698"/>
    </row>
    <row r="296" spans="1:21" ht="14.5">
      <c r="A296" s="697"/>
      <c r="B296" s="698" t="s">
        <v>746</v>
      </c>
      <c r="C296" s="698" t="s">
        <v>747</v>
      </c>
      <c r="D296" s="707" t="s">
        <v>788</v>
      </c>
      <c r="E296" s="698" t="s">
        <v>190</v>
      </c>
      <c r="F296" s="700">
        <v>0.33333333333333298</v>
      </c>
      <c r="G296" s="700"/>
      <c r="H296" s="700"/>
      <c r="I296" s="701">
        <v>540</v>
      </c>
      <c r="J296" s="698">
        <v>0</v>
      </c>
      <c r="K296" s="702">
        <v>-9</v>
      </c>
      <c r="L296" s="703">
        <v>0</v>
      </c>
      <c r="M296" s="698" t="s">
        <v>694</v>
      </c>
      <c r="N296" s="698"/>
      <c r="O296" s="706"/>
      <c r="P296" s="706"/>
      <c r="Q296" s="704">
        <v>0</v>
      </c>
      <c r="R296" s="698" t="s">
        <v>701</v>
      </c>
      <c r="S296" s="705"/>
      <c r="T296" s="698"/>
      <c r="U296" s="698"/>
    </row>
    <row r="297" spans="1:21" ht="14.5">
      <c r="A297" s="697"/>
      <c r="B297" s="707" t="s">
        <v>748</v>
      </c>
      <c r="C297" s="707" t="s">
        <v>749</v>
      </c>
      <c r="D297" s="707" t="s">
        <v>788</v>
      </c>
      <c r="E297" s="707" t="s">
        <v>278</v>
      </c>
      <c r="F297" s="700">
        <v>0.33333333333333298</v>
      </c>
      <c r="G297" s="700"/>
      <c r="H297" s="700"/>
      <c r="I297" s="701">
        <v>540</v>
      </c>
      <c r="J297" s="698">
        <v>0</v>
      </c>
      <c r="K297" s="702">
        <v>-9</v>
      </c>
      <c r="L297" s="703">
        <v>0</v>
      </c>
      <c r="M297" s="698" t="s">
        <v>694</v>
      </c>
      <c r="N297" s="707"/>
      <c r="O297" s="708"/>
      <c r="P297" s="708"/>
      <c r="Q297" s="704">
        <v>0</v>
      </c>
      <c r="R297" s="707" t="s">
        <v>695</v>
      </c>
      <c r="S297" s="709"/>
      <c r="T297" s="707"/>
      <c r="U297" s="707"/>
    </row>
    <row r="298" spans="1:21" ht="14.5">
      <c r="A298" s="697"/>
      <c r="B298" s="707" t="s">
        <v>750</v>
      </c>
      <c r="C298" s="707"/>
      <c r="D298" s="707"/>
      <c r="E298" s="707"/>
      <c r="F298" s="700">
        <v>0.33333333333333298</v>
      </c>
      <c r="G298" s="700"/>
      <c r="H298" s="700"/>
      <c r="I298" s="701">
        <v>540</v>
      </c>
      <c r="J298" s="698">
        <v>0</v>
      </c>
      <c r="K298" s="702">
        <v>-9</v>
      </c>
      <c r="L298" s="703">
        <v>0</v>
      </c>
      <c r="M298" s="698" t="s">
        <v>694</v>
      </c>
      <c r="N298" s="707"/>
      <c r="O298" s="708"/>
      <c r="P298" s="708"/>
      <c r="Q298" s="704">
        <v>0</v>
      </c>
      <c r="R298" s="707"/>
      <c r="S298" s="709"/>
      <c r="T298" s="707"/>
      <c r="U298" s="707"/>
    </row>
    <row r="299" spans="1:21" ht="14.5">
      <c r="A299" s="697"/>
      <c r="B299" s="707" t="s">
        <v>751</v>
      </c>
      <c r="C299" s="707" t="s">
        <v>752</v>
      </c>
      <c r="D299" s="711" t="s">
        <v>1034</v>
      </c>
      <c r="E299" s="707" t="s">
        <v>725</v>
      </c>
      <c r="F299" s="700">
        <v>0.33333333333333298</v>
      </c>
      <c r="G299" s="700">
        <v>0.30833333333333335</v>
      </c>
      <c r="H299" s="700">
        <v>0.81388888888888899</v>
      </c>
      <c r="I299" s="701">
        <v>540</v>
      </c>
      <c r="J299" s="698">
        <v>728.00000000000011</v>
      </c>
      <c r="K299" s="702">
        <v>3.1333333333333351</v>
      </c>
      <c r="L299" s="703">
        <v>12.133333333333335</v>
      </c>
      <c r="M299" s="698" t="s">
        <v>1035</v>
      </c>
      <c r="N299" s="707" t="s">
        <v>799</v>
      </c>
      <c r="O299" s="708">
        <v>9129</v>
      </c>
      <c r="P299" s="708">
        <v>9199</v>
      </c>
      <c r="Q299" s="704">
        <v>70</v>
      </c>
      <c r="R299" s="707" t="s">
        <v>701</v>
      </c>
      <c r="S299" s="709">
        <v>20</v>
      </c>
      <c r="T299" s="707" t="s">
        <v>763</v>
      </c>
      <c r="U299" s="707"/>
    </row>
    <row r="300" spans="1:21">
      <c r="A300" s="697"/>
      <c r="B300" s="710" t="s">
        <v>754</v>
      </c>
      <c r="C300" s="711" t="s">
        <v>755</v>
      </c>
      <c r="D300" s="721" t="s">
        <v>788</v>
      </c>
      <c r="E300" s="711" t="s">
        <v>190</v>
      </c>
      <c r="F300" s="712">
        <v>0.33333333333333298</v>
      </c>
      <c r="G300" s="712"/>
      <c r="H300" s="712"/>
      <c r="I300" s="713">
        <v>540</v>
      </c>
      <c r="J300" s="714">
        <v>0</v>
      </c>
      <c r="K300" s="715">
        <v>-9</v>
      </c>
      <c r="L300" s="716">
        <v>0</v>
      </c>
      <c r="M300" s="714" t="s">
        <v>694</v>
      </c>
      <c r="N300" s="711"/>
      <c r="O300" s="717"/>
      <c r="P300" s="717"/>
      <c r="Q300" s="704">
        <v>0</v>
      </c>
      <c r="R300" s="711" t="s">
        <v>701</v>
      </c>
      <c r="S300" s="718"/>
      <c r="T300" s="711"/>
      <c r="U300" s="711"/>
    </row>
    <row r="301" spans="1:21">
      <c r="A301" s="697"/>
      <c r="B301" s="721" t="s">
        <v>54</v>
      </c>
      <c r="C301" s="721"/>
      <c r="D301" s="699" t="s">
        <v>54</v>
      </c>
      <c r="E301" s="721"/>
      <c r="F301" s="721"/>
      <c r="G301" s="721"/>
      <c r="H301" s="721"/>
      <c r="I301" s="721"/>
      <c r="J301" s="721"/>
      <c r="K301" s="721"/>
      <c r="L301" s="721"/>
      <c r="M301" s="721" t="s">
        <v>54</v>
      </c>
      <c r="N301" s="721"/>
      <c r="O301" s="722"/>
      <c r="P301" s="722"/>
      <c r="Q301" s="704"/>
      <c r="R301" s="721"/>
      <c r="S301" s="723"/>
      <c r="T301" s="721"/>
      <c r="U301" s="721"/>
    </row>
    <row r="302" spans="1:21" ht="14.5">
      <c r="A302" s="697">
        <v>46248</v>
      </c>
      <c r="B302" s="698" t="s">
        <v>691</v>
      </c>
      <c r="C302" s="698" t="s">
        <v>692</v>
      </c>
      <c r="D302" s="698" t="s">
        <v>788</v>
      </c>
      <c r="E302" s="698" t="s">
        <v>756</v>
      </c>
      <c r="F302" s="700">
        <v>0.33333333333333298</v>
      </c>
      <c r="G302" s="700"/>
      <c r="H302" s="700"/>
      <c r="I302" s="701">
        <v>540</v>
      </c>
      <c r="J302" s="698">
        <v>0</v>
      </c>
      <c r="K302" s="702">
        <v>-9</v>
      </c>
      <c r="L302" s="703">
        <v>0</v>
      </c>
      <c r="M302" s="698" t="s">
        <v>694</v>
      </c>
      <c r="N302" s="698"/>
      <c r="O302" s="706"/>
      <c r="P302" s="706"/>
      <c r="Q302" s="704">
        <v>0</v>
      </c>
      <c r="R302" s="698" t="s">
        <v>695</v>
      </c>
      <c r="S302" s="705"/>
      <c r="T302" s="698"/>
      <c r="U302" s="698"/>
    </row>
    <row r="303" spans="1:21" ht="14.5">
      <c r="A303" s="697"/>
      <c r="B303" s="698" t="s">
        <v>696</v>
      </c>
      <c r="C303" s="698" t="s">
        <v>697</v>
      </c>
      <c r="D303" s="698" t="s">
        <v>1036</v>
      </c>
      <c r="E303" s="698" t="s">
        <v>693</v>
      </c>
      <c r="F303" s="700">
        <v>0.33333333333333298</v>
      </c>
      <c r="G303" s="700">
        <v>0.64583333333333337</v>
      </c>
      <c r="H303" s="700">
        <v>0.73402777777777783</v>
      </c>
      <c r="I303" s="701">
        <v>540</v>
      </c>
      <c r="J303" s="698">
        <v>127.00000000000003</v>
      </c>
      <c r="K303" s="702">
        <v>-6.8833333333333337</v>
      </c>
      <c r="L303" s="703">
        <v>2.1166666666666671</v>
      </c>
      <c r="M303" s="698" t="s">
        <v>1037</v>
      </c>
      <c r="N303" s="698" t="s">
        <v>1038</v>
      </c>
      <c r="O303" s="706">
        <v>28666</v>
      </c>
      <c r="P303" s="706">
        <v>28674</v>
      </c>
      <c r="Q303" s="704">
        <v>8</v>
      </c>
      <c r="R303" s="698" t="s">
        <v>695</v>
      </c>
      <c r="S303" s="705"/>
      <c r="T303" s="698" t="s">
        <v>763</v>
      </c>
      <c r="U303" s="698"/>
    </row>
    <row r="304" spans="1:21" ht="14.5">
      <c r="A304" s="697"/>
      <c r="B304" s="698" t="s">
        <v>698</v>
      </c>
      <c r="C304" s="698" t="s">
        <v>699</v>
      </c>
      <c r="D304" s="698" t="s">
        <v>1039</v>
      </c>
      <c r="E304" s="698" t="s">
        <v>843</v>
      </c>
      <c r="F304" s="700">
        <v>0.33333333333333298</v>
      </c>
      <c r="G304" s="700">
        <v>0.60416666666666663</v>
      </c>
      <c r="H304" s="700">
        <v>0.73541666666666661</v>
      </c>
      <c r="I304" s="701">
        <v>540</v>
      </c>
      <c r="J304" s="698">
        <v>188.99999999999997</v>
      </c>
      <c r="K304" s="702">
        <v>-5.85</v>
      </c>
      <c r="L304" s="703">
        <v>3.1499999999999995</v>
      </c>
      <c r="M304" s="698" t="s">
        <v>1040</v>
      </c>
      <c r="N304" s="698" t="s">
        <v>845</v>
      </c>
      <c r="O304" s="706">
        <v>31848</v>
      </c>
      <c r="P304" s="706">
        <v>31861</v>
      </c>
      <c r="Q304" s="704">
        <v>13</v>
      </c>
      <c r="R304" s="698" t="s">
        <v>701</v>
      </c>
      <c r="S304" s="705">
        <v>5</v>
      </c>
      <c r="T304" s="698" t="s">
        <v>806</v>
      </c>
      <c r="U304" s="698"/>
    </row>
    <row r="305" spans="1:21" ht="14.5">
      <c r="A305" s="697"/>
      <c r="B305" s="698" t="s">
        <v>702</v>
      </c>
      <c r="C305" s="698" t="s">
        <v>703</v>
      </c>
      <c r="D305" s="698" t="s">
        <v>1041</v>
      </c>
      <c r="E305" s="698" t="s">
        <v>777</v>
      </c>
      <c r="F305" s="700">
        <v>0.33333333333333298</v>
      </c>
      <c r="G305" s="700">
        <v>0.39583333333333331</v>
      </c>
      <c r="H305" s="700">
        <v>0.71527777777777779</v>
      </c>
      <c r="I305" s="701">
        <v>540</v>
      </c>
      <c r="J305" s="698">
        <v>460.00000000000006</v>
      </c>
      <c r="K305" s="702">
        <v>-1.3333333333333324</v>
      </c>
      <c r="L305" s="703">
        <v>7.6666666666666679</v>
      </c>
      <c r="M305" s="698" t="s">
        <v>1042</v>
      </c>
      <c r="N305" s="698" t="s">
        <v>896</v>
      </c>
      <c r="O305" s="706">
        <v>19131</v>
      </c>
      <c r="P305" s="706">
        <v>19150</v>
      </c>
      <c r="Q305" s="704">
        <v>19</v>
      </c>
      <c r="R305" s="698" t="s">
        <v>701</v>
      </c>
      <c r="S305" s="705">
        <v>5</v>
      </c>
      <c r="T305" s="698" t="s">
        <v>806</v>
      </c>
      <c r="U305" s="698"/>
    </row>
    <row r="306" spans="1:21" ht="14.5">
      <c r="A306" s="697"/>
      <c r="B306" s="698" t="s">
        <v>704</v>
      </c>
      <c r="C306" s="698" t="s">
        <v>705</v>
      </c>
      <c r="D306" s="698" t="s">
        <v>1043</v>
      </c>
      <c r="E306" s="698" t="s">
        <v>777</v>
      </c>
      <c r="F306" s="700">
        <v>0.33333333333333298</v>
      </c>
      <c r="G306" s="700">
        <v>0.6875</v>
      </c>
      <c r="H306" s="700">
        <v>0.79166666666666663</v>
      </c>
      <c r="I306" s="701">
        <v>540</v>
      </c>
      <c r="J306" s="698">
        <v>149.99999999999994</v>
      </c>
      <c r="K306" s="702">
        <v>-6.5000000000000009</v>
      </c>
      <c r="L306" s="703">
        <v>2.4999999999999991</v>
      </c>
      <c r="M306" s="698" t="s">
        <v>1044</v>
      </c>
      <c r="N306" s="698" t="s">
        <v>1045</v>
      </c>
      <c r="O306" s="706">
        <v>42327</v>
      </c>
      <c r="P306" s="706">
        <v>42402</v>
      </c>
      <c r="Q306" s="704">
        <v>75</v>
      </c>
      <c r="R306" s="698" t="s">
        <v>701</v>
      </c>
      <c r="S306" s="705">
        <v>10</v>
      </c>
      <c r="T306" s="698" t="s">
        <v>728</v>
      </c>
      <c r="U306" s="698"/>
    </row>
    <row r="307" spans="1:21" ht="14.5">
      <c r="A307" s="697"/>
      <c r="B307" s="698" t="s">
        <v>706</v>
      </c>
      <c r="C307" s="698" t="s">
        <v>707</v>
      </c>
      <c r="D307" s="698" t="s">
        <v>1046</v>
      </c>
      <c r="E307" s="698" t="s">
        <v>700</v>
      </c>
      <c r="F307" s="700">
        <v>0.33333333333333298</v>
      </c>
      <c r="G307" s="700">
        <v>0.54166666666666663</v>
      </c>
      <c r="H307" s="700">
        <v>0.75</v>
      </c>
      <c r="I307" s="701">
        <v>540</v>
      </c>
      <c r="J307" s="698">
        <v>300.00000000000006</v>
      </c>
      <c r="K307" s="702">
        <v>-3.9999999999999991</v>
      </c>
      <c r="L307" s="703">
        <v>5.0000000000000009</v>
      </c>
      <c r="M307" s="698" t="s">
        <v>963</v>
      </c>
      <c r="N307" s="698" t="s">
        <v>1047</v>
      </c>
      <c r="O307" s="706">
        <v>22723</v>
      </c>
      <c r="P307" s="706">
        <v>22746</v>
      </c>
      <c r="Q307" s="704">
        <v>23</v>
      </c>
      <c r="R307" s="698" t="s">
        <v>701</v>
      </c>
      <c r="S307" s="705">
        <v>5</v>
      </c>
      <c r="T307" s="698" t="s">
        <v>806</v>
      </c>
      <c r="U307" s="698"/>
    </row>
    <row r="308" spans="1:21" ht="14.5">
      <c r="A308" s="697"/>
      <c r="B308" s="698" t="s">
        <v>708</v>
      </c>
      <c r="C308" s="698" t="s">
        <v>709</v>
      </c>
      <c r="D308" s="698" t="s">
        <v>788</v>
      </c>
      <c r="E308" s="698" t="s">
        <v>928</v>
      </c>
      <c r="F308" s="700">
        <v>0.33333333333333298</v>
      </c>
      <c r="G308" s="700"/>
      <c r="H308" s="700"/>
      <c r="I308" s="701">
        <v>540</v>
      </c>
      <c r="J308" s="698">
        <v>0</v>
      </c>
      <c r="K308" s="702">
        <v>-9</v>
      </c>
      <c r="L308" s="703">
        <v>0</v>
      </c>
      <c r="M308" s="698" t="s">
        <v>694</v>
      </c>
      <c r="N308" s="698" t="s">
        <v>711</v>
      </c>
      <c r="O308" s="706"/>
      <c r="P308" s="706"/>
      <c r="Q308" s="704">
        <v>0</v>
      </c>
      <c r="R308" s="698" t="s">
        <v>695</v>
      </c>
      <c r="S308" s="705"/>
      <c r="T308" s="698"/>
      <c r="U308" s="698"/>
    </row>
    <row r="309" spans="1:21" ht="14.5">
      <c r="A309" s="697"/>
      <c r="B309" s="698" t="s">
        <v>712</v>
      </c>
      <c r="C309" s="698" t="s">
        <v>713</v>
      </c>
      <c r="D309" s="698" t="s">
        <v>1048</v>
      </c>
      <c r="E309" s="698" t="s">
        <v>930</v>
      </c>
      <c r="F309" s="700">
        <v>0.33333333333333298</v>
      </c>
      <c r="G309" s="700">
        <v>0.375</v>
      </c>
      <c r="H309" s="700">
        <v>0.88888888888888884</v>
      </c>
      <c r="I309" s="701">
        <v>540</v>
      </c>
      <c r="J309" s="698">
        <v>739.99999999999989</v>
      </c>
      <c r="K309" s="702">
        <v>3.3333333333333313</v>
      </c>
      <c r="L309" s="703">
        <v>12.333333333333332</v>
      </c>
      <c r="M309" s="698" t="s">
        <v>1049</v>
      </c>
      <c r="N309" s="698" t="s">
        <v>714</v>
      </c>
      <c r="O309" s="706">
        <v>44788</v>
      </c>
      <c r="P309" s="706">
        <v>45109</v>
      </c>
      <c r="Q309" s="704">
        <v>321</v>
      </c>
      <c r="R309" s="698" t="s">
        <v>695</v>
      </c>
      <c r="S309" s="705">
        <v>22</v>
      </c>
      <c r="T309" s="698" t="s">
        <v>806</v>
      </c>
      <c r="U309" s="698" t="s">
        <v>785</v>
      </c>
    </row>
    <row r="310" spans="1:21" ht="14.5">
      <c r="A310" s="697"/>
      <c r="B310" s="698" t="s">
        <v>715</v>
      </c>
      <c r="C310" s="698" t="s">
        <v>716</v>
      </c>
      <c r="D310" s="707" t="s">
        <v>788</v>
      </c>
      <c r="E310" s="698" t="s">
        <v>190</v>
      </c>
      <c r="F310" s="700">
        <v>0.33333333333333298</v>
      </c>
      <c r="G310" s="700"/>
      <c r="H310" s="700"/>
      <c r="I310" s="701">
        <v>540</v>
      </c>
      <c r="J310" s="698">
        <v>0</v>
      </c>
      <c r="K310" s="702">
        <v>-9</v>
      </c>
      <c r="L310" s="703">
        <v>0</v>
      </c>
      <c r="M310" s="698" t="s">
        <v>694</v>
      </c>
      <c r="N310" s="698" t="s">
        <v>717</v>
      </c>
      <c r="O310" s="706"/>
      <c r="P310" s="706"/>
      <c r="Q310" s="704">
        <v>0</v>
      </c>
      <c r="R310" s="698" t="s">
        <v>695</v>
      </c>
      <c r="S310" s="705"/>
      <c r="T310" s="698"/>
      <c r="U310" s="698"/>
    </row>
    <row r="311" spans="1:21" ht="14.5">
      <c r="A311" s="697"/>
      <c r="B311" s="707" t="s">
        <v>718</v>
      </c>
      <c r="C311" s="707" t="s">
        <v>719</v>
      </c>
      <c r="D311" s="707" t="s">
        <v>788</v>
      </c>
      <c r="E311" s="707" t="s">
        <v>720</v>
      </c>
      <c r="F311" s="700">
        <v>0.33333333333333298</v>
      </c>
      <c r="G311" s="700"/>
      <c r="H311" s="700"/>
      <c r="I311" s="701">
        <v>540</v>
      </c>
      <c r="J311" s="698">
        <v>0</v>
      </c>
      <c r="K311" s="702">
        <v>-9</v>
      </c>
      <c r="L311" s="703">
        <v>0</v>
      </c>
      <c r="M311" s="698" t="s">
        <v>694</v>
      </c>
      <c r="N311" s="707" t="s">
        <v>721</v>
      </c>
      <c r="O311" s="708"/>
      <c r="P311" s="708"/>
      <c r="Q311" s="704">
        <v>0</v>
      </c>
      <c r="R311" s="707" t="s">
        <v>701</v>
      </c>
      <c r="S311" s="709"/>
      <c r="T311" s="707"/>
      <c r="U311" s="707"/>
    </row>
    <row r="312" spans="1:21" ht="14.5">
      <c r="A312" s="697"/>
      <c r="B312" s="707" t="s">
        <v>722</v>
      </c>
      <c r="C312" s="707" t="s">
        <v>723</v>
      </c>
      <c r="D312" s="707" t="s">
        <v>788</v>
      </c>
      <c r="E312" s="707" t="s">
        <v>725</v>
      </c>
      <c r="F312" s="700">
        <v>0.33333333333333298</v>
      </c>
      <c r="G312" s="700"/>
      <c r="H312" s="700"/>
      <c r="I312" s="701">
        <v>540</v>
      </c>
      <c r="J312" s="698">
        <v>0</v>
      </c>
      <c r="K312" s="702">
        <v>-9</v>
      </c>
      <c r="L312" s="703">
        <v>0</v>
      </c>
      <c r="M312" s="698" t="s">
        <v>694</v>
      </c>
      <c r="N312" s="707" t="s">
        <v>727</v>
      </c>
      <c r="O312" s="708"/>
      <c r="P312" s="708"/>
      <c r="Q312" s="704">
        <v>0</v>
      </c>
      <c r="R312" s="707" t="s">
        <v>695</v>
      </c>
      <c r="S312" s="709"/>
      <c r="T312" s="707"/>
      <c r="U312" s="707"/>
    </row>
    <row r="313" spans="1:21" ht="14.5">
      <c r="A313" s="697"/>
      <c r="B313" s="707" t="s">
        <v>730</v>
      </c>
      <c r="C313" s="707" t="s">
        <v>731</v>
      </c>
      <c r="D313" s="711" t="s">
        <v>788</v>
      </c>
      <c r="E313" s="707" t="s">
        <v>732</v>
      </c>
      <c r="F313" s="700">
        <v>0.33333333333333298</v>
      </c>
      <c r="G313" s="700"/>
      <c r="H313" s="700"/>
      <c r="I313" s="701">
        <v>540</v>
      </c>
      <c r="J313" s="698">
        <v>0</v>
      </c>
      <c r="K313" s="702">
        <v>-9</v>
      </c>
      <c r="L313" s="703">
        <v>0</v>
      </c>
      <c r="M313" s="698" t="s">
        <v>694</v>
      </c>
      <c r="N313" s="707" t="s">
        <v>733</v>
      </c>
      <c r="O313" s="708"/>
      <c r="P313" s="708"/>
      <c r="Q313" s="704">
        <v>0</v>
      </c>
      <c r="R313" s="707" t="s">
        <v>701</v>
      </c>
      <c r="S313" s="709"/>
      <c r="T313" s="707"/>
      <c r="U313" s="707"/>
    </row>
    <row r="314" spans="1:21" ht="14.5">
      <c r="A314" s="697"/>
      <c r="B314" s="710" t="s">
        <v>734</v>
      </c>
      <c r="C314" s="711" t="s">
        <v>735</v>
      </c>
      <c r="D314" s="714" t="s">
        <v>1050</v>
      </c>
      <c r="E314" s="711" t="s">
        <v>89</v>
      </c>
      <c r="F314" s="712">
        <v>0.33333333333333298</v>
      </c>
      <c r="G314" s="712">
        <v>0.4375</v>
      </c>
      <c r="H314" s="712">
        <v>0.875</v>
      </c>
      <c r="I314" s="713">
        <v>540</v>
      </c>
      <c r="J314" s="714">
        <v>630</v>
      </c>
      <c r="K314" s="715">
        <v>1.5</v>
      </c>
      <c r="L314" s="716">
        <v>10.5</v>
      </c>
      <c r="M314" s="714" t="s">
        <v>726</v>
      </c>
      <c r="N314" s="711" t="s">
        <v>736</v>
      </c>
      <c r="O314" s="717">
        <v>32964</v>
      </c>
      <c r="P314" s="717">
        <v>33053</v>
      </c>
      <c r="Q314" s="704">
        <v>89</v>
      </c>
      <c r="R314" s="711" t="s">
        <v>701</v>
      </c>
      <c r="S314" s="718">
        <v>10</v>
      </c>
      <c r="T314" s="711" t="s">
        <v>763</v>
      </c>
      <c r="U314" s="711" t="s">
        <v>1051</v>
      </c>
    </row>
    <row r="315" spans="1:21" ht="14.5">
      <c r="A315" s="697"/>
      <c r="B315" s="714" t="s">
        <v>737</v>
      </c>
      <c r="C315" s="714" t="s">
        <v>738</v>
      </c>
      <c r="D315" s="707" t="s">
        <v>1052</v>
      </c>
      <c r="E315" s="714" t="s">
        <v>976</v>
      </c>
      <c r="F315" s="712">
        <v>0.33333333333333298</v>
      </c>
      <c r="G315" s="712">
        <v>0.5625</v>
      </c>
      <c r="H315" s="712">
        <v>0.79166666666666663</v>
      </c>
      <c r="I315" s="713">
        <v>540</v>
      </c>
      <c r="J315" s="714">
        <v>329.99999999999994</v>
      </c>
      <c r="K315" s="715">
        <v>-3.5000000000000009</v>
      </c>
      <c r="L315" s="716">
        <v>5.4999999999999991</v>
      </c>
      <c r="M315" s="714" t="s">
        <v>775</v>
      </c>
      <c r="N315" s="714" t="s">
        <v>977</v>
      </c>
      <c r="O315" s="719">
        <v>6775</v>
      </c>
      <c r="P315" s="719">
        <v>6795</v>
      </c>
      <c r="Q315" s="704">
        <v>20</v>
      </c>
      <c r="R315" s="714" t="s">
        <v>695</v>
      </c>
      <c r="S315" s="720">
        <v>6</v>
      </c>
      <c r="T315" s="714" t="s">
        <v>763</v>
      </c>
      <c r="U315" s="714" t="s">
        <v>739</v>
      </c>
    </row>
    <row r="316" spans="1:21" ht="14.5">
      <c r="A316" s="697"/>
      <c r="B316" s="707"/>
      <c r="C316" s="707" t="s">
        <v>740</v>
      </c>
      <c r="D316" s="707" t="s">
        <v>54</v>
      </c>
      <c r="E316" s="707" t="s">
        <v>741</v>
      </c>
      <c r="F316" s="700">
        <v>0.33333333333333298</v>
      </c>
      <c r="G316" s="700"/>
      <c r="H316" s="700"/>
      <c r="I316" s="701">
        <v>540</v>
      </c>
      <c r="J316" s="698">
        <v>0</v>
      </c>
      <c r="K316" s="702">
        <v>-9</v>
      </c>
      <c r="L316" s="703">
        <v>0</v>
      </c>
      <c r="M316" s="698" t="s">
        <v>694</v>
      </c>
      <c r="N316" s="707"/>
      <c r="O316" s="708"/>
      <c r="P316" s="708"/>
      <c r="Q316" s="704">
        <v>0</v>
      </c>
      <c r="R316" s="707" t="s">
        <v>742</v>
      </c>
      <c r="S316" s="709"/>
      <c r="T316" s="707"/>
      <c r="U316" s="707"/>
    </row>
    <row r="317" spans="1:21" ht="14.5">
      <c r="A317" s="697"/>
      <c r="B317" s="707" t="s">
        <v>54</v>
      </c>
      <c r="C317" s="707" t="s">
        <v>743</v>
      </c>
      <c r="D317" s="698"/>
      <c r="E317" s="707" t="s">
        <v>744</v>
      </c>
      <c r="F317" s="700">
        <v>0.33333333333333298</v>
      </c>
      <c r="G317" s="700"/>
      <c r="H317" s="700"/>
      <c r="I317" s="701">
        <v>540</v>
      </c>
      <c r="J317" s="698">
        <v>0</v>
      </c>
      <c r="K317" s="702">
        <v>-9</v>
      </c>
      <c r="L317" s="703">
        <v>0</v>
      </c>
      <c r="M317" s="698" t="s">
        <v>694</v>
      </c>
      <c r="N317" s="707"/>
      <c r="O317" s="708"/>
      <c r="P317" s="708"/>
      <c r="Q317" s="704">
        <v>0</v>
      </c>
      <c r="R317" s="707" t="s">
        <v>742</v>
      </c>
      <c r="S317" s="709"/>
      <c r="T317" s="707"/>
      <c r="U317" s="707"/>
    </row>
    <row r="318" spans="1:21" ht="14.5">
      <c r="A318" s="697"/>
      <c r="B318" s="698" t="s">
        <v>745</v>
      </c>
      <c r="C318" s="698"/>
      <c r="D318" s="698"/>
      <c r="E318" s="698"/>
      <c r="F318" s="700">
        <v>0.33333333333333298</v>
      </c>
      <c r="G318" s="700"/>
      <c r="H318" s="700"/>
      <c r="I318" s="701">
        <v>540</v>
      </c>
      <c r="J318" s="698">
        <v>0</v>
      </c>
      <c r="K318" s="702">
        <v>-9</v>
      </c>
      <c r="L318" s="703">
        <v>0</v>
      </c>
      <c r="M318" s="698" t="s">
        <v>694</v>
      </c>
      <c r="N318" s="698"/>
      <c r="O318" s="706"/>
      <c r="P318" s="706"/>
      <c r="Q318" s="704">
        <v>0</v>
      </c>
      <c r="R318" s="698"/>
      <c r="S318" s="705"/>
      <c r="T318" s="698"/>
      <c r="U318" s="698"/>
    </row>
    <row r="319" spans="1:21" ht="14.5">
      <c r="A319" s="697"/>
      <c r="B319" s="698" t="s">
        <v>746</v>
      </c>
      <c r="C319" s="698" t="s">
        <v>747</v>
      </c>
      <c r="D319" s="707" t="s">
        <v>1053</v>
      </c>
      <c r="E319" s="698" t="s">
        <v>190</v>
      </c>
      <c r="F319" s="700">
        <v>0.33333333333333298</v>
      </c>
      <c r="G319" s="700">
        <v>0.41666666666666669</v>
      </c>
      <c r="H319" s="700">
        <v>1.2534722222222221</v>
      </c>
      <c r="I319" s="701">
        <v>540</v>
      </c>
      <c r="J319" s="698">
        <v>1204.9999999999998</v>
      </c>
      <c r="K319" s="702">
        <v>11.08333333333333</v>
      </c>
      <c r="L319" s="703">
        <v>20.083333333333329</v>
      </c>
      <c r="M319" s="698" t="s">
        <v>1054</v>
      </c>
      <c r="N319" s="698" t="s">
        <v>1055</v>
      </c>
      <c r="O319" s="706">
        <v>39519</v>
      </c>
      <c r="P319" s="706">
        <v>39564</v>
      </c>
      <c r="Q319" s="704">
        <v>45</v>
      </c>
      <c r="R319" s="698" t="s">
        <v>701</v>
      </c>
      <c r="S319" s="705">
        <v>5</v>
      </c>
      <c r="T319" s="698" t="s">
        <v>728</v>
      </c>
      <c r="U319" s="698"/>
    </row>
    <row r="320" spans="1:21" ht="14.5">
      <c r="A320" s="697"/>
      <c r="B320" s="707" t="s">
        <v>748</v>
      </c>
      <c r="C320" s="707" t="s">
        <v>749</v>
      </c>
      <c r="D320" s="707" t="s">
        <v>788</v>
      </c>
      <c r="E320" s="707" t="s">
        <v>278</v>
      </c>
      <c r="F320" s="700">
        <v>0.33333333333333298</v>
      </c>
      <c r="G320" s="700"/>
      <c r="H320" s="700"/>
      <c r="I320" s="701">
        <v>540</v>
      </c>
      <c r="J320" s="698">
        <v>0</v>
      </c>
      <c r="K320" s="702">
        <v>-9</v>
      </c>
      <c r="L320" s="703">
        <v>0</v>
      </c>
      <c r="M320" s="698" t="s">
        <v>694</v>
      </c>
      <c r="N320" s="707"/>
      <c r="O320" s="708"/>
      <c r="P320" s="708"/>
      <c r="Q320" s="704">
        <v>0</v>
      </c>
      <c r="R320" s="707" t="s">
        <v>695</v>
      </c>
      <c r="S320" s="709"/>
      <c r="T320" s="707"/>
      <c r="U320" s="707"/>
    </row>
    <row r="321" spans="1:21" ht="14.5">
      <c r="A321" s="697"/>
      <c r="B321" s="707" t="s">
        <v>750</v>
      </c>
      <c r="C321" s="707"/>
      <c r="D321" s="707"/>
      <c r="E321" s="707"/>
      <c r="F321" s="700">
        <v>0.33333333333333298</v>
      </c>
      <c r="G321" s="700"/>
      <c r="H321" s="700"/>
      <c r="I321" s="701">
        <v>540</v>
      </c>
      <c r="J321" s="698">
        <v>0</v>
      </c>
      <c r="K321" s="702">
        <v>-9</v>
      </c>
      <c r="L321" s="703">
        <v>0</v>
      </c>
      <c r="M321" s="698" t="s">
        <v>694</v>
      </c>
      <c r="N321" s="707"/>
      <c r="O321" s="708"/>
      <c r="P321" s="708"/>
      <c r="Q321" s="704">
        <v>0</v>
      </c>
      <c r="R321" s="707"/>
      <c r="S321" s="709"/>
      <c r="T321" s="707"/>
      <c r="U321" s="707"/>
    </row>
    <row r="322" spans="1:21" ht="14.5">
      <c r="A322" s="697"/>
      <c r="B322" s="707" t="s">
        <v>751</v>
      </c>
      <c r="C322" s="707" t="s">
        <v>752</v>
      </c>
      <c r="D322" s="711" t="s">
        <v>1056</v>
      </c>
      <c r="E322" s="707" t="s">
        <v>725</v>
      </c>
      <c r="F322" s="700">
        <v>0.33333333333333298</v>
      </c>
      <c r="G322" s="700">
        <v>0.25</v>
      </c>
      <c r="H322" s="700">
        <v>0.88055555555555554</v>
      </c>
      <c r="I322" s="701">
        <v>540</v>
      </c>
      <c r="J322" s="698">
        <v>908</v>
      </c>
      <c r="K322" s="702">
        <v>6.1333333333333337</v>
      </c>
      <c r="L322" s="703">
        <v>15.133333333333333</v>
      </c>
      <c r="M322" s="698" t="s">
        <v>1057</v>
      </c>
      <c r="N322" s="707" t="s">
        <v>799</v>
      </c>
      <c r="O322" s="708">
        <v>9199</v>
      </c>
      <c r="P322" s="708">
        <v>9277</v>
      </c>
      <c r="Q322" s="704">
        <v>78</v>
      </c>
      <c r="R322" s="707" t="s">
        <v>701</v>
      </c>
      <c r="S322" s="709"/>
      <c r="T322" s="707" t="s">
        <v>763</v>
      </c>
      <c r="U322" s="707"/>
    </row>
    <row r="323" spans="1:21">
      <c r="A323" s="697"/>
      <c r="B323" s="710" t="s">
        <v>754</v>
      </c>
      <c r="C323" s="711" t="s">
        <v>755</v>
      </c>
      <c r="D323" s="721" t="s">
        <v>1058</v>
      </c>
      <c r="E323" s="711" t="s">
        <v>190</v>
      </c>
      <c r="F323" s="712">
        <v>0.33333333333333298</v>
      </c>
      <c r="G323" s="712">
        <v>0.41666666666666669</v>
      </c>
      <c r="H323" s="712">
        <v>0.70833333333333337</v>
      </c>
      <c r="I323" s="713">
        <v>540</v>
      </c>
      <c r="J323" s="714">
        <v>420</v>
      </c>
      <c r="K323" s="715">
        <v>-2</v>
      </c>
      <c r="L323" s="716">
        <v>7</v>
      </c>
      <c r="M323" s="714" t="s">
        <v>989</v>
      </c>
      <c r="N323" s="711" t="s">
        <v>1059</v>
      </c>
      <c r="O323" s="717">
        <v>22573</v>
      </c>
      <c r="P323" s="717">
        <v>22588</v>
      </c>
      <c r="Q323" s="704">
        <v>15</v>
      </c>
      <c r="R323" s="711" t="s">
        <v>701</v>
      </c>
      <c r="S323" s="718"/>
      <c r="T323" s="711" t="s">
        <v>763</v>
      </c>
      <c r="U323" s="711"/>
    </row>
    <row r="324" spans="1:21">
      <c r="A324" s="697"/>
      <c r="B324" s="721" t="s">
        <v>54</v>
      </c>
      <c r="C324" s="721"/>
      <c r="D324" s="699" t="s">
        <v>54</v>
      </c>
      <c r="E324" s="721"/>
      <c r="F324" s="721"/>
      <c r="G324" s="721"/>
      <c r="H324" s="721"/>
      <c r="I324" s="721"/>
      <c r="J324" s="721"/>
      <c r="K324" s="721"/>
      <c r="L324" s="721"/>
      <c r="M324" s="721" t="s">
        <v>54</v>
      </c>
      <c r="N324" s="721"/>
      <c r="O324" s="722"/>
      <c r="P324" s="722"/>
      <c r="Q324" s="704"/>
      <c r="R324" s="721"/>
      <c r="S324" s="723"/>
      <c r="T324" s="721"/>
      <c r="U324" s="721"/>
    </row>
    <row r="325" spans="1:21" ht="14.5">
      <c r="A325" s="697">
        <v>46249</v>
      </c>
      <c r="B325" s="698" t="s">
        <v>691</v>
      </c>
      <c r="C325" s="698" t="s">
        <v>692</v>
      </c>
      <c r="D325" s="698"/>
      <c r="E325" s="698" t="s">
        <v>756</v>
      </c>
      <c r="F325" s="700">
        <v>0.33333333333333298</v>
      </c>
      <c r="G325" s="700"/>
      <c r="H325" s="700"/>
      <c r="I325" s="701">
        <v>540</v>
      </c>
      <c r="J325" s="698">
        <v>0</v>
      </c>
      <c r="K325" s="702">
        <v>-9</v>
      </c>
      <c r="L325" s="703">
        <v>0</v>
      </c>
      <c r="M325" s="698" t="s">
        <v>694</v>
      </c>
      <c r="N325" s="698"/>
      <c r="O325" s="706"/>
      <c r="P325" s="706"/>
      <c r="Q325" s="704">
        <v>0</v>
      </c>
      <c r="R325" s="698" t="s">
        <v>695</v>
      </c>
      <c r="S325" s="705"/>
      <c r="T325" s="698"/>
      <c r="U325" s="698"/>
    </row>
    <row r="326" spans="1:21" ht="14.5">
      <c r="A326" s="697"/>
      <c r="B326" s="698" t="s">
        <v>696</v>
      </c>
      <c r="C326" s="698" t="s">
        <v>697</v>
      </c>
      <c r="D326" s="698"/>
      <c r="E326" s="698" t="s">
        <v>756</v>
      </c>
      <c r="F326" s="700">
        <v>0.33333333333333298</v>
      </c>
      <c r="G326" s="700"/>
      <c r="H326" s="700"/>
      <c r="I326" s="701">
        <v>540</v>
      </c>
      <c r="J326" s="698">
        <v>0</v>
      </c>
      <c r="K326" s="702">
        <v>-9</v>
      </c>
      <c r="L326" s="703">
        <v>0</v>
      </c>
      <c r="M326" s="698" t="s">
        <v>694</v>
      </c>
      <c r="N326" s="698"/>
      <c r="O326" s="706"/>
      <c r="P326" s="706"/>
      <c r="Q326" s="704">
        <v>0</v>
      </c>
      <c r="R326" s="698" t="s">
        <v>695</v>
      </c>
      <c r="S326" s="705"/>
      <c r="T326" s="698"/>
      <c r="U326" s="698"/>
    </row>
    <row r="327" spans="1:21" ht="14.5">
      <c r="A327" s="697"/>
      <c r="B327" s="698" t="s">
        <v>698</v>
      </c>
      <c r="C327" s="698" t="s">
        <v>699</v>
      </c>
      <c r="D327" s="698"/>
      <c r="E327" s="698" t="s">
        <v>700</v>
      </c>
      <c r="F327" s="700">
        <v>0.33333333333333298</v>
      </c>
      <c r="G327" s="700"/>
      <c r="H327" s="700"/>
      <c r="I327" s="701">
        <v>540</v>
      </c>
      <c r="J327" s="698">
        <v>0</v>
      </c>
      <c r="K327" s="702">
        <v>-9</v>
      </c>
      <c r="L327" s="703">
        <v>0</v>
      </c>
      <c r="M327" s="698" t="s">
        <v>694</v>
      </c>
      <c r="N327" s="698"/>
      <c r="O327" s="706"/>
      <c r="P327" s="706"/>
      <c r="Q327" s="704">
        <v>0</v>
      </c>
      <c r="R327" s="698" t="s">
        <v>701</v>
      </c>
      <c r="S327" s="705"/>
      <c r="T327" s="698"/>
      <c r="U327" s="698"/>
    </row>
    <row r="328" spans="1:21" ht="14.5">
      <c r="A328" s="697"/>
      <c r="B328" s="698" t="s">
        <v>702</v>
      </c>
      <c r="C328" s="698" t="s">
        <v>703</v>
      </c>
      <c r="D328" s="698"/>
      <c r="E328" s="698" t="s">
        <v>700</v>
      </c>
      <c r="F328" s="700">
        <v>0.33333333333333298</v>
      </c>
      <c r="G328" s="700"/>
      <c r="H328" s="700"/>
      <c r="I328" s="701">
        <v>540</v>
      </c>
      <c r="J328" s="698">
        <v>0</v>
      </c>
      <c r="K328" s="702">
        <v>-9</v>
      </c>
      <c r="L328" s="703">
        <v>0</v>
      </c>
      <c r="M328" s="698" t="s">
        <v>694</v>
      </c>
      <c r="N328" s="698"/>
      <c r="O328" s="706"/>
      <c r="P328" s="706"/>
      <c r="Q328" s="704">
        <v>0</v>
      </c>
      <c r="R328" s="698" t="s">
        <v>701</v>
      </c>
      <c r="S328" s="705"/>
      <c r="T328" s="698"/>
      <c r="U328" s="698"/>
    </row>
    <row r="329" spans="1:21" ht="14.5">
      <c r="A329" s="697"/>
      <c r="B329" s="698" t="s">
        <v>704</v>
      </c>
      <c r="C329" s="698" t="s">
        <v>705</v>
      </c>
      <c r="D329" s="698"/>
      <c r="E329" s="698" t="s">
        <v>1060</v>
      </c>
      <c r="F329" s="700">
        <v>0.33333333333333298</v>
      </c>
      <c r="G329" s="700"/>
      <c r="H329" s="700"/>
      <c r="I329" s="701">
        <v>540</v>
      </c>
      <c r="J329" s="698">
        <v>0</v>
      </c>
      <c r="K329" s="702">
        <v>-9</v>
      </c>
      <c r="L329" s="703">
        <v>0</v>
      </c>
      <c r="M329" s="698" t="s">
        <v>694</v>
      </c>
      <c r="N329" s="698"/>
      <c r="O329" s="706"/>
      <c r="P329" s="706"/>
      <c r="Q329" s="704">
        <v>0</v>
      </c>
      <c r="R329" s="698" t="s">
        <v>701</v>
      </c>
      <c r="S329" s="705"/>
      <c r="T329" s="698"/>
      <c r="U329" s="698"/>
    </row>
    <row r="330" spans="1:21" ht="14.5">
      <c r="A330" s="697"/>
      <c r="B330" s="698" t="s">
        <v>706</v>
      </c>
      <c r="C330" s="698" t="s">
        <v>707</v>
      </c>
      <c r="D330" s="698"/>
      <c r="E330" s="698" t="s">
        <v>1060</v>
      </c>
      <c r="F330" s="700">
        <v>0.33333333333333298</v>
      </c>
      <c r="G330" s="700"/>
      <c r="H330" s="700"/>
      <c r="I330" s="701">
        <v>540</v>
      </c>
      <c r="J330" s="698">
        <v>0</v>
      </c>
      <c r="K330" s="702">
        <v>-9</v>
      </c>
      <c r="L330" s="703">
        <v>0</v>
      </c>
      <c r="M330" s="698" t="s">
        <v>694</v>
      </c>
      <c r="N330" s="698"/>
      <c r="O330" s="706"/>
      <c r="P330" s="706"/>
      <c r="Q330" s="704">
        <v>0</v>
      </c>
      <c r="R330" s="698" t="s">
        <v>701</v>
      </c>
      <c r="S330" s="705"/>
      <c r="T330" s="698"/>
      <c r="U330" s="698"/>
    </row>
    <row r="331" spans="1:21" ht="14.5">
      <c r="A331" s="697"/>
      <c r="B331" s="698" t="s">
        <v>708</v>
      </c>
      <c r="C331" s="698" t="s">
        <v>709</v>
      </c>
      <c r="D331" s="698"/>
      <c r="E331" s="698" t="s">
        <v>928</v>
      </c>
      <c r="F331" s="700">
        <v>0.33333333333333298</v>
      </c>
      <c r="G331" s="700"/>
      <c r="H331" s="700"/>
      <c r="I331" s="701">
        <v>540</v>
      </c>
      <c r="J331" s="698">
        <v>0</v>
      </c>
      <c r="K331" s="702">
        <v>-9</v>
      </c>
      <c r="L331" s="703">
        <v>0</v>
      </c>
      <c r="M331" s="698" t="s">
        <v>694</v>
      </c>
      <c r="N331" s="698" t="s">
        <v>711</v>
      </c>
      <c r="O331" s="706"/>
      <c r="P331" s="706"/>
      <c r="Q331" s="704">
        <v>0</v>
      </c>
      <c r="R331" s="698" t="s">
        <v>695</v>
      </c>
      <c r="S331" s="705"/>
      <c r="T331" s="698"/>
      <c r="U331" s="698"/>
    </row>
    <row r="332" spans="1:21" ht="14.5">
      <c r="A332" s="697"/>
      <c r="B332" s="698" t="s">
        <v>712</v>
      </c>
      <c r="C332" s="698" t="s">
        <v>713</v>
      </c>
      <c r="D332" s="698" t="s">
        <v>1061</v>
      </c>
      <c r="E332" s="698" t="s">
        <v>930</v>
      </c>
      <c r="F332" s="700">
        <v>0.33333333333333298</v>
      </c>
      <c r="G332" s="700">
        <v>0.52083333333333337</v>
      </c>
      <c r="H332" s="700">
        <v>0.78472222222222221</v>
      </c>
      <c r="I332" s="701">
        <v>540</v>
      </c>
      <c r="J332" s="698">
        <v>379.99999999999994</v>
      </c>
      <c r="K332" s="702">
        <v>-2.6666666666666674</v>
      </c>
      <c r="L332" s="703">
        <v>6.3333333333333321</v>
      </c>
      <c r="M332" s="698" t="s">
        <v>825</v>
      </c>
      <c r="N332" s="698" t="s">
        <v>714</v>
      </c>
      <c r="O332" s="706"/>
      <c r="P332" s="706"/>
      <c r="Q332" s="704">
        <v>0</v>
      </c>
      <c r="R332" s="698" t="s">
        <v>695</v>
      </c>
      <c r="S332" s="705"/>
      <c r="T332" s="698" t="s">
        <v>763</v>
      </c>
      <c r="U332" s="698" t="s">
        <v>1062</v>
      </c>
    </row>
    <row r="333" spans="1:21" ht="14.5">
      <c r="A333" s="697"/>
      <c r="B333" s="698" t="s">
        <v>715</v>
      </c>
      <c r="C333" s="698" t="s">
        <v>716</v>
      </c>
      <c r="D333" s="707"/>
      <c r="E333" s="698" t="s">
        <v>190</v>
      </c>
      <c r="F333" s="700">
        <v>0.33333333333333298</v>
      </c>
      <c r="G333" s="700"/>
      <c r="H333" s="700"/>
      <c r="I333" s="701">
        <v>540</v>
      </c>
      <c r="J333" s="698">
        <v>0</v>
      </c>
      <c r="K333" s="702">
        <v>-9</v>
      </c>
      <c r="L333" s="703">
        <v>0</v>
      </c>
      <c r="M333" s="698" t="s">
        <v>694</v>
      </c>
      <c r="N333" s="698" t="s">
        <v>717</v>
      </c>
      <c r="O333" s="706"/>
      <c r="P333" s="706"/>
      <c r="Q333" s="704">
        <v>0</v>
      </c>
      <c r="R333" s="698" t="s">
        <v>695</v>
      </c>
      <c r="S333" s="705"/>
      <c r="T333" s="698"/>
      <c r="U333" s="698"/>
    </row>
    <row r="334" spans="1:21" ht="14.5">
      <c r="A334" s="697"/>
      <c r="B334" s="707" t="s">
        <v>718</v>
      </c>
      <c r="C334" s="707" t="s">
        <v>719</v>
      </c>
      <c r="D334" s="707" t="s">
        <v>1063</v>
      </c>
      <c r="E334" s="707" t="s">
        <v>278</v>
      </c>
      <c r="F334" s="700">
        <v>0.33333333333333298</v>
      </c>
      <c r="G334" s="700">
        <v>0.57291666666666663</v>
      </c>
      <c r="H334" s="700">
        <v>0.84444444444444444</v>
      </c>
      <c r="I334" s="701">
        <v>540</v>
      </c>
      <c r="J334" s="698">
        <v>391.00000000000006</v>
      </c>
      <c r="K334" s="702">
        <v>-2.4833333333333325</v>
      </c>
      <c r="L334" s="703">
        <v>6.5166666666666675</v>
      </c>
      <c r="M334" s="698" t="s">
        <v>1064</v>
      </c>
      <c r="N334" s="707" t="s">
        <v>1065</v>
      </c>
      <c r="O334" s="708">
        <v>42402</v>
      </c>
      <c r="P334" s="708">
        <v>42441</v>
      </c>
      <c r="Q334" s="704">
        <v>39</v>
      </c>
      <c r="R334" s="707" t="s">
        <v>701</v>
      </c>
      <c r="S334" s="709"/>
      <c r="T334" s="707" t="s">
        <v>728</v>
      </c>
      <c r="U334" s="707" t="s">
        <v>1066</v>
      </c>
    </row>
    <row r="335" spans="1:21" ht="14.5">
      <c r="A335" s="697"/>
      <c r="B335" s="707" t="s">
        <v>722</v>
      </c>
      <c r="C335" s="707" t="s">
        <v>723</v>
      </c>
      <c r="D335" s="707" t="s">
        <v>54</v>
      </c>
      <c r="E335" s="707" t="s">
        <v>725</v>
      </c>
      <c r="F335" s="700">
        <v>0.33333333333333298</v>
      </c>
      <c r="G335" s="700"/>
      <c r="H335" s="700"/>
      <c r="I335" s="701">
        <v>540</v>
      </c>
      <c r="J335" s="698">
        <v>0</v>
      </c>
      <c r="K335" s="702">
        <v>-9</v>
      </c>
      <c r="L335" s="703">
        <v>0</v>
      </c>
      <c r="M335" s="698" t="s">
        <v>694</v>
      </c>
      <c r="N335" s="707" t="s">
        <v>727</v>
      </c>
      <c r="O335" s="708"/>
      <c r="P335" s="708"/>
      <c r="Q335" s="704">
        <v>0</v>
      </c>
      <c r="R335" s="707" t="s">
        <v>695</v>
      </c>
      <c r="S335" s="709"/>
      <c r="T335" s="707"/>
      <c r="U335" s="707"/>
    </row>
    <row r="336" spans="1:21" ht="14.5">
      <c r="A336" s="697"/>
      <c r="B336" s="707" t="s">
        <v>730</v>
      </c>
      <c r="C336" s="707" t="s">
        <v>731</v>
      </c>
      <c r="D336" s="711" t="s">
        <v>1067</v>
      </c>
      <c r="E336" s="707" t="s">
        <v>693</v>
      </c>
      <c r="F336" s="700">
        <v>0.33333333333333298</v>
      </c>
      <c r="G336" s="700">
        <v>0.375</v>
      </c>
      <c r="H336" s="700">
        <v>1.0416666666666667</v>
      </c>
      <c r="I336" s="701">
        <v>540</v>
      </c>
      <c r="J336" s="698">
        <v>960.00000000000011</v>
      </c>
      <c r="K336" s="702">
        <v>7.0000000000000018</v>
      </c>
      <c r="L336" s="703">
        <v>16.000000000000004</v>
      </c>
      <c r="M336" s="698" t="s">
        <v>1068</v>
      </c>
      <c r="N336" s="707" t="s">
        <v>733</v>
      </c>
      <c r="O336" s="708">
        <v>32849</v>
      </c>
      <c r="P336" s="708">
        <v>33296</v>
      </c>
      <c r="Q336" s="704">
        <v>447</v>
      </c>
      <c r="R336" s="707" t="s">
        <v>695</v>
      </c>
      <c r="S336" s="709">
        <v>22</v>
      </c>
      <c r="T336" s="707" t="s">
        <v>806</v>
      </c>
      <c r="U336" s="707" t="s">
        <v>1069</v>
      </c>
    </row>
    <row r="337" spans="1:21" ht="14.5">
      <c r="A337" s="697"/>
      <c r="B337" s="710" t="s">
        <v>734</v>
      </c>
      <c r="C337" s="711" t="s">
        <v>735</v>
      </c>
      <c r="D337" s="714"/>
      <c r="E337" s="711" t="s">
        <v>89</v>
      </c>
      <c r="F337" s="712">
        <v>0.33333333333333298</v>
      </c>
      <c r="G337" s="712"/>
      <c r="H337" s="712"/>
      <c r="I337" s="713">
        <v>540</v>
      </c>
      <c r="J337" s="714">
        <v>0</v>
      </c>
      <c r="K337" s="715">
        <v>-9</v>
      </c>
      <c r="L337" s="716">
        <v>0</v>
      </c>
      <c r="M337" s="714" t="s">
        <v>694</v>
      </c>
      <c r="N337" s="711" t="s">
        <v>736</v>
      </c>
      <c r="O337" s="717"/>
      <c r="P337" s="717"/>
      <c r="Q337" s="704">
        <v>0</v>
      </c>
      <c r="R337" s="711" t="s">
        <v>701</v>
      </c>
      <c r="S337" s="718"/>
      <c r="T337" s="711"/>
      <c r="U337" s="711"/>
    </row>
    <row r="338" spans="1:21" ht="14.5">
      <c r="A338" s="697"/>
      <c r="B338" s="714" t="s">
        <v>737</v>
      </c>
      <c r="C338" s="714" t="s">
        <v>738</v>
      </c>
      <c r="D338" s="707" t="s">
        <v>1070</v>
      </c>
      <c r="E338" s="714" t="s">
        <v>693</v>
      </c>
      <c r="F338" s="712">
        <v>0.33333333333333298</v>
      </c>
      <c r="G338" s="712">
        <v>0.52083333333333337</v>
      </c>
      <c r="H338" s="712">
        <v>0.94166666666666676</v>
      </c>
      <c r="I338" s="713">
        <v>540</v>
      </c>
      <c r="J338" s="714">
        <v>606.00000000000011</v>
      </c>
      <c r="K338" s="715">
        <v>1.1000000000000019</v>
      </c>
      <c r="L338" s="716">
        <v>10.100000000000001</v>
      </c>
      <c r="M338" s="714" t="s">
        <v>1071</v>
      </c>
      <c r="N338" s="714" t="s">
        <v>835</v>
      </c>
      <c r="O338" s="719">
        <v>31861</v>
      </c>
      <c r="P338" s="719">
        <v>31975</v>
      </c>
      <c r="Q338" s="704">
        <v>114</v>
      </c>
      <c r="R338" s="714" t="s">
        <v>701</v>
      </c>
      <c r="S338" s="720">
        <v>20</v>
      </c>
      <c r="T338" s="714" t="s">
        <v>728</v>
      </c>
      <c r="U338" s="714" t="s">
        <v>1072</v>
      </c>
    </row>
    <row r="339" spans="1:21" ht="14.5">
      <c r="A339" s="697"/>
      <c r="B339" s="707"/>
      <c r="C339" s="707" t="s">
        <v>740</v>
      </c>
      <c r="D339" s="707" t="s">
        <v>54</v>
      </c>
      <c r="E339" s="707" t="s">
        <v>741</v>
      </c>
      <c r="F339" s="700">
        <v>0.33333333333333298</v>
      </c>
      <c r="G339" s="700"/>
      <c r="H339" s="700"/>
      <c r="I339" s="701">
        <v>540</v>
      </c>
      <c r="J339" s="698">
        <v>0</v>
      </c>
      <c r="K339" s="702">
        <v>-9</v>
      </c>
      <c r="L339" s="703">
        <v>0</v>
      </c>
      <c r="M339" s="698" t="s">
        <v>694</v>
      </c>
      <c r="N339" s="707"/>
      <c r="O339" s="708"/>
      <c r="P339" s="708"/>
      <c r="Q339" s="704">
        <v>0</v>
      </c>
      <c r="R339" s="707" t="s">
        <v>742</v>
      </c>
      <c r="S339" s="709"/>
      <c r="T339" s="707"/>
      <c r="U339" s="707"/>
    </row>
    <row r="340" spans="1:21" ht="14.5">
      <c r="A340" s="697"/>
      <c r="B340" s="707" t="s">
        <v>54</v>
      </c>
      <c r="C340" s="707" t="s">
        <v>743</v>
      </c>
      <c r="D340" s="698"/>
      <c r="E340" s="707" t="s">
        <v>744</v>
      </c>
      <c r="F340" s="700">
        <v>0.33333333333333298</v>
      </c>
      <c r="G340" s="700"/>
      <c r="H340" s="700"/>
      <c r="I340" s="701">
        <v>540</v>
      </c>
      <c r="J340" s="698">
        <v>0</v>
      </c>
      <c r="K340" s="702">
        <v>-9</v>
      </c>
      <c r="L340" s="703">
        <v>0</v>
      </c>
      <c r="M340" s="698" t="s">
        <v>694</v>
      </c>
      <c r="N340" s="707"/>
      <c r="O340" s="708"/>
      <c r="P340" s="708"/>
      <c r="Q340" s="704">
        <v>0</v>
      </c>
      <c r="R340" s="707" t="s">
        <v>742</v>
      </c>
      <c r="S340" s="709"/>
      <c r="T340" s="707"/>
      <c r="U340" s="707"/>
    </row>
    <row r="341" spans="1:21" ht="14.5">
      <c r="A341" s="697"/>
      <c r="B341" s="698" t="s">
        <v>745</v>
      </c>
      <c r="C341" s="698"/>
      <c r="D341" s="698"/>
      <c r="E341" s="698"/>
      <c r="F341" s="700">
        <v>0.33333333333333298</v>
      </c>
      <c r="G341" s="700"/>
      <c r="H341" s="700"/>
      <c r="I341" s="701">
        <v>540</v>
      </c>
      <c r="J341" s="698">
        <v>0</v>
      </c>
      <c r="K341" s="702">
        <v>-9</v>
      </c>
      <c r="L341" s="703">
        <v>0</v>
      </c>
      <c r="M341" s="698" t="s">
        <v>694</v>
      </c>
      <c r="N341" s="698"/>
      <c r="O341" s="706"/>
      <c r="P341" s="706"/>
      <c r="Q341" s="704">
        <v>0</v>
      </c>
      <c r="R341" s="698"/>
      <c r="S341" s="705"/>
      <c r="T341" s="698"/>
      <c r="U341" s="698"/>
    </row>
    <row r="342" spans="1:21" ht="14.5">
      <c r="A342" s="697"/>
      <c r="B342" s="698" t="s">
        <v>746</v>
      </c>
      <c r="C342" s="698" t="s">
        <v>747</v>
      </c>
      <c r="D342" s="707"/>
      <c r="E342" s="698" t="s">
        <v>190</v>
      </c>
      <c r="F342" s="700">
        <v>0.33333333333333298</v>
      </c>
      <c r="G342" s="700"/>
      <c r="H342" s="700"/>
      <c r="I342" s="701">
        <v>540</v>
      </c>
      <c r="J342" s="698">
        <v>0</v>
      </c>
      <c r="K342" s="702">
        <v>-9</v>
      </c>
      <c r="L342" s="703">
        <v>0</v>
      </c>
      <c r="M342" s="698" t="s">
        <v>694</v>
      </c>
      <c r="N342" s="698"/>
      <c r="O342" s="706"/>
      <c r="P342" s="706"/>
      <c r="Q342" s="704">
        <v>0</v>
      </c>
      <c r="R342" s="698" t="s">
        <v>701</v>
      </c>
      <c r="S342" s="705"/>
      <c r="T342" s="698"/>
      <c r="U342" s="698"/>
    </row>
    <row r="343" spans="1:21" ht="14.5">
      <c r="A343" s="697"/>
      <c r="B343" s="707" t="s">
        <v>748</v>
      </c>
      <c r="C343" s="707" t="s">
        <v>749</v>
      </c>
      <c r="D343" s="707"/>
      <c r="E343" s="707" t="s">
        <v>278</v>
      </c>
      <c r="F343" s="700">
        <v>0.33333333333333298</v>
      </c>
      <c r="G343" s="700"/>
      <c r="H343" s="700"/>
      <c r="I343" s="701">
        <v>540</v>
      </c>
      <c r="J343" s="698">
        <v>0</v>
      </c>
      <c r="K343" s="702">
        <v>-9</v>
      </c>
      <c r="L343" s="703">
        <v>0</v>
      </c>
      <c r="M343" s="698" t="s">
        <v>694</v>
      </c>
      <c r="N343" s="707"/>
      <c r="O343" s="708"/>
      <c r="P343" s="708"/>
      <c r="Q343" s="704">
        <v>0</v>
      </c>
      <c r="R343" s="707" t="s">
        <v>695</v>
      </c>
      <c r="S343" s="709"/>
      <c r="T343" s="707"/>
      <c r="U343" s="707"/>
    </row>
    <row r="344" spans="1:21" ht="14.5">
      <c r="A344" s="697"/>
      <c r="B344" s="707" t="s">
        <v>750</v>
      </c>
      <c r="C344" s="707"/>
      <c r="D344" s="707"/>
      <c r="E344" s="707"/>
      <c r="F344" s="700">
        <v>0.33333333333333298</v>
      </c>
      <c r="G344" s="700"/>
      <c r="H344" s="700"/>
      <c r="I344" s="701">
        <v>540</v>
      </c>
      <c r="J344" s="698">
        <v>0</v>
      </c>
      <c r="K344" s="702">
        <v>-9</v>
      </c>
      <c r="L344" s="703">
        <v>0</v>
      </c>
      <c r="M344" s="698" t="s">
        <v>694</v>
      </c>
      <c r="N344" s="707"/>
      <c r="O344" s="708"/>
      <c r="P344" s="708"/>
      <c r="Q344" s="704">
        <v>0</v>
      </c>
      <c r="R344" s="707"/>
      <c r="S344" s="709"/>
      <c r="T344" s="707"/>
      <c r="U344" s="707"/>
    </row>
    <row r="345" spans="1:21" ht="14.5">
      <c r="A345" s="697"/>
      <c r="B345" s="707" t="s">
        <v>751</v>
      </c>
      <c r="C345" s="707" t="s">
        <v>752</v>
      </c>
      <c r="D345" s="711" t="s">
        <v>54</v>
      </c>
      <c r="E345" s="707" t="s">
        <v>725</v>
      </c>
      <c r="F345" s="700">
        <v>0.33333333333333298</v>
      </c>
      <c r="G345" s="700"/>
      <c r="H345" s="700"/>
      <c r="I345" s="701">
        <v>540</v>
      </c>
      <c r="J345" s="698">
        <v>0</v>
      </c>
      <c r="K345" s="702">
        <v>-9</v>
      </c>
      <c r="L345" s="703">
        <v>0</v>
      </c>
      <c r="M345" s="698" t="s">
        <v>694</v>
      </c>
      <c r="N345" s="707"/>
      <c r="O345" s="708"/>
      <c r="P345" s="708"/>
      <c r="Q345" s="704">
        <v>0</v>
      </c>
      <c r="R345" s="707" t="s">
        <v>701</v>
      </c>
      <c r="S345" s="709"/>
      <c r="T345" s="707"/>
      <c r="U345" s="707"/>
    </row>
    <row r="346" spans="1:21">
      <c r="A346" s="697"/>
      <c r="B346" s="710" t="s">
        <v>754</v>
      </c>
      <c r="C346" s="711" t="s">
        <v>755</v>
      </c>
      <c r="D346" s="721" t="s">
        <v>54</v>
      </c>
      <c r="E346" s="711" t="s">
        <v>190</v>
      </c>
      <c r="F346" s="712">
        <v>0.33333333333333298</v>
      </c>
      <c r="G346" s="712"/>
      <c r="H346" s="712"/>
      <c r="I346" s="713">
        <v>540</v>
      </c>
      <c r="J346" s="714">
        <v>0</v>
      </c>
      <c r="K346" s="715">
        <v>-9</v>
      </c>
      <c r="L346" s="716">
        <v>0</v>
      </c>
      <c r="M346" s="714" t="s">
        <v>694</v>
      </c>
      <c r="N346" s="711"/>
      <c r="O346" s="717"/>
      <c r="P346" s="717"/>
      <c r="Q346" s="704">
        <v>0</v>
      </c>
      <c r="R346" s="711" t="s">
        <v>701</v>
      </c>
      <c r="S346" s="718"/>
      <c r="T346" s="711"/>
      <c r="U346" s="711"/>
    </row>
    <row r="347" spans="1:21">
      <c r="A347" s="697"/>
      <c r="B347" s="721" t="s">
        <v>54</v>
      </c>
      <c r="C347" s="721"/>
      <c r="D347" s="699" t="s">
        <v>54</v>
      </c>
      <c r="E347" s="721"/>
      <c r="F347" s="721"/>
      <c r="G347" s="721"/>
      <c r="H347" s="721"/>
      <c r="I347" s="721"/>
      <c r="J347" s="721"/>
      <c r="K347" s="721"/>
      <c r="L347" s="721"/>
      <c r="M347" s="721" t="s">
        <v>54</v>
      </c>
      <c r="N347" s="721"/>
      <c r="O347" s="722"/>
      <c r="P347" s="722"/>
      <c r="Q347" s="704"/>
      <c r="R347" s="721"/>
      <c r="S347" s="723"/>
      <c r="T347" s="721"/>
      <c r="U347" s="721"/>
    </row>
    <row r="348" spans="1:21" ht="14.5">
      <c r="A348" s="697">
        <v>46252</v>
      </c>
      <c r="B348" s="698" t="s">
        <v>691</v>
      </c>
      <c r="C348" s="698" t="s">
        <v>692</v>
      </c>
      <c r="D348" s="698" t="s">
        <v>969</v>
      </c>
      <c r="E348" s="698" t="s">
        <v>693</v>
      </c>
      <c r="F348" s="700">
        <v>0.33333333333333298</v>
      </c>
      <c r="G348" s="700">
        <v>0.20694444444444446</v>
      </c>
      <c r="H348" s="700">
        <v>0.88194444444444453</v>
      </c>
      <c r="I348" s="701">
        <v>540</v>
      </c>
      <c r="J348" s="698">
        <v>972.00000000000011</v>
      </c>
      <c r="K348" s="702">
        <v>7.200000000000002</v>
      </c>
      <c r="L348" s="703">
        <v>16.200000000000003</v>
      </c>
      <c r="M348" s="698" t="s">
        <v>1073</v>
      </c>
      <c r="N348" s="698" t="s">
        <v>1074</v>
      </c>
      <c r="O348" s="706">
        <v>33296</v>
      </c>
      <c r="P348" s="706">
        <v>33660</v>
      </c>
      <c r="Q348" s="704">
        <v>364</v>
      </c>
      <c r="R348" s="698" t="s">
        <v>695</v>
      </c>
      <c r="S348" s="705">
        <v>27</v>
      </c>
      <c r="T348" s="698" t="s">
        <v>806</v>
      </c>
      <c r="U348" s="698"/>
    </row>
    <row r="349" spans="1:21" ht="14.5">
      <c r="A349" s="697"/>
      <c r="B349" s="698" t="s">
        <v>696</v>
      </c>
      <c r="C349" s="698" t="s">
        <v>697</v>
      </c>
      <c r="D349" s="698" t="s">
        <v>788</v>
      </c>
      <c r="E349" s="698" t="s">
        <v>756</v>
      </c>
      <c r="F349" s="700">
        <v>0.33333333333333298</v>
      </c>
      <c r="G349" s="700"/>
      <c r="H349" s="700"/>
      <c r="I349" s="701">
        <v>540</v>
      </c>
      <c r="J349" s="698">
        <v>0</v>
      </c>
      <c r="K349" s="702">
        <v>-9</v>
      </c>
      <c r="L349" s="703">
        <v>0</v>
      </c>
      <c r="M349" s="698" t="s">
        <v>694</v>
      </c>
      <c r="N349" s="698"/>
      <c r="O349" s="706"/>
      <c r="P349" s="706"/>
      <c r="Q349" s="704">
        <v>0</v>
      </c>
      <c r="R349" s="698" t="s">
        <v>695</v>
      </c>
      <c r="S349" s="705"/>
      <c r="T349" s="698"/>
      <c r="U349" s="698"/>
    </row>
    <row r="350" spans="1:21" ht="14.5">
      <c r="A350" s="697"/>
      <c r="B350" s="698" t="s">
        <v>698</v>
      </c>
      <c r="C350" s="698" t="s">
        <v>699</v>
      </c>
      <c r="D350" s="698" t="s">
        <v>791</v>
      </c>
      <c r="E350" s="698" t="s">
        <v>700</v>
      </c>
      <c r="F350" s="700">
        <v>0.33333333333333298</v>
      </c>
      <c r="G350" s="700">
        <v>0.56597222222222221</v>
      </c>
      <c r="H350" s="700">
        <v>0.7090277777777777</v>
      </c>
      <c r="I350" s="701">
        <v>540</v>
      </c>
      <c r="J350" s="698">
        <v>205.99999999999991</v>
      </c>
      <c r="K350" s="702">
        <v>-5.5666666666666682</v>
      </c>
      <c r="L350" s="703">
        <v>3.4333333333333318</v>
      </c>
      <c r="M350" s="698" t="s">
        <v>1075</v>
      </c>
      <c r="N350" s="698" t="s">
        <v>1076</v>
      </c>
      <c r="O350" s="706">
        <v>31975</v>
      </c>
      <c r="P350" s="706">
        <v>32007</v>
      </c>
      <c r="Q350" s="704">
        <v>32</v>
      </c>
      <c r="R350" s="698" t="s">
        <v>701</v>
      </c>
      <c r="S350" s="705">
        <v>10</v>
      </c>
      <c r="T350" s="698" t="s">
        <v>763</v>
      </c>
      <c r="U350" s="698"/>
    </row>
    <row r="351" spans="1:21" ht="14.5">
      <c r="A351" s="697"/>
      <c r="B351" s="698" t="s">
        <v>702</v>
      </c>
      <c r="C351" s="698" t="s">
        <v>703</v>
      </c>
      <c r="D351" s="698" t="s">
        <v>788</v>
      </c>
      <c r="E351" s="698" t="s">
        <v>700</v>
      </c>
      <c r="F351" s="700">
        <v>0.33333333333333298</v>
      </c>
      <c r="G351" s="700"/>
      <c r="H351" s="700"/>
      <c r="I351" s="701">
        <v>540</v>
      </c>
      <c r="J351" s="698">
        <v>0</v>
      </c>
      <c r="K351" s="702">
        <v>-9</v>
      </c>
      <c r="L351" s="703">
        <v>0</v>
      </c>
      <c r="M351" s="698" t="s">
        <v>694</v>
      </c>
      <c r="N351" s="698"/>
      <c r="O351" s="706"/>
      <c r="P351" s="706"/>
      <c r="Q351" s="704">
        <v>0</v>
      </c>
      <c r="R351" s="698" t="s">
        <v>701</v>
      </c>
      <c r="S351" s="705"/>
      <c r="T351" s="698"/>
      <c r="U351" s="698"/>
    </row>
    <row r="352" spans="1:21" ht="14.5">
      <c r="A352" s="697"/>
      <c r="B352" s="698" t="s">
        <v>704</v>
      </c>
      <c r="C352" s="698" t="s">
        <v>705</v>
      </c>
      <c r="D352" s="698" t="s">
        <v>788</v>
      </c>
      <c r="E352" s="698" t="s">
        <v>1060</v>
      </c>
      <c r="F352" s="700">
        <v>0.33333333333333298</v>
      </c>
      <c r="G352" s="700"/>
      <c r="H352" s="700"/>
      <c r="I352" s="701">
        <v>540</v>
      </c>
      <c r="J352" s="698">
        <v>0</v>
      </c>
      <c r="K352" s="702">
        <v>-9</v>
      </c>
      <c r="L352" s="703">
        <v>0</v>
      </c>
      <c r="M352" s="698" t="s">
        <v>694</v>
      </c>
      <c r="N352" s="698"/>
      <c r="O352" s="706"/>
      <c r="P352" s="706"/>
      <c r="Q352" s="704">
        <v>0</v>
      </c>
      <c r="R352" s="698" t="s">
        <v>701</v>
      </c>
      <c r="S352" s="705"/>
      <c r="T352" s="698"/>
      <c r="U352" s="698"/>
    </row>
    <row r="353" spans="1:21" ht="14.5">
      <c r="A353" s="697"/>
      <c r="B353" s="698" t="s">
        <v>706</v>
      </c>
      <c r="C353" s="698" t="s">
        <v>707</v>
      </c>
      <c r="D353" s="698" t="s">
        <v>1077</v>
      </c>
      <c r="E353" s="698" t="s">
        <v>1018</v>
      </c>
      <c r="F353" s="700">
        <v>0.33333333333333298</v>
      </c>
      <c r="G353" s="700">
        <v>0.33333333333333331</v>
      </c>
      <c r="H353" s="700">
        <v>0.70833333333333337</v>
      </c>
      <c r="I353" s="701">
        <v>540</v>
      </c>
      <c r="J353" s="698">
        <v>540.00000000000011</v>
      </c>
      <c r="K353" s="702">
        <v>1.8947806286936005E-15</v>
      </c>
      <c r="L353" s="703">
        <v>9.0000000000000018</v>
      </c>
      <c r="M353" s="698" t="s">
        <v>849</v>
      </c>
      <c r="N353" s="698" t="s">
        <v>1078</v>
      </c>
      <c r="O353" s="706">
        <v>22746</v>
      </c>
      <c r="P353" s="706">
        <v>22776</v>
      </c>
      <c r="Q353" s="704">
        <v>30</v>
      </c>
      <c r="R353" s="698" t="s">
        <v>701</v>
      </c>
      <c r="S353" s="705">
        <v>5</v>
      </c>
      <c r="T353" s="698" t="s">
        <v>728</v>
      </c>
      <c r="U353" s="698"/>
    </row>
    <row r="354" spans="1:21" ht="14.5">
      <c r="A354" s="697"/>
      <c r="B354" s="698" t="s">
        <v>708</v>
      </c>
      <c r="C354" s="698" t="s">
        <v>709</v>
      </c>
      <c r="D354" s="698" t="s">
        <v>1079</v>
      </c>
      <c r="E354" s="698" t="s">
        <v>928</v>
      </c>
      <c r="F354" s="700">
        <v>0.33333333333333298</v>
      </c>
      <c r="G354" s="700">
        <v>0.375</v>
      </c>
      <c r="H354" s="700">
        <v>0.88055555555555554</v>
      </c>
      <c r="I354" s="701">
        <v>540</v>
      </c>
      <c r="J354" s="698">
        <v>728</v>
      </c>
      <c r="K354" s="702">
        <v>3.1333333333333333</v>
      </c>
      <c r="L354" s="703">
        <v>12.133333333333333</v>
      </c>
      <c r="M354" s="698" t="s">
        <v>1035</v>
      </c>
      <c r="N354" s="698" t="s">
        <v>711</v>
      </c>
      <c r="O354" s="706">
        <v>21577</v>
      </c>
      <c r="P354" s="706">
        <v>21653</v>
      </c>
      <c r="Q354" s="704">
        <v>76</v>
      </c>
      <c r="R354" s="698" t="s">
        <v>695</v>
      </c>
      <c r="S354" s="705"/>
      <c r="T354" s="698" t="s">
        <v>763</v>
      </c>
      <c r="U354" s="698" t="s">
        <v>1080</v>
      </c>
    </row>
    <row r="355" spans="1:21" ht="14.5">
      <c r="A355" s="697"/>
      <c r="B355" s="698" t="s">
        <v>712</v>
      </c>
      <c r="C355" s="698" t="s">
        <v>713</v>
      </c>
      <c r="D355" s="698" t="s">
        <v>1081</v>
      </c>
      <c r="E355" s="698" t="s">
        <v>930</v>
      </c>
      <c r="F355" s="700">
        <v>0.33333333333333298</v>
      </c>
      <c r="G355" s="700">
        <v>0.58333333333333337</v>
      </c>
      <c r="H355" s="700">
        <v>0.88194444444444453</v>
      </c>
      <c r="I355" s="701">
        <v>540</v>
      </c>
      <c r="J355" s="698">
        <v>430.00000000000006</v>
      </c>
      <c r="K355" s="702">
        <v>-1.8333333333333324</v>
      </c>
      <c r="L355" s="703">
        <v>7.1666666666666679</v>
      </c>
      <c r="M355" s="698" t="s">
        <v>1082</v>
      </c>
      <c r="N355" s="698" t="s">
        <v>714</v>
      </c>
      <c r="O355" s="706"/>
      <c r="P355" s="706"/>
      <c r="Q355" s="704">
        <v>0</v>
      </c>
      <c r="R355" s="698" t="s">
        <v>695</v>
      </c>
      <c r="S355" s="705"/>
      <c r="T355" s="698" t="s">
        <v>763</v>
      </c>
      <c r="U355" s="698" t="s">
        <v>903</v>
      </c>
    </row>
    <row r="356" spans="1:21" ht="14.5">
      <c r="A356" s="697"/>
      <c r="B356" s="698" t="s">
        <v>715</v>
      </c>
      <c r="C356" s="698" t="s">
        <v>716</v>
      </c>
      <c r="D356" s="707" t="s">
        <v>965</v>
      </c>
      <c r="E356" s="698" t="s">
        <v>190</v>
      </c>
      <c r="F356" s="700">
        <v>0.33333333333333298</v>
      </c>
      <c r="G356" s="700">
        <v>0.25138888888888888</v>
      </c>
      <c r="H356" s="700">
        <v>0.79236111111111107</v>
      </c>
      <c r="I356" s="701">
        <v>540</v>
      </c>
      <c r="J356" s="698">
        <v>779</v>
      </c>
      <c r="K356" s="702">
        <v>3.9833333333333334</v>
      </c>
      <c r="L356" s="703">
        <v>12.983333333333333</v>
      </c>
      <c r="M356" s="698" t="s">
        <v>1083</v>
      </c>
      <c r="N356" s="698" t="s">
        <v>717</v>
      </c>
      <c r="O356" s="706">
        <v>41266</v>
      </c>
      <c r="P356" s="706">
        <v>41317</v>
      </c>
      <c r="Q356" s="704">
        <v>51</v>
      </c>
      <c r="R356" s="698" t="s">
        <v>695</v>
      </c>
      <c r="S356" s="705"/>
      <c r="T356" s="698" t="s">
        <v>728</v>
      </c>
      <c r="U356" s="698" t="s">
        <v>1084</v>
      </c>
    </row>
    <row r="357" spans="1:21" ht="14.5">
      <c r="A357" s="697"/>
      <c r="B357" s="707" t="s">
        <v>718</v>
      </c>
      <c r="C357" s="707" t="s">
        <v>719</v>
      </c>
      <c r="D357" s="707" t="s">
        <v>1085</v>
      </c>
      <c r="E357" s="707" t="s">
        <v>720</v>
      </c>
      <c r="F357" s="700">
        <v>0.33333333333333298</v>
      </c>
      <c r="G357" s="700">
        <v>0.3125</v>
      </c>
      <c r="H357" s="700">
        <v>0.71180555555555547</v>
      </c>
      <c r="I357" s="701">
        <v>540</v>
      </c>
      <c r="J357" s="698">
        <v>574.99999999999989</v>
      </c>
      <c r="K357" s="702">
        <v>0.58333333333333148</v>
      </c>
      <c r="L357" s="703">
        <v>9.5833333333333321</v>
      </c>
      <c r="M357" s="698" t="s">
        <v>1086</v>
      </c>
      <c r="N357" s="707" t="s">
        <v>721</v>
      </c>
      <c r="O357" s="708">
        <v>19103</v>
      </c>
      <c r="P357" s="708">
        <v>19124</v>
      </c>
      <c r="Q357" s="704">
        <v>21</v>
      </c>
      <c r="R357" s="707" t="s">
        <v>701</v>
      </c>
      <c r="S357" s="709">
        <v>4</v>
      </c>
      <c r="T357" s="707" t="s">
        <v>806</v>
      </c>
      <c r="U357" s="707" t="s">
        <v>1087</v>
      </c>
    </row>
    <row r="358" spans="1:21" ht="14.5">
      <c r="A358" s="697"/>
      <c r="B358" s="707" t="s">
        <v>722</v>
      </c>
      <c r="C358" s="707" t="s">
        <v>723</v>
      </c>
      <c r="D358" s="707" t="s">
        <v>788</v>
      </c>
      <c r="E358" s="707" t="s">
        <v>725</v>
      </c>
      <c r="F358" s="700">
        <v>0.33333333333333298</v>
      </c>
      <c r="G358" s="700"/>
      <c r="H358" s="700"/>
      <c r="I358" s="701">
        <v>540</v>
      </c>
      <c r="J358" s="698">
        <v>0</v>
      </c>
      <c r="K358" s="702">
        <v>-9</v>
      </c>
      <c r="L358" s="703">
        <v>0</v>
      </c>
      <c r="M358" s="698" t="s">
        <v>694</v>
      </c>
      <c r="N358" s="707" t="s">
        <v>727</v>
      </c>
      <c r="O358" s="708"/>
      <c r="P358" s="708"/>
      <c r="Q358" s="704">
        <v>0</v>
      </c>
      <c r="R358" s="707" t="s">
        <v>695</v>
      </c>
      <c r="S358" s="709"/>
      <c r="T358" s="707"/>
      <c r="U358" s="707"/>
    </row>
    <row r="359" spans="1:21" ht="14.5">
      <c r="A359" s="697"/>
      <c r="B359" s="707" t="s">
        <v>730</v>
      </c>
      <c r="C359" s="707" t="s">
        <v>731</v>
      </c>
      <c r="D359" s="711" t="s">
        <v>788</v>
      </c>
      <c r="E359" s="707" t="s">
        <v>732</v>
      </c>
      <c r="F359" s="700">
        <v>0.33333333333333298</v>
      </c>
      <c r="G359" s="700"/>
      <c r="H359" s="700"/>
      <c r="I359" s="701">
        <v>540</v>
      </c>
      <c r="J359" s="698">
        <v>0</v>
      </c>
      <c r="K359" s="702">
        <v>-9</v>
      </c>
      <c r="L359" s="703">
        <v>0</v>
      </c>
      <c r="M359" s="698" t="s">
        <v>694</v>
      </c>
      <c r="N359" s="707" t="s">
        <v>733</v>
      </c>
      <c r="O359" s="708"/>
      <c r="P359" s="708"/>
      <c r="Q359" s="704">
        <v>0</v>
      </c>
      <c r="R359" s="707" t="s">
        <v>701</v>
      </c>
      <c r="S359" s="709"/>
      <c r="T359" s="707"/>
      <c r="U359" s="707"/>
    </row>
    <row r="360" spans="1:21" ht="14.5">
      <c r="A360" s="697"/>
      <c r="B360" s="710" t="s">
        <v>734</v>
      </c>
      <c r="C360" s="711" t="s">
        <v>735</v>
      </c>
      <c r="D360" s="714" t="s">
        <v>788</v>
      </c>
      <c r="E360" s="711" t="s">
        <v>89</v>
      </c>
      <c r="F360" s="712">
        <v>0.33333333333333298</v>
      </c>
      <c r="G360" s="712"/>
      <c r="H360" s="712"/>
      <c r="I360" s="713">
        <v>540</v>
      </c>
      <c r="J360" s="714">
        <v>0</v>
      </c>
      <c r="K360" s="715">
        <v>-9</v>
      </c>
      <c r="L360" s="716">
        <v>0</v>
      </c>
      <c r="M360" s="714" t="s">
        <v>694</v>
      </c>
      <c r="N360" s="711" t="s">
        <v>736</v>
      </c>
      <c r="O360" s="717"/>
      <c r="P360" s="717"/>
      <c r="Q360" s="704">
        <v>0</v>
      </c>
      <c r="R360" s="711" t="s">
        <v>701</v>
      </c>
      <c r="S360" s="718"/>
      <c r="T360" s="711"/>
      <c r="U360" s="711"/>
    </row>
    <row r="361" spans="1:21" ht="14.5">
      <c r="A361" s="697"/>
      <c r="B361" s="714" t="s">
        <v>737</v>
      </c>
      <c r="C361" s="714" t="s">
        <v>738</v>
      </c>
      <c r="D361" s="707" t="s">
        <v>788</v>
      </c>
      <c r="E361" s="714"/>
      <c r="F361" s="712">
        <v>0.33333333333333298</v>
      </c>
      <c r="G361" s="712"/>
      <c r="H361" s="712"/>
      <c r="I361" s="713">
        <v>540</v>
      </c>
      <c r="J361" s="714">
        <v>0</v>
      </c>
      <c r="K361" s="715">
        <v>-9</v>
      </c>
      <c r="L361" s="716">
        <v>0</v>
      </c>
      <c r="M361" s="714" t="s">
        <v>694</v>
      </c>
      <c r="N361" s="714"/>
      <c r="O361" s="719"/>
      <c r="P361" s="719"/>
      <c r="Q361" s="704">
        <v>0</v>
      </c>
      <c r="R361" s="714" t="s">
        <v>695</v>
      </c>
      <c r="S361" s="720"/>
      <c r="T361" s="714"/>
      <c r="U361" s="714" t="s">
        <v>739</v>
      </c>
    </row>
    <row r="362" spans="1:21" ht="14.5">
      <c r="A362" s="697"/>
      <c r="B362" s="707"/>
      <c r="C362" s="707" t="s">
        <v>740</v>
      </c>
      <c r="D362" s="707" t="s">
        <v>54</v>
      </c>
      <c r="E362" s="707" t="s">
        <v>741</v>
      </c>
      <c r="F362" s="700">
        <v>0.33333333333333298</v>
      </c>
      <c r="G362" s="700"/>
      <c r="H362" s="700"/>
      <c r="I362" s="701">
        <v>540</v>
      </c>
      <c r="J362" s="698">
        <v>0</v>
      </c>
      <c r="K362" s="702">
        <v>-9</v>
      </c>
      <c r="L362" s="703">
        <v>0</v>
      </c>
      <c r="M362" s="698" t="s">
        <v>694</v>
      </c>
      <c r="N362" s="707"/>
      <c r="O362" s="708"/>
      <c r="P362" s="708"/>
      <c r="Q362" s="704">
        <v>0</v>
      </c>
      <c r="R362" s="707" t="s">
        <v>742</v>
      </c>
      <c r="S362" s="709"/>
      <c r="T362" s="707"/>
      <c r="U362" s="707"/>
    </row>
    <row r="363" spans="1:21" ht="14.5">
      <c r="A363" s="697"/>
      <c r="B363" s="707" t="s">
        <v>54</v>
      </c>
      <c r="C363" s="707" t="s">
        <v>743</v>
      </c>
      <c r="D363" s="698"/>
      <c r="E363" s="707" t="s">
        <v>744</v>
      </c>
      <c r="F363" s="700">
        <v>0.33333333333333298</v>
      </c>
      <c r="G363" s="700"/>
      <c r="H363" s="700"/>
      <c r="I363" s="701">
        <v>540</v>
      </c>
      <c r="J363" s="698">
        <v>0</v>
      </c>
      <c r="K363" s="702">
        <v>-9</v>
      </c>
      <c r="L363" s="703">
        <v>0</v>
      </c>
      <c r="M363" s="698" t="s">
        <v>694</v>
      </c>
      <c r="N363" s="707"/>
      <c r="O363" s="708"/>
      <c r="P363" s="708"/>
      <c r="Q363" s="704">
        <v>0</v>
      </c>
      <c r="R363" s="707" t="s">
        <v>742</v>
      </c>
      <c r="S363" s="709"/>
      <c r="T363" s="707"/>
      <c r="U363" s="707"/>
    </row>
    <row r="364" spans="1:21" ht="14.5">
      <c r="A364" s="697"/>
      <c r="B364" s="698" t="s">
        <v>745</v>
      </c>
      <c r="C364" s="698"/>
      <c r="D364" s="698"/>
      <c r="E364" s="698"/>
      <c r="F364" s="700">
        <v>0.33333333333333298</v>
      </c>
      <c r="G364" s="700"/>
      <c r="H364" s="700"/>
      <c r="I364" s="701">
        <v>540</v>
      </c>
      <c r="J364" s="698">
        <v>0</v>
      </c>
      <c r="K364" s="702">
        <v>-9</v>
      </c>
      <c r="L364" s="703">
        <v>0</v>
      </c>
      <c r="M364" s="698" t="s">
        <v>694</v>
      </c>
      <c r="N364" s="698"/>
      <c r="O364" s="706"/>
      <c r="P364" s="706"/>
      <c r="Q364" s="704">
        <v>0</v>
      </c>
      <c r="R364" s="698"/>
      <c r="S364" s="705"/>
      <c r="T364" s="698"/>
      <c r="U364" s="698"/>
    </row>
    <row r="365" spans="1:21" ht="14.5">
      <c r="A365" s="697"/>
      <c r="B365" s="698" t="s">
        <v>746</v>
      </c>
      <c r="C365" s="698" t="s">
        <v>747</v>
      </c>
      <c r="D365" s="707" t="s">
        <v>1088</v>
      </c>
      <c r="E365" s="698" t="s">
        <v>693</v>
      </c>
      <c r="F365" s="700">
        <v>0.33333333333333298</v>
      </c>
      <c r="G365" s="700">
        <v>0.23611111111111113</v>
      </c>
      <c r="H365" s="700">
        <v>0.87847222222222221</v>
      </c>
      <c r="I365" s="701">
        <v>540</v>
      </c>
      <c r="J365" s="698">
        <v>924.99999999999989</v>
      </c>
      <c r="K365" s="702">
        <v>6.4166666666666652</v>
      </c>
      <c r="L365" s="703">
        <v>15.416666666666664</v>
      </c>
      <c r="M365" s="698" t="s">
        <v>1089</v>
      </c>
      <c r="N365" s="698" t="s">
        <v>767</v>
      </c>
      <c r="O365" s="706">
        <v>14055</v>
      </c>
      <c r="P365" s="706">
        <v>14122</v>
      </c>
      <c r="Q365" s="704">
        <v>67</v>
      </c>
      <c r="R365" s="698" t="s">
        <v>701</v>
      </c>
      <c r="S365" s="705"/>
      <c r="T365" s="698" t="s">
        <v>763</v>
      </c>
      <c r="U365" s="698"/>
    </row>
    <row r="366" spans="1:21" ht="14.5">
      <c r="A366" s="697"/>
      <c r="B366" s="707" t="s">
        <v>748</v>
      </c>
      <c r="C366" s="707" t="s">
        <v>749</v>
      </c>
      <c r="D366" s="707" t="s">
        <v>788</v>
      </c>
      <c r="E366" s="707" t="s">
        <v>278</v>
      </c>
      <c r="F366" s="700">
        <v>0.33333333333333298</v>
      </c>
      <c r="G366" s="700"/>
      <c r="H366" s="700"/>
      <c r="I366" s="701">
        <v>540</v>
      </c>
      <c r="J366" s="698">
        <v>0</v>
      </c>
      <c r="K366" s="702">
        <v>-9</v>
      </c>
      <c r="L366" s="703">
        <v>0</v>
      </c>
      <c r="M366" s="698" t="s">
        <v>694</v>
      </c>
      <c r="N366" s="707"/>
      <c r="O366" s="708"/>
      <c r="P366" s="708"/>
      <c r="Q366" s="704">
        <v>0</v>
      </c>
      <c r="R366" s="707" t="s">
        <v>695</v>
      </c>
      <c r="S366" s="709"/>
      <c r="T366" s="707"/>
      <c r="U366" s="707"/>
    </row>
    <row r="367" spans="1:21" ht="14.5">
      <c r="A367" s="697"/>
      <c r="B367" s="707" t="s">
        <v>750</v>
      </c>
      <c r="C367" s="707"/>
      <c r="D367" s="707"/>
      <c r="E367" s="707"/>
      <c r="F367" s="700">
        <v>0.33333333333333298</v>
      </c>
      <c r="G367" s="700"/>
      <c r="H367" s="700"/>
      <c r="I367" s="701">
        <v>540</v>
      </c>
      <c r="J367" s="698">
        <v>0</v>
      </c>
      <c r="K367" s="702">
        <v>-9</v>
      </c>
      <c r="L367" s="703">
        <v>0</v>
      </c>
      <c r="M367" s="698" t="s">
        <v>694</v>
      </c>
      <c r="N367" s="707"/>
      <c r="O367" s="708"/>
      <c r="P367" s="708"/>
      <c r="Q367" s="704">
        <v>0</v>
      </c>
      <c r="R367" s="707"/>
      <c r="S367" s="709"/>
      <c r="T367" s="707"/>
      <c r="U367" s="707"/>
    </row>
    <row r="368" spans="1:21" ht="14.5">
      <c r="A368" s="697"/>
      <c r="B368" s="707" t="s">
        <v>751</v>
      </c>
      <c r="C368" s="707" t="s">
        <v>752</v>
      </c>
      <c r="D368" s="711" t="s">
        <v>1090</v>
      </c>
      <c r="E368" s="707" t="s">
        <v>725</v>
      </c>
      <c r="F368" s="700">
        <v>0.33333333333333298</v>
      </c>
      <c r="G368" s="700">
        <v>0.29166666666666669</v>
      </c>
      <c r="H368" s="700">
        <v>0.79236111111111107</v>
      </c>
      <c r="I368" s="701">
        <v>540</v>
      </c>
      <c r="J368" s="698">
        <v>720.99999999999989</v>
      </c>
      <c r="K368" s="702">
        <v>3.0166666666666648</v>
      </c>
      <c r="L368" s="703">
        <v>12.016666666666664</v>
      </c>
      <c r="M368" s="698" t="s">
        <v>830</v>
      </c>
      <c r="N368" s="707" t="s">
        <v>915</v>
      </c>
      <c r="O368" s="708">
        <v>9277</v>
      </c>
      <c r="P368" s="708">
        <v>9345</v>
      </c>
      <c r="Q368" s="704">
        <v>68</v>
      </c>
      <c r="R368" s="707" t="s">
        <v>701</v>
      </c>
      <c r="S368" s="709">
        <v>20</v>
      </c>
      <c r="T368" s="707" t="s">
        <v>763</v>
      </c>
      <c r="U368" s="707"/>
    </row>
    <row r="369" spans="1:21">
      <c r="A369" s="697"/>
      <c r="B369" s="710" t="s">
        <v>754</v>
      </c>
      <c r="C369" s="711" t="s">
        <v>755</v>
      </c>
      <c r="D369" s="721" t="s">
        <v>1058</v>
      </c>
      <c r="E369" s="711" t="s">
        <v>190</v>
      </c>
      <c r="F369" s="712">
        <v>0.33333333333333298</v>
      </c>
      <c r="G369" s="712">
        <v>0.375</v>
      </c>
      <c r="H369" s="712">
        <v>0.71527777777777779</v>
      </c>
      <c r="I369" s="713">
        <v>540</v>
      </c>
      <c r="J369" s="714">
        <v>490</v>
      </c>
      <c r="K369" s="715">
        <v>-0.83333333333333337</v>
      </c>
      <c r="L369" s="716">
        <v>8.1666666666666661</v>
      </c>
      <c r="M369" s="714" t="s">
        <v>1091</v>
      </c>
      <c r="N369" s="711" t="s">
        <v>1059</v>
      </c>
      <c r="O369" s="717">
        <v>22588</v>
      </c>
      <c r="P369" s="717">
        <v>22623</v>
      </c>
      <c r="Q369" s="704">
        <v>35</v>
      </c>
      <c r="R369" s="711" t="s">
        <v>701</v>
      </c>
      <c r="S369" s="718">
        <v>15</v>
      </c>
      <c r="T369" s="711" t="s">
        <v>763</v>
      </c>
      <c r="U369" s="711"/>
    </row>
    <row r="370" spans="1:21">
      <c r="A370" s="697"/>
      <c r="B370" s="721" t="s">
        <v>54</v>
      </c>
      <c r="C370" s="721"/>
      <c r="D370" s="699" t="s">
        <v>54</v>
      </c>
      <c r="E370" s="721"/>
      <c r="F370" s="721"/>
      <c r="G370" s="721"/>
      <c r="H370" s="721"/>
      <c r="I370" s="721"/>
      <c r="J370" s="721"/>
      <c r="K370" s="721"/>
      <c r="L370" s="721"/>
      <c r="M370" s="721" t="s">
        <v>54</v>
      </c>
      <c r="N370" s="721"/>
      <c r="O370" s="722"/>
      <c r="P370" s="722"/>
      <c r="Q370" s="704"/>
      <c r="R370" s="721"/>
      <c r="S370" s="723"/>
      <c r="T370" s="721"/>
      <c r="U370" s="721"/>
    </row>
    <row r="371" spans="1:21" ht="14.5">
      <c r="A371" s="697">
        <v>46253</v>
      </c>
      <c r="B371" s="698" t="s">
        <v>691</v>
      </c>
      <c r="C371" s="698" t="s">
        <v>692</v>
      </c>
      <c r="D371" s="698" t="s">
        <v>1092</v>
      </c>
      <c r="E371" s="698" t="s">
        <v>693</v>
      </c>
      <c r="F371" s="700">
        <v>0.33333333333333298</v>
      </c>
      <c r="G371" s="700">
        <v>0.15625</v>
      </c>
      <c r="H371" s="700">
        <v>0.9506944444444444</v>
      </c>
      <c r="I371" s="701">
        <v>540</v>
      </c>
      <c r="J371" s="698">
        <v>1144</v>
      </c>
      <c r="K371" s="702">
        <v>10.066666666666666</v>
      </c>
      <c r="L371" s="703">
        <v>19.066666666666666</v>
      </c>
      <c r="M371" s="698" t="s">
        <v>1093</v>
      </c>
      <c r="N371" s="698" t="s">
        <v>1094</v>
      </c>
      <c r="O371" s="706">
        <v>33660</v>
      </c>
      <c r="P371" s="706">
        <v>34072</v>
      </c>
      <c r="Q371" s="704">
        <v>412</v>
      </c>
      <c r="R371" s="698" t="s">
        <v>695</v>
      </c>
      <c r="S371" s="705">
        <v>29</v>
      </c>
      <c r="T371" s="698" t="s">
        <v>846</v>
      </c>
      <c r="U371" s="698"/>
    </row>
    <row r="372" spans="1:21" ht="14.5">
      <c r="A372" s="697"/>
      <c r="B372" s="698" t="s">
        <v>696</v>
      </c>
      <c r="C372" s="698" t="s">
        <v>697</v>
      </c>
      <c r="D372" s="698" t="s">
        <v>1095</v>
      </c>
      <c r="E372" s="698" t="s">
        <v>1096</v>
      </c>
      <c r="F372" s="700">
        <v>0.33333333333333298</v>
      </c>
      <c r="G372" s="700">
        <v>0.60416666666666663</v>
      </c>
      <c r="H372" s="700">
        <v>0.9770833333333333</v>
      </c>
      <c r="I372" s="701">
        <v>540</v>
      </c>
      <c r="J372" s="698">
        <v>537</v>
      </c>
      <c r="K372" s="702">
        <v>-0.05</v>
      </c>
      <c r="L372" s="703">
        <v>8.9499999999999993</v>
      </c>
      <c r="M372" s="698" t="s">
        <v>1097</v>
      </c>
      <c r="N372" s="698" t="s">
        <v>1098</v>
      </c>
      <c r="O372" s="706">
        <v>28674</v>
      </c>
      <c r="P372" s="706">
        <v>28746</v>
      </c>
      <c r="Q372" s="704">
        <v>72</v>
      </c>
      <c r="R372" s="698" t="s">
        <v>695</v>
      </c>
      <c r="S372" s="705">
        <v>7</v>
      </c>
      <c r="T372" s="698" t="s">
        <v>728</v>
      </c>
      <c r="U372" s="698"/>
    </row>
    <row r="373" spans="1:21" ht="14.5">
      <c r="A373" s="697"/>
      <c r="B373" s="698" t="s">
        <v>698</v>
      </c>
      <c r="C373" s="698" t="s">
        <v>699</v>
      </c>
      <c r="D373" s="698" t="s">
        <v>1099</v>
      </c>
      <c r="E373" s="698" t="s">
        <v>930</v>
      </c>
      <c r="F373" s="700">
        <v>0.33333333333333298</v>
      </c>
      <c r="G373" s="700">
        <v>0.3125</v>
      </c>
      <c r="H373" s="700">
        <v>0.79513888888888884</v>
      </c>
      <c r="I373" s="701">
        <v>540</v>
      </c>
      <c r="J373" s="698">
        <v>694.99999999999989</v>
      </c>
      <c r="K373" s="702">
        <v>2.5833333333333313</v>
      </c>
      <c r="L373" s="703">
        <v>11.583333333333332</v>
      </c>
      <c r="M373" s="698" t="s">
        <v>860</v>
      </c>
      <c r="N373" s="698" t="s">
        <v>1100</v>
      </c>
      <c r="O373" s="706">
        <v>32007</v>
      </c>
      <c r="P373" s="706">
        <v>32185</v>
      </c>
      <c r="Q373" s="704">
        <v>178</v>
      </c>
      <c r="R373" s="698" t="s">
        <v>701</v>
      </c>
      <c r="S373" s="705">
        <v>25</v>
      </c>
      <c r="T373" s="698" t="s">
        <v>781</v>
      </c>
      <c r="U373" s="698"/>
    </row>
    <row r="374" spans="1:21" ht="14.5">
      <c r="A374" s="697"/>
      <c r="B374" s="698" t="s">
        <v>702</v>
      </c>
      <c r="C374" s="698" t="s">
        <v>703</v>
      </c>
      <c r="D374" s="698" t="s">
        <v>1101</v>
      </c>
      <c r="E374" s="698" t="s">
        <v>777</v>
      </c>
      <c r="F374" s="700">
        <v>0.33333333333333298</v>
      </c>
      <c r="G374" s="700">
        <v>0.54166666666666663</v>
      </c>
      <c r="H374" s="700">
        <v>0.72916666666666663</v>
      </c>
      <c r="I374" s="701">
        <v>540</v>
      </c>
      <c r="J374" s="698">
        <v>270</v>
      </c>
      <c r="K374" s="702">
        <v>-4.5</v>
      </c>
      <c r="L374" s="703">
        <v>4.5</v>
      </c>
      <c r="M374" s="698" t="s">
        <v>982</v>
      </c>
      <c r="N374" s="698" t="s">
        <v>1102</v>
      </c>
      <c r="O374" s="706">
        <v>19150</v>
      </c>
      <c r="P374" s="706">
        <v>19184</v>
      </c>
      <c r="Q374" s="704">
        <v>34</v>
      </c>
      <c r="R374" s="698" t="s">
        <v>701</v>
      </c>
      <c r="S374" s="705">
        <v>5</v>
      </c>
      <c r="T374" s="698" t="s">
        <v>806</v>
      </c>
      <c r="U374" s="698"/>
    </row>
    <row r="375" spans="1:21" ht="14.5">
      <c r="A375" s="697"/>
      <c r="B375" s="698" t="s">
        <v>704</v>
      </c>
      <c r="C375" s="698" t="s">
        <v>705</v>
      </c>
      <c r="D375" s="698" t="s">
        <v>788</v>
      </c>
      <c r="E375" s="698" t="s">
        <v>1060</v>
      </c>
      <c r="F375" s="700">
        <v>0.33333333333333298</v>
      </c>
      <c r="G375" s="700"/>
      <c r="H375" s="700"/>
      <c r="I375" s="701">
        <v>540</v>
      </c>
      <c r="J375" s="698">
        <v>0</v>
      </c>
      <c r="K375" s="702">
        <v>-9</v>
      </c>
      <c r="L375" s="703">
        <v>0</v>
      </c>
      <c r="M375" s="698" t="s">
        <v>694</v>
      </c>
      <c r="N375" s="698"/>
      <c r="O375" s="706"/>
      <c r="P375" s="706"/>
      <c r="Q375" s="704">
        <v>0</v>
      </c>
      <c r="R375" s="698" t="s">
        <v>701</v>
      </c>
      <c r="S375" s="705"/>
      <c r="T375" s="698"/>
      <c r="U375" s="698"/>
    </row>
    <row r="376" spans="1:21" ht="14.5">
      <c r="A376" s="697"/>
      <c r="B376" s="698" t="s">
        <v>706</v>
      </c>
      <c r="C376" s="698" t="s">
        <v>707</v>
      </c>
      <c r="D376" s="698" t="s">
        <v>955</v>
      </c>
      <c r="E376" s="698" t="s">
        <v>693</v>
      </c>
      <c r="F376" s="700">
        <v>0.33333333333333298</v>
      </c>
      <c r="G376" s="700">
        <v>0.60416666666666663</v>
      </c>
      <c r="H376" s="700">
        <v>0.70833333333333337</v>
      </c>
      <c r="I376" s="701">
        <v>540</v>
      </c>
      <c r="J376" s="698">
        <v>150.00000000000011</v>
      </c>
      <c r="K376" s="702">
        <v>-6.4999999999999982</v>
      </c>
      <c r="L376" s="703">
        <v>2.5000000000000018</v>
      </c>
      <c r="M376" s="698" t="s">
        <v>1044</v>
      </c>
      <c r="N376" s="698" t="s">
        <v>809</v>
      </c>
      <c r="O376" s="706">
        <v>22776</v>
      </c>
      <c r="P376" s="706">
        <v>22791</v>
      </c>
      <c r="Q376" s="704">
        <v>15</v>
      </c>
      <c r="R376" s="698" t="s">
        <v>701</v>
      </c>
      <c r="S376" s="705"/>
      <c r="T376" s="698" t="s">
        <v>763</v>
      </c>
      <c r="U376" s="698"/>
    </row>
    <row r="377" spans="1:21" ht="14.5">
      <c r="A377" s="697"/>
      <c r="B377" s="698" t="s">
        <v>708</v>
      </c>
      <c r="C377" s="698" t="s">
        <v>709</v>
      </c>
      <c r="D377" s="698" t="s">
        <v>788</v>
      </c>
      <c r="E377" s="698" t="s">
        <v>928</v>
      </c>
      <c r="F377" s="700">
        <v>0.33333333333333298</v>
      </c>
      <c r="G377" s="700"/>
      <c r="H377" s="700"/>
      <c r="I377" s="701">
        <v>540</v>
      </c>
      <c r="J377" s="698">
        <v>0</v>
      </c>
      <c r="K377" s="702">
        <v>-9</v>
      </c>
      <c r="L377" s="703">
        <v>0</v>
      </c>
      <c r="M377" s="698" t="s">
        <v>694</v>
      </c>
      <c r="N377" s="698" t="s">
        <v>711</v>
      </c>
      <c r="O377" s="706"/>
      <c r="P377" s="706"/>
      <c r="Q377" s="704">
        <v>0</v>
      </c>
      <c r="R377" s="698" t="s">
        <v>695</v>
      </c>
      <c r="S377" s="705"/>
      <c r="T377" s="698"/>
      <c r="U377" s="698"/>
    </row>
    <row r="378" spans="1:21" ht="14.5">
      <c r="A378" s="697"/>
      <c r="B378" s="698" t="s">
        <v>712</v>
      </c>
      <c r="C378" s="698" t="s">
        <v>713</v>
      </c>
      <c r="D378" s="698" t="s">
        <v>1099</v>
      </c>
      <c r="E378" s="698" t="s">
        <v>930</v>
      </c>
      <c r="F378" s="700">
        <v>0.33333333333333298</v>
      </c>
      <c r="G378" s="700">
        <v>0.29166666666666669</v>
      </c>
      <c r="H378" s="700">
        <v>0.79166666666666663</v>
      </c>
      <c r="I378" s="701">
        <v>540</v>
      </c>
      <c r="J378" s="698">
        <v>719.99999999999989</v>
      </c>
      <c r="K378" s="702">
        <v>2.9999999999999982</v>
      </c>
      <c r="L378" s="703">
        <v>11.999999999999998</v>
      </c>
      <c r="M378" s="698" t="s">
        <v>874</v>
      </c>
      <c r="N378" s="698" t="s">
        <v>714</v>
      </c>
      <c r="O378" s="706">
        <v>45109</v>
      </c>
      <c r="P378" s="706">
        <v>45310</v>
      </c>
      <c r="Q378" s="704">
        <v>201</v>
      </c>
      <c r="R378" s="698" t="s">
        <v>695</v>
      </c>
      <c r="S378" s="705">
        <v>15</v>
      </c>
      <c r="T378" s="698" t="s">
        <v>781</v>
      </c>
      <c r="U378" s="698" t="s">
        <v>785</v>
      </c>
    </row>
    <row r="379" spans="1:21" ht="14.5">
      <c r="A379" s="697"/>
      <c r="B379" s="698" t="s">
        <v>715</v>
      </c>
      <c r="C379" s="698" t="s">
        <v>716</v>
      </c>
      <c r="D379" s="707" t="s">
        <v>1079</v>
      </c>
      <c r="E379" s="698" t="s">
        <v>190</v>
      </c>
      <c r="F379" s="700">
        <v>0.33333333333333298</v>
      </c>
      <c r="G379" s="700">
        <v>0.15625</v>
      </c>
      <c r="H379" s="700">
        <v>0.84027777777777779</v>
      </c>
      <c r="I379" s="701">
        <v>540</v>
      </c>
      <c r="J379" s="698">
        <v>985</v>
      </c>
      <c r="K379" s="702">
        <v>7.416666666666667</v>
      </c>
      <c r="L379" s="703">
        <v>16.416666666666668</v>
      </c>
      <c r="M379" s="698" t="s">
        <v>1103</v>
      </c>
      <c r="N379" s="698" t="s">
        <v>717</v>
      </c>
      <c r="O379" s="706">
        <v>41317</v>
      </c>
      <c r="P379" s="706">
        <v>41435</v>
      </c>
      <c r="Q379" s="704">
        <v>118</v>
      </c>
      <c r="R379" s="698" t="s">
        <v>695</v>
      </c>
      <c r="S379" s="705">
        <v>10</v>
      </c>
      <c r="T379" s="698" t="s">
        <v>728</v>
      </c>
      <c r="U379" s="698" t="s">
        <v>881</v>
      </c>
    </row>
    <row r="380" spans="1:21" ht="14.5">
      <c r="A380" s="697"/>
      <c r="B380" s="707" t="s">
        <v>718</v>
      </c>
      <c r="C380" s="707" t="s">
        <v>719</v>
      </c>
      <c r="D380" s="707" t="s">
        <v>788</v>
      </c>
      <c r="E380" s="707" t="s">
        <v>720</v>
      </c>
      <c r="F380" s="700">
        <v>0.33333333333333298</v>
      </c>
      <c r="G380" s="700"/>
      <c r="H380" s="700"/>
      <c r="I380" s="701">
        <v>540</v>
      </c>
      <c r="J380" s="698">
        <v>0</v>
      </c>
      <c r="K380" s="702">
        <v>-9</v>
      </c>
      <c r="L380" s="703">
        <v>0</v>
      </c>
      <c r="M380" s="698" t="s">
        <v>694</v>
      </c>
      <c r="N380" s="707" t="s">
        <v>721</v>
      </c>
      <c r="O380" s="708"/>
      <c r="P380" s="708"/>
      <c r="Q380" s="704">
        <v>0</v>
      </c>
      <c r="R380" s="707" t="s">
        <v>701</v>
      </c>
      <c r="S380" s="709"/>
      <c r="T380" s="707"/>
      <c r="U380" s="707"/>
    </row>
    <row r="381" spans="1:21" ht="14.5">
      <c r="A381" s="697"/>
      <c r="B381" s="707" t="s">
        <v>722</v>
      </c>
      <c r="C381" s="707" t="s">
        <v>723</v>
      </c>
      <c r="D381" s="707" t="s">
        <v>788</v>
      </c>
      <c r="E381" s="707" t="s">
        <v>725</v>
      </c>
      <c r="F381" s="700">
        <v>0.33333333333333298</v>
      </c>
      <c r="G381" s="700"/>
      <c r="H381" s="700"/>
      <c r="I381" s="701">
        <v>540</v>
      </c>
      <c r="J381" s="698">
        <v>0</v>
      </c>
      <c r="K381" s="702">
        <v>-9</v>
      </c>
      <c r="L381" s="703">
        <v>0</v>
      </c>
      <c r="M381" s="698" t="s">
        <v>694</v>
      </c>
      <c r="N381" s="707" t="s">
        <v>727</v>
      </c>
      <c r="O381" s="708"/>
      <c r="P381" s="708"/>
      <c r="Q381" s="704">
        <v>0</v>
      </c>
      <c r="R381" s="707" t="s">
        <v>695</v>
      </c>
      <c r="S381" s="709"/>
      <c r="T381" s="707"/>
      <c r="U381" s="707"/>
    </row>
    <row r="382" spans="1:21" ht="14.5">
      <c r="A382" s="697"/>
      <c r="B382" s="707" t="s">
        <v>730</v>
      </c>
      <c r="C382" s="707" t="s">
        <v>731</v>
      </c>
      <c r="D382" s="711" t="s">
        <v>1099</v>
      </c>
      <c r="E382" s="707" t="s">
        <v>732</v>
      </c>
      <c r="F382" s="700">
        <v>0.33333333333333298</v>
      </c>
      <c r="G382" s="700">
        <v>0.3125</v>
      </c>
      <c r="H382" s="700">
        <v>0.79166666666666663</v>
      </c>
      <c r="I382" s="701">
        <v>540</v>
      </c>
      <c r="J382" s="698">
        <v>690</v>
      </c>
      <c r="K382" s="702">
        <v>2.5</v>
      </c>
      <c r="L382" s="703">
        <v>11.5</v>
      </c>
      <c r="M382" s="698" t="s">
        <v>1104</v>
      </c>
      <c r="N382" s="707" t="s">
        <v>733</v>
      </c>
      <c r="O382" s="708">
        <v>25455</v>
      </c>
      <c r="P382" s="708">
        <v>25638</v>
      </c>
      <c r="Q382" s="704">
        <v>183</v>
      </c>
      <c r="R382" s="707" t="s">
        <v>701</v>
      </c>
      <c r="S382" s="709">
        <v>20</v>
      </c>
      <c r="T382" s="707" t="s">
        <v>781</v>
      </c>
      <c r="U382" s="707" t="s">
        <v>785</v>
      </c>
    </row>
    <row r="383" spans="1:21" ht="14.5">
      <c r="A383" s="697"/>
      <c r="B383" s="710" t="s">
        <v>734</v>
      </c>
      <c r="C383" s="711" t="s">
        <v>735</v>
      </c>
      <c r="D383" s="714" t="s">
        <v>1105</v>
      </c>
      <c r="E383" s="711" t="s">
        <v>89</v>
      </c>
      <c r="F383" s="712">
        <v>0.33333333333333298</v>
      </c>
      <c r="G383" s="712">
        <v>0.5625</v>
      </c>
      <c r="H383" s="712">
        <v>0.91666666666666663</v>
      </c>
      <c r="I383" s="713">
        <v>540</v>
      </c>
      <c r="J383" s="714">
        <v>509.99999999999994</v>
      </c>
      <c r="K383" s="715">
        <v>-0.500000000000001</v>
      </c>
      <c r="L383" s="716">
        <v>8.4999999999999982</v>
      </c>
      <c r="M383" s="714" t="s">
        <v>834</v>
      </c>
      <c r="N383" s="711" t="s">
        <v>736</v>
      </c>
      <c r="O383" s="717">
        <v>33053</v>
      </c>
      <c r="P383" s="717">
        <v>33105</v>
      </c>
      <c r="Q383" s="704">
        <v>52</v>
      </c>
      <c r="R383" s="711" t="s">
        <v>701</v>
      </c>
      <c r="S383" s="718">
        <v>10</v>
      </c>
      <c r="T383" s="711" t="s">
        <v>728</v>
      </c>
      <c r="U383" s="711" t="s">
        <v>1106</v>
      </c>
    </row>
    <row r="384" spans="1:21" ht="14.5">
      <c r="A384" s="697"/>
      <c r="B384" s="714" t="s">
        <v>737</v>
      </c>
      <c r="C384" s="714" t="s">
        <v>738</v>
      </c>
      <c r="D384" s="707" t="s">
        <v>788</v>
      </c>
      <c r="E384" s="714"/>
      <c r="F384" s="712">
        <v>0.33333333333333298</v>
      </c>
      <c r="G384" s="712"/>
      <c r="H384" s="712"/>
      <c r="I384" s="713">
        <v>540</v>
      </c>
      <c r="J384" s="714">
        <v>0</v>
      </c>
      <c r="K384" s="715">
        <v>-9</v>
      </c>
      <c r="L384" s="716">
        <v>0</v>
      </c>
      <c r="M384" s="714" t="s">
        <v>694</v>
      </c>
      <c r="N384" s="714"/>
      <c r="O384" s="719"/>
      <c r="P384" s="719"/>
      <c r="Q384" s="704">
        <v>0</v>
      </c>
      <c r="R384" s="714" t="s">
        <v>695</v>
      </c>
      <c r="S384" s="720"/>
      <c r="T384" s="714"/>
      <c r="U384" s="714" t="s">
        <v>739</v>
      </c>
    </row>
    <row r="385" spans="1:21" ht="14.5">
      <c r="A385" s="697"/>
      <c r="B385" s="707"/>
      <c r="C385" s="707" t="s">
        <v>740</v>
      </c>
      <c r="D385" s="707" t="s">
        <v>54</v>
      </c>
      <c r="E385" s="707" t="s">
        <v>741</v>
      </c>
      <c r="F385" s="700">
        <v>0.33333333333333298</v>
      </c>
      <c r="G385" s="700"/>
      <c r="H385" s="700"/>
      <c r="I385" s="701">
        <v>540</v>
      </c>
      <c r="J385" s="698">
        <v>0</v>
      </c>
      <c r="K385" s="702">
        <v>-9</v>
      </c>
      <c r="L385" s="703">
        <v>0</v>
      </c>
      <c r="M385" s="698" t="s">
        <v>694</v>
      </c>
      <c r="N385" s="707"/>
      <c r="O385" s="708"/>
      <c r="P385" s="708"/>
      <c r="Q385" s="704">
        <v>0</v>
      </c>
      <c r="R385" s="707" t="s">
        <v>742</v>
      </c>
      <c r="S385" s="709"/>
      <c r="T385" s="707"/>
      <c r="U385" s="707"/>
    </row>
    <row r="386" spans="1:21" ht="14.5">
      <c r="A386" s="697"/>
      <c r="B386" s="707" t="s">
        <v>54</v>
      </c>
      <c r="C386" s="707" t="s">
        <v>743</v>
      </c>
      <c r="D386" s="698"/>
      <c r="E386" s="707" t="s">
        <v>744</v>
      </c>
      <c r="F386" s="700">
        <v>0.33333333333333298</v>
      </c>
      <c r="G386" s="700"/>
      <c r="H386" s="700"/>
      <c r="I386" s="701">
        <v>540</v>
      </c>
      <c r="J386" s="698">
        <v>0</v>
      </c>
      <c r="K386" s="702">
        <v>-9</v>
      </c>
      <c r="L386" s="703">
        <v>0</v>
      </c>
      <c r="M386" s="698" t="s">
        <v>694</v>
      </c>
      <c r="N386" s="707"/>
      <c r="O386" s="708"/>
      <c r="P386" s="708"/>
      <c r="Q386" s="704">
        <v>0</v>
      </c>
      <c r="R386" s="707" t="s">
        <v>742</v>
      </c>
      <c r="S386" s="709"/>
      <c r="T386" s="707"/>
      <c r="U386" s="707"/>
    </row>
    <row r="387" spans="1:21" ht="14.5">
      <c r="A387" s="697"/>
      <c r="B387" s="698" t="s">
        <v>745</v>
      </c>
      <c r="C387" s="698"/>
      <c r="D387" s="698"/>
      <c r="E387" s="698"/>
      <c r="F387" s="700">
        <v>0.33333333333333298</v>
      </c>
      <c r="G387" s="700"/>
      <c r="H387" s="700"/>
      <c r="I387" s="701">
        <v>540</v>
      </c>
      <c r="J387" s="698">
        <v>0</v>
      </c>
      <c r="K387" s="702">
        <v>-9</v>
      </c>
      <c r="L387" s="703">
        <v>0</v>
      </c>
      <c r="M387" s="698" t="s">
        <v>694</v>
      </c>
      <c r="N387" s="698"/>
      <c r="O387" s="706"/>
      <c r="P387" s="706"/>
      <c r="Q387" s="704">
        <v>0</v>
      </c>
      <c r="R387" s="698"/>
      <c r="S387" s="705"/>
      <c r="T387" s="698"/>
      <c r="U387" s="698"/>
    </row>
    <row r="388" spans="1:21" ht="14.5">
      <c r="A388" s="697"/>
      <c r="B388" s="698" t="s">
        <v>746</v>
      </c>
      <c r="C388" s="698" t="s">
        <v>747</v>
      </c>
      <c r="D388" s="707" t="s">
        <v>1107</v>
      </c>
      <c r="E388" s="698" t="s">
        <v>190</v>
      </c>
      <c r="F388" s="700">
        <v>0.33333333333333298</v>
      </c>
      <c r="G388" s="700">
        <v>0.61111111111111105</v>
      </c>
      <c r="H388" s="700">
        <v>0.92013888888888884</v>
      </c>
      <c r="I388" s="701">
        <v>540</v>
      </c>
      <c r="J388" s="698">
        <v>445</v>
      </c>
      <c r="K388" s="702">
        <v>-1.5833333333333333</v>
      </c>
      <c r="L388" s="703">
        <v>7.416666666666667</v>
      </c>
      <c r="M388" s="698" t="s">
        <v>1108</v>
      </c>
      <c r="N388" s="698" t="s">
        <v>1109</v>
      </c>
      <c r="O388" s="706">
        <v>14122</v>
      </c>
      <c r="P388" s="706">
        <v>14165</v>
      </c>
      <c r="Q388" s="704">
        <v>43</v>
      </c>
      <c r="R388" s="698" t="s">
        <v>695</v>
      </c>
      <c r="S388" s="705">
        <v>10</v>
      </c>
      <c r="T388" s="698" t="s">
        <v>763</v>
      </c>
      <c r="U388" s="698"/>
    </row>
    <row r="389" spans="1:21" ht="14.5">
      <c r="A389" s="697"/>
      <c r="B389" s="707" t="s">
        <v>748</v>
      </c>
      <c r="C389" s="707" t="s">
        <v>749</v>
      </c>
      <c r="D389" s="707" t="s">
        <v>1110</v>
      </c>
      <c r="E389" s="707" t="s">
        <v>1111</v>
      </c>
      <c r="F389" s="700">
        <v>0.33333333333333298</v>
      </c>
      <c r="G389" s="700">
        <v>0.22916666666666666</v>
      </c>
      <c r="H389" s="700">
        <v>0.72222222222222221</v>
      </c>
      <c r="I389" s="701">
        <v>540</v>
      </c>
      <c r="J389" s="698">
        <v>710</v>
      </c>
      <c r="K389" s="702">
        <v>2.8333333333333335</v>
      </c>
      <c r="L389" s="703">
        <v>11.833333333333334</v>
      </c>
      <c r="M389" s="698" t="s">
        <v>1112</v>
      </c>
      <c r="N389" s="707" t="s">
        <v>859</v>
      </c>
      <c r="O389" s="708">
        <v>39564</v>
      </c>
      <c r="P389" s="708">
        <v>39902</v>
      </c>
      <c r="Q389" s="704">
        <v>338</v>
      </c>
      <c r="R389" s="707" t="s">
        <v>695</v>
      </c>
      <c r="S389" s="709">
        <v>40</v>
      </c>
      <c r="T389" s="707" t="s">
        <v>806</v>
      </c>
      <c r="U389" s="707"/>
    </row>
    <row r="390" spans="1:21" ht="14.5">
      <c r="A390" s="697"/>
      <c r="B390" s="707" t="s">
        <v>750</v>
      </c>
      <c r="C390" s="707"/>
      <c r="D390" s="707"/>
      <c r="E390" s="707"/>
      <c r="F390" s="700">
        <v>0.33333333333333298</v>
      </c>
      <c r="G390" s="700"/>
      <c r="H390" s="700"/>
      <c r="I390" s="701">
        <v>540</v>
      </c>
      <c r="J390" s="698">
        <v>0</v>
      </c>
      <c r="K390" s="702">
        <v>-9</v>
      </c>
      <c r="L390" s="703">
        <v>0</v>
      </c>
      <c r="M390" s="698" t="s">
        <v>694</v>
      </c>
      <c r="N390" s="707"/>
      <c r="O390" s="708"/>
      <c r="P390" s="708"/>
      <c r="Q390" s="704">
        <v>0</v>
      </c>
      <c r="R390" s="707"/>
      <c r="S390" s="709"/>
      <c r="T390" s="707"/>
      <c r="U390" s="707"/>
    </row>
    <row r="391" spans="1:21" ht="14.5">
      <c r="A391" s="697"/>
      <c r="B391" s="707" t="s">
        <v>751</v>
      </c>
      <c r="C391" s="707" t="s">
        <v>752</v>
      </c>
      <c r="D391" s="711" t="s">
        <v>829</v>
      </c>
      <c r="E391" s="707" t="s">
        <v>725</v>
      </c>
      <c r="F391" s="700">
        <v>0.33333333333333298</v>
      </c>
      <c r="G391" s="700">
        <v>0.29166666666666669</v>
      </c>
      <c r="H391" s="700">
        <v>0.79583333333333339</v>
      </c>
      <c r="I391" s="701">
        <v>540</v>
      </c>
      <c r="J391" s="698">
        <v>726</v>
      </c>
      <c r="K391" s="702">
        <v>3.1</v>
      </c>
      <c r="L391" s="703">
        <v>12.1</v>
      </c>
      <c r="M391" s="698" t="s">
        <v>1113</v>
      </c>
      <c r="N391" s="707" t="s">
        <v>799</v>
      </c>
      <c r="O391" s="708">
        <v>9345</v>
      </c>
      <c r="P391" s="708">
        <v>9413</v>
      </c>
      <c r="Q391" s="704">
        <v>68</v>
      </c>
      <c r="R391" s="707" t="s">
        <v>701</v>
      </c>
      <c r="S391" s="709"/>
      <c r="T391" s="707" t="s">
        <v>763</v>
      </c>
      <c r="U391" s="707"/>
    </row>
    <row r="392" spans="1:21">
      <c r="A392" s="697"/>
      <c r="B392" s="710" t="s">
        <v>754</v>
      </c>
      <c r="C392" s="711" t="s">
        <v>755</v>
      </c>
      <c r="D392" s="721" t="s">
        <v>1058</v>
      </c>
      <c r="E392" s="711" t="s">
        <v>190</v>
      </c>
      <c r="F392" s="712">
        <v>0.33333333333333298</v>
      </c>
      <c r="G392" s="712">
        <v>0.45833333333333331</v>
      </c>
      <c r="H392" s="712">
        <v>0.84722222222222221</v>
      </c>
      <c r="I392" s="713">
        <v>540</v>
      </c>
      <c r="J392" s="714">
        <v>560</v>
      </c>
      <c r="K392" s="715">
        <v>0.33333333333333331</v>
      </c>
      <c r="L392" s="716">
        <v>9.3333333333333339</v>
      </c>
      <c r="M392" s="714" t="s">
        <v>1114</v>
      </c>
      <c r="N392" s="711" t="s">
        <v>1115</v>
      </c>
      <c r="O392" s="717">
        <v>22623</v>
      </c>
      <c r="P392" s="717">
        <v>22648</v>
      </c>
      <c r="Q392" s="704">
        <v>25</v>
      </c>
      <c r="R392" s="711" t="s">
        <v>701</v>
      </c>
      <c r="S392" s="718"/>
      <c r="T392" s="711" t="s">
        <v>728</v>
      </c>
      <c r="U392" s="711"/>
    </row>
    <row r="393" spans="1:21">
      <c r="A393" s="697"/>
      <c r="B393" s="721" t="s">
        <v>54</v>
      </c>
      <c r="C393" s="721"/>
      <c r="D393" s="699" t="s">
        <v>54</v>
      </c>
      <c r="E393" s="721"/>
      <c r="F393" s="721"/>
      <c r="G393" s="721"/>
      <c r="H393" s="721"/>
      <c r="I393" s="721"/>
      <c r="J393" s="721"/>
      <c r="K393" s="721"/>
      <c r="L393" s="721"/>
      <c r="M393" s="721" t="s">
        <v>54</v>
      </c>
      <c r="N393" s="721"/>
      <c r="O393" s="722"/>
      <c r="P393" s="722"/>
      <c r="Q393" s="704"/>
      <c r="R393" s="721"/>
      <c r="S393" s="723"/>
      <c r="T393" s="721"/>
      <c r="U393" s="721"/>
    </row>
    <row r="394" spans="1:21" ht="14.5">
      <c r="A394" s="697">
        <v>46254</v>
      </c>
      <c r="B394" s="698" t="s">
        <v>691</v>
      </c>
      <c r="C394" s="698" t="s">
        <v>692</v>
      </c>
      <c r="D394" s="698" t="s">
        <v>788</v>
      </c>
      <c r="E394" s="698" t="s">
        <v>756</v>
      </c>
      <c r="F394" s="700">
        <v>0.33333333333333298</v>
      </c>
      <c r="G394" s="700"/>
      <c r="H394" s="700"/>
      <c r="I394" s="701">
        <v>540</v>
      </c>
      <c r="J394" s="698">
        <v>0</v>
      </c>
      <c r="K394" s="702">
        <v>-9</v>
      </c>
      <c r="L394" s="703">
        <v>0</v>
      </c>
      <c r="M394" s="698" t="s">
        <v>694</v>
      </c>
      <c r="N394" s="698"/>
      <c r="O394" s="706"/>
      <c r="P394" s="706"/>
      <c r="Q394" s="704">
        <v>0</v>
      </c>
      <c r="R394" s="698" t="s">
        <v>695</v>
      </c>
      <c r="S394" s="705"/>
      <c r="T394" s="698"/>
      <c r="U394" s="698"/>
    </row>
    <row r="395" spans="1:21" ht="14.5">
      <c r="A395" s="697"/>
      <c r="B395" s="698" t="s">
        <v>696</v>
      </c>
      <c r="C395" s="698" t="s">
        <v>697</v>
      </c>
      <c r="D395" s="698" t="s">
        <v>788</v>
      </c>
      <c r="E395" s="698" t="s">
        <v>756</v>
      </c>
      <c r="F395" s="700">
        <v>0.33333333333333298</v>
      </c>
      <c r="G395" s="700"/>
      <c r="H395" s="700"/>
      <c r="I395" s="701">
        <v>540</v>
      </c>
      <c r="J395" s="698">
        <v>0</v>
      </c>
      <c r="K395" s="702">
        <v>-9</v>
      </c>
      <c r="L395" s="703">
        <v>0</v>
      </c>
      <c r="M395" s="698" t="s">
        <v>694</v>
      </c>
      <c r="N395" s="698"/>
      <c r="O395" s="706"/>
      <c r="P395" s="706"/>
      <c r="Q395" s="704">
        <v>0</v>
      </c>
      <c r="R395" s="698" t="s">
        <v>695</v>
      </c>
      <c r="S395" s="705"/>
      <c r="T395" s="698"/>
      <c r="U395" s="698"/>
    </row>
    <row r="396" spans="1:21" ht="14.5">
      <c r="A396" s="697"/>
      <c r="B396" s="698" t="s">
        <v>698</v>
      </c>
      <c r="C396" s="698" t="s">
        <v>699</v>
      </c>
      <c r="D396" s="698" t="s">
        <v>880</v>
      </c>
      <c r="E396" s="698" t="s">
        <v>700</v>
      </c>
      <c r="F396" s="700">
        <v>0.33333333333333298</v>
      </c>
      <c r="G396" s="700">
        <v>0.50694444444444442</v>
      </c>
      <c r="H396" s="700">
        <v>0.79861111111111116</v>
      </c>
      <c r="I396" s="701">
        <v>540</v>
      </c>
      <c r="J396" s="698">
        <v>420.00000000000011</v>
      </c>
      <c r="K396" s="702">
        <v>-1.999999999999998</v>
      </c>
      <c r="L396" s="703">
        <v>7.0000000000000018</v>
      </c>
      <c r="M396" s="698" t="s">
        <v>989</v>
      </c>
      <c r="N396" s="698" t="s">
        <v>1116</v>
      </c>
      <c r="O396" s="706">
        <v>32185</v>
      </c>
      <c r="P396" s="706">
        <v>32201</v>
      </c>
      <c r="Q396" s="704">
        <v>16</v>
      </c>
      <c r="R396" s="698" t="s">
        <v>701</v>
      </c>
      <c r="S396" s="705">
        <v>5</v>
      </c>
      <c r="T396" s="698" t="s">
        <v>728</v>
      </c>
      <c r="U396" s="698"/>
    </row>
    <row r="397" spans="1:21" ht="14.5">
      <c r="A397" s="697"/>
      <c r="B397" s="698" t="s">
        <v>702</v>
      </c>
      <c r="C397" s="698" t="s">
        <v>703</v>
      </c>
      <c r="D397" s="698" t="s">
        <v>1117</v>
      </c>
      <c r="E397" s="698" t="s">
        <v>777</v>
      </c>
      <c r="F397" s="700">
        <v>0.33333333333333298</v>
      </c>
      <c r="G397" s="700">
        <v>0.41666666666666669</v>
      </c>
      <c r="H397" s="700">
        <v>0.75694444444444453</v>
      </c>
      <c r="I397" s="701">
        <v>540</v>
      </c>
      <c r="J397" s="698">
        <v>490.00000000000011</v>
      </c>
      <c r="K397" s="702">
        <v>-0.83333333333333148</v>
      </c>
      <c r="L397" s="703">
        <v>8.1666666666666679</v>
      </c>
      <c r="M397" s="698" t="s">
        <v>1091</v>
      </c>
      <c r="N397" s="698" t="s">
        <v>896</v>
      </c>
      <c r="O397" s="706">
        <v>19184</v>
      </c>
      <c r="P397" s="706">
        <v>19214</v>
      </c>
      <c r="Q397" s="704">
        <v>30</v>
      </c>
      <c r="R397" s="698" t="s">
        <v>701</v>
      </c>
      <c r="S397" s="705"/>
      <c r="T397" s="698" t="s">
        <v>806</v>
      </c>
      <c r="U397" s="698"/>
    </row>
    <row r="398" spans="1:21" ht="14.5">
      <c r="A398" s="697"/>
      <c r="B398" s="698" t="s">
        <v>704</v>
      </c>
      <c r="C398" s="698" t="s">
        <v>705</v>
      </c>
      <c r="D398" s="698" t="s">
        <v>814</v>
      </c>
      <c r="E398" s="698" t="s">
        <v>700</v>
      </c>
      <c r="F398" s="700">
        <v>0.33333333333333298</v>
      </c>
      <c r="G398" s="700">
        <v>0.375</v>
      </c>
      <c r="H398" s="700">
        <v>0.70833333333333337</v>
      </c>
      <c r="I398" s="701">
        <v>540</v>
      </c>
      <c r="J398" s="698">
        <v>480.00000000000006</v>
      </c>
      <c r="K398" s="702">
        <v>-0.999999999999999</v>
      </c>
      <c r="L398" s="703">
        <v>8.0000000000000018</v>
      </c>
      <c r="M398" s="698" t="s">
        <v>808</v>
      </c>
      <c r="N398" s="698" t="s">
        <v>894</v>
      </c>
      <c r="O398" s="706">
        <v>42441</v>
      </c>
      <c r="P398" s="706">
        <v>42460</v>
      </c>
      <c r="Q398" s="704">
        <v>19</v>
      </c>
      <c r="R398" s="698" t="s">
        <v>701</v>
      </c>
      <c r="S398" s="705">
        <v>5</v>
      </c>
      <c r="T398" s="698" t="s">
        <v>806</v>
      </c>
      <c r="U398" s="698"/>
    </row>
    <row r="399" spans="1:21" ht="14.5">
      <c r="A399" s="697"/>
      <c r="B399" s="698" t="s">
        <v>706</v>
      </c>
      <c r="C399" s="698" t="s">
        <v>707</v>
      </c>
      <c r="D399" s="698" t="s">
        <v>788</v>
      </c>
      <c r="E399" s="698" t="s">
        <v>1060</v>
      </c>
      <c r="F399" s="700">
        <v>0.33333333333333298</v>
      </c>
      <c r="G399" s="700"/>
      <c r="H399" s="700"/>
      <c r="I399" s="701">
        <v>540</v>
      </c>
      <c r="J399" s="698">
        <v>0</v>
      </c>
      <c r="K399" s="702">
        <v>-9</v>
      </c>
      <c r="L399" s="703">
        <v>0</v>
      </c>
      <c r="M399" s="698" t="s">
        <v>694</v>
      </c>
      <c r="N399" s="698"/>
      <c r="O399" s="706"/>
      <c r="P399" s="706"/>
      <c r="Q399" s="704">
        <v>0</v>
      </c>
      <c r="R399" s="698" t="s">
        <v>701</v>
      </c>
      <c r="S399" s="705"/>
      <c r="T399" s="698"/>
      <c r="U399" s="698"/>
    </row>
    <row r="400" spans="1:21" ht="14.5">
      <c r="A400" s="697"/>
      <c r="B400" s="698" t="s">
        <v>708</v>
      </c>
      <c r="C400" s="698" t="s">
        <v>709</v>
      </c>
      <c r="D400" s="698" t="s">
        <v>998</v>
      </c>
      <c r="E400" s="698" t="s">
        <v>928</v>
      </c>
      <c r="F400" s="700">
        <v>0.33333333333333298</v>
      </c>
      <c r="G400" s="700">
        <v>0.31944444444444448</v>
      </c>
      <c r="H400" s="700">
        <v>0.71180555555555547</v>
      </c>
      <c r="I400" s="701">
        <v>540</v>
      </c>
      <c r="J400" s="698">
        <v>564.99999999999989</v>
      </c>
      <c r="K400" s="702">
        <v>0.4166666666666648</v>
      </c>
      <c r="L400" s="703">
        <v>9.4166666666666643</v>
      </c>
      <c r="M400" s="698" t="s">
        <v>996</v>
      </c>
      <c r="N400" s="698" t="s">
        <v>711</v>
      </c>
      <c r="O400" s="706">
        <v>21653</v>
      </c>
      <c r="P400" s="706">
        <v>21663</v>
      </c>
      <c r="Q400" s="704">
        <v>10</v>
      </c>
      <c r="R400" s="698" t="s">
        <v>695</v>
      </c>
      <c r="S400" s="705"/>
      <c r="T400" s="698" t="s">
        <v>728</v>
      </c>
      <c r="U400" s="698" t="s">
        <v>1118</v>
      </c>
    </row>
    <row r="401" spans="1:21" ht="14.5">
      <c r="A401" s="697"/>
      <c r="B401" s="698" t="s">
        <v>712</v>
      </c>
      <c r="C401" s="698" t="s">
        <v>713</v>
      </c>
      <c r="D401" s="698" t="s">
        <v>1119</v>
      </c>
      <c r="E401" s="698" t="s">
        <v>930</v>
      </c>
      <c r="F401" s="700">
        <v>0.33333333333333298</v>
      </c>
      <c r="G401" s="700">
        <v>0.29166666666666669</v>
      </c>
      <c r="H401" s="700">
        <v>0.83333333333333337</v>
      </c>
      <c r="I401" s="701">
        <v>540</v>
      </c>
      <c r="J401" s="698">
        <v>780.00000000000011</v>
      </c>
      <c r="K401" s="702">
        <v>4.0000000000000018</v>
      </c>
      <c r="L401" s="703">
        <v>13.000000000000002</v>
      </c>
      <c r="M401" s="698" t="s">
        <v>987</v>
      </c>
      <c r="N401" s="698" t="s">
        <v>714</v>
      </c>
      <c r="O401" s="706"/>
      <c r="P401" s="706"/>
      <c r="Q401" s="704">
        <v>0</v>
      </c>
      <c r="R401" s="698" t="s">
        <v>695</v>
      </c>
      <c r="S401" s="705"/>
      <c r="T401" s="698" t="s">
        <v>728</v>
      </c>
      <c r="U401" s="698" t="s">
        <v>785</v>
      </c>
    </row>
    <row r="402" spans="1:21" ht="14.5">
      <c r="A402" s="697"/>
      <c r="B402" s="698" t="s">
        <v>715</v>
      </c>
      <c r="C402" s="698" t="s">
        <v>716</v>
      </c>
      <c r="D402" s="707" t="s">
        <v>1079</v>
      </c>
      <c r="E402" s="698" t="s">
        <v>190</v>
      </c>
      <c r="F402" s="700">
        <v>0.33333333333333298</v>
      </c>
      <c r="G402" s="700">
        <v>0.33333333333333331</v>
      </c>
      <c r="H402" s="700">
        <v>0.88263888888888886</v>
      </c>
      <c r="I402" s="701">
        <v>540</v>
      </c>
      <c r="J402" s="698">
        <v>790.99999999999989</v>
      </c>
      <c r="K402" s="702">
        <v>4.1833333333333318</v>
      </c>
      <c r="L402" s="703">
        <v>13.183333333333332</v>
      </c>
      <c r="M402" s="698" t="s">
        <v>1120</v>
      </c>
      <c r="N402" s="698" t="s">
        <v>717</v>
      </c>
      <c r="O402" s="706">
        <v>41435</v>
      </c>
      <c r="P402" s="706">
        <v>41597</v>
      </c>
      <c r="Q402" s="704">
        <v>162</v>
      </c>
      <c r="R402" s="698" t="s">
        <v>695</v>
      </c>
      <c r="S402" s="705">
        <v>15</v>
      </c>
      <c r="T402" s="698" t="s">
        <v>846</v>
      </c>
      <c r="U402" s="698" t="s">
        <v>881</v>
      </c>
    </row>
    <row r="403" spans="1:21" ht="14.5">
      <c r="A403" s="697"/>
      <c r="B403" s="707" t="s">
        <v>718</v>
      </c>
      <c r="C403" s="707" t="s">
        <v>719</v>
      </c>
      <c r="D403" s="707" t="s">
        <v>1121</v>
      </c>
      <c r="E403" s="707" t="s">
        <v>720</v>
      </c>
      <c r="F403" s="700">
        <v>0.33333333333333298</v>
      </c>
      <c r="G403" s="700">
        <v>0.33333333333333331</v>
      </c>
      <c r="H403" s="700">
        <v>0.79166666666666663</v>
      </c>
      <c r="I403" s="701">
        <v>540</v>
      </c>
      <c r="J403" s="698">
        <v>660</v>
      </c>
      <c r="K403" s="702">
        <v>2</v>
      </c>
      <c r="L403" s="703">
        <v>11</v>
      </c>
      <c r="M403" s="698" t="s">
        <v>801</v>
      </c>
      <c r="N403" s="707" t="s">
        <v>721</v>
      </c>
      <c r="O403" s="708">
        <v>19124</v>
      </c>
      <c r="P403" s="708">
        <v>19173</v>
      </c>
      <c r="Q403" s="704">
        <v>49</v>
      </c>
      <c r="R403" s="707" t="s">
        <v>701</v>
      </c>
      <c r="S403" s="709">
        <v>7</v>
      </c>
      <c r="T403" s="707" t="s">
        <v>806</v>
      </c>
      <c r="U403" s="707" t="s">
        <v>1122</v>
      </c>
    </row>
    <row r="404" spans="1:21" ht="14.5">
      <c r="A404" s="697"/>
      <c r="B404" s="707" t="s">
        <v>722</v>
      </c>
      <c r="C404" s="707" t="s">
        <v>723</v>
      </c>
      <c r="D404" s="707" t="s">
        <v>1123</v>
      </c>
      <c r="E404" s="707" t="s">
        <v>725</v>
      </c>
      <c r="F404" s="700">
        <v>0.33333333333333298</v>
      </c>
      <c r="G404" s="700">
        <v>0.35416666666666669</v>
      </c>
      <c r="H404" s="700">
        <v>0.70833333333333337</v>
      </c>
      <c r="I404" s="701">
        <v>540</v>
      </c>
      <c r="J404" s="698">
        <v>510</v>
      </c>
      <c r="K404" s="702">
        <v>-0.5</v>
      </c>
      <c r="L404" s="703">
        <v>8.5</v>
      </c>
      <c r="M404" s="698" t="s">
        <v>834</v>
      </c>
      <c r="N404" s="707" t="s">
        <v>727</v>
      </c>
      <c r="O404" s="708">
        <v>30103</v>
      </c>
      <c r="P404" s="708">
        <v>30218</v>
      </c>
      <c r="Q404" s="704">
        <v>115</v>
      </c>
      <c r="R404" s="707" t="s">
        <v>695</v>
      </c>
      <c r="S404" s="709">
        <v>15</v>
      </c>
      <c r="T404" s="707" t="s">
        <v>728</v>
      </c>
      <c r="U404" s="707" t="s">
        <v>1124</v>
      </c>
    </row>
    <row r="405" spans="1:21" ht="14.5">
      <c r="A405" s="697"/>
      <c r="B405" s="707" t="s">
        <v>730</v>
      </c>
      <c r="C405" s="707" t="s">
        <v>731</v>
      </c>
      <c r="D405" s="711" t="s">
        <v>1125</v>
      </c>
      <c r="E405" s="707" t="s">
        <v>732</v>
      </c>
      <c r="F405" s="700">
        <v>0.33333333333333298</v>
      </c>
      <c r="G405" s="700">
        <v>0.5625</v>
      </c>
      <c r="H405" s="700">
        <v>0.91111111111111109</v>
      </c>
      <c r="I405" s="701">
        <v>540</v>
      </c>
      <c r="J405" s="698">
        <v>502</v>
      </c>
      <c r="K405" s="702">
        <v>-0.6333333333333333</v>
      </c>
      <c r="L405" s="703">
        <v>8.3666666666666671</v>
      </c>
      <c r="M405" s="698" t="s">
        <v>1126</v>
      </c>
      <c r="N405" s="707" t="s">
        <v>733</v>
      </c>
      <c r="O405" s="708">
        <v>25638</v>
      </c>
      <c r="P405" s="708">
        <v>25705</v>
      </c>
      <c r="Q405" s="704">
        <v>67</v>
      </c>
      <c r="R405" s="707" t="s">
        <v>701</v>
      </c>
      <c r="S405" s="709"/>
      <c r="T405" s="707" t="s">
        <v>728</v>
      </c>
      <c r="U405" s="707" t="s">
        <v>793</v>
      </c>
    </row>
    <row r="406" spans="1:21" ht="14.5">
      <c r="A406" s="697"/>
      <c r="B406" s="710" t="s">
        <v>734</v>
      </c>
      <c r="C406" s="711" t="s">
        <v>735</v>
      </c>
      <c r="D406" s="714" t="s">
        <v>1127</v>
      </c>
      <c r="E406" s="711" t="s">
        <v>89</v>
      </c>
      <c r="F406" s="712">
        <v>0.33333333333333298</v>
      </c>
      <c r="G406" s="712">
        <v>0.25</v>
      </c>
      <c r="H406" s="712">
        <v>0.79166666666666663</v>
      </c>
      <c r="I406" s="713">
        <v>540</v>
      </c>
      <c r="J406" s="714">
        <v>780</v>
      </c>
      <c r="K406" s="715">
        <v>4</v>
      </c>
      <c r="L406" s="716">
        <v>13</v>
      </c>
      <c r="M406" s="714" t="s">
        <v>987</v>
      </c>
      <c r="N406" s="711" t="s">
        <v>736</v>
      </c>
      <c r="O406" s="717">
        <v>33105</v>
      </c>
      <c r="P406" s="717">
        <v>33500</v>
      </c>
      <c r="Q406" s="704">
        <v>395</v>
      </c>
      <c r="R406" s="711" t="s">
        <v>701</v>
      </c>
      <c r="S406" s="718">
        <v>40</v>
      </c>
      <c r="T406" s="711" t="s">
        <v>806</v>
      </c>
      <c r="U406" s="711" t="s">
        <v>1128</v>
      </c>
    </row>
    <row r="407" spans="1:21" ht="14.5">
      <c r="A407" s="697"/>
      <c r="B407" s="714" t="s">
        <v>737</v>
      </c>
      <c r="C407" s="714" t="s">
        <v>738</v>
      </c>
      <c r="D407" s="707" t="s">
        <v>1129</v>
      </c>
      <c r="E407" s="714" t="s">
        <v>1130</v>
      </c>
      <c r="F407" s="712">
        <v>0.33333333333333298</v>
      </c>
      <c r="G407" s="712">
        <v>0.41666666666666669</v>
      </c>
      <c r="H407" s="712">
        <v>0.70833333333333337</v>
      </c>
      <c r="I407" s="713">
        <v>540</v>
      </c>
      <c r="J407" s="714">
        <v>420</v>
      </c>
      <c r="K407" s="715">
        <v>-2</v>
      </c>
      <c r="L407" s="716">
        <v>7</v>
      </c>
      <c r="M407" s="714" t="s">
        <v>989</v>
      </c>
      <c r="N407" s="714" t="s">
        <v>977</v>
      </c>
      <c r="O407" s="719">
        <v>6795</v>
      </c>
      <c r="P407" s="719">
        <v>6824</v>
      </c>
      <c r="Q407" s="704">
        <v>29</v>
      </c>
      <c r="R407" s="714" t="s">
        <v>695</v>
      </c>
      <c r="S407" s="720">
        <v>8</v>
      </c>
      <c r="T407" s="714" t="s">
        <v>763</v>
      </c>
      <c r="U407" s="714" t="s">
        <v>739</v>
      </c>
    </row>
    <row r="408" spans="1:21" ht="14.5">
      <c r="A408" s="697"/>
      <c r="B408" s="707"/>
      <c r="C408" s="707" t="s">
        <v>740</v>
      </c>
      <c r="D408" s="707" t="s">
        <v>54</v>
      </c>
      <c r="E408" s="707" t="s">
        <v>741</v>
      </c>
      <c r="F408" s="700">
        <v>0.33333333333333298</v>
      </c>
      <c r="G408" s="700"/>
      <c r="H408" s="700"/>
      <c r="I408" s="701">
        <v>540</v>
      </c>
      <c r="J408" s="698">
        <v>0</v>
      </c>
      <c r="K408" s="702">
        <v>-9</v>
      </c>
      <c r="L408" s="703">
        <v>0</v>
      </c>
      <c r="M408" s="698" t="s">
        <v>694</v>
      </c>
      <c r="N408" s="707"/>
      <c r="O408" s="708"/>
      <c r="P408" s="708"/>
      <c r="Q408" s="704">
        <v>0</v>
      </c>
      <c r="R408" s="707" t="s">
        <v>742</v>
      </c>
      <c r="S408" s="709"/>
      <c r="T408" s="707"/>
      <c r="U408" s="707"/>
    </row>
    <row r="409" spans="1:21" ht="14.5">
      <c r="A409" s="697"/>
      <c r="B409" s="707" t="s">
        <v>54</v>
      </c>
      <c r="C409" s="707" t="s">
        <v>743</v>
      </c>
      <c r="D409" s="698"/>
      <c r="E409" s="707" t="s">
        <v>744</v>
      </c>
      <c r="F409" s="700">
        <v>0.33333333333333298</v>
      </c>
      <c r="G409" s="700"/>
      <c r="H409" s="700"/>
      <c r="I409" s="701">
        <v>540</v>
      </c>
      <c r="J409" s="698">
        <v>0</v>
      </c>
      <c r="K409" s="702">
        <v>-9</v>
      </c>
      <c r="L409" s="703">
        <v>0</v>
      </c>
      <c r="M409" s="698" t="s">
        <v>694</v>
      </c>
      <c r="N409" s="707"/>
      <c r="O409" s="708"/>
      <c r="P409" s="708"/>
      <c r="Q409" s="704">
        <v>0</v>
      </c>
      <c r="R409" s="707" t="s">
        <v>742</v>
      </c>
      <c r="S409" s="709"/>
      <c r="T409" s="707"/>
      <c r="U409" s="707"/>
    </row>
    <row r="410" spans="1:21" ht="14.5">
      <c r="A410" s="697"/>
      <c r="B410" s="698" t="s">
        <v>745</v>
      </c>
      <c r="C410" s="698"/>
      <c r="D410" s="698"/>
      <c r="E410" s="698"/>
      <c r="F410" s="700">
        <v>0.33333333333333298</v>
      </c>
      <c r="G410" s="700"/>
      <c r="H410" s="700"/>
      <c r="I410" s="701">
        <v>540</v>
      </c>
      <c r="J410" s="698">
        <v>0</v>
      </c>
      <c r="K410" s="702">
        <v>-9</v>
      </c>
      <c r="L410" s="703">
        <v>0</v>
      </c>
      <c r="M410" s="698" t="s">
        <v>694</v>
      </c>
      <c r="N410" s="698"/>
      <c r="O410" s="706"/>
      <c r="P410" s="706"/>
      <c r="Q410" s="704">
        <v>0</v>
      </c>
      <c r="R410" s="698"/>
      <c r="S410" s="705"/>
      <c r="T410" s="698"/>
      <c r="U410" s="698"/>
    </row>
    <row r="411" spans="1:21" ht="14.5">
      <c r="A411" s="697"/>
      <c r="B411" s="698" t="s">
        <v>746</v>
      </c>
      <c r="C411" s="698" t="s">
        <v>747</v>
      </c>
      <c r="D411" s="707" t="s">
        <v>1131</v>
      </c>
      <c r="E411" s="698" t="s">
        <v>693</v>
      </c>
      <c r="F411" s="700">
        <v>0.33333333333333298</v>
      </c>
      <c r="G411" s="700">
        <v>0.22222222222222221</v>
      </c>
      <c r="H411" s="700">
        <v>0.71180555555555547</v>
      </c>
      <c r="I411" s="701">
        <v>540</v>
      </c>
      <c r="J411" s="698">
        <v>704.99999999999989</v>
      </c>
      <c r="K411" s="702">
        <v>2.7499999999999982</v>
      </c>
      <c r="L411" s="703">
        <v>11.749999999999998</v>
      </c>
      <c r="M411" s="698" t="s">
        <v>933</v>
      </c>
      <c r="N411" s="698" t="s">
        <v>767</v>
      </c>
      <c r="O411" s="706">
        <v>14165</v>
      </c>
      <c r="P411" s="706">
        <v>14248</v>
      </c>
      <c r="Q411" s="704">
        <v>83</v>
      </c>
      <c r="R411" s="698" t="s">
        <v>695</v>
      </c>
      <c r="S411" s="705">
        <v>5</v>
      </c>
      <c r="T411" s="698" t="s">
        <v>763</v>
      </c>
      <c r="U411" s="698"/>
    </row>
    <row r="412" spans="1:21" ht="14.5">
      <c r="A412" s="697"/>
      <c r="B412" s="707" t="s">
        <v>748</v>
      </c>
      <c r="C412" s="707" t="s">
        <v>749</v>
      </c>
      <c r="D412" s="707" t="s">
        <v>1132</v>
      </c>
      <c r="E412" s="707" t="s">
        <v>1133</v>
      </c>
      <c r="F412" s="700">
        <v>0.33333333333333298</v>
      </c>
      <c r="G412" s="700">
        <v>0.27083333333333331</v>
      </c>
      <c r="H412" s="700">
        <v>0.71527777777777779</v>
      </c>
      <c r="I412" s="701">
        <v>540</v>
      </c>
      <c r="J412" s="698">
        <v>640</v>
      </c>
      <c r="K412" s="702">
        <v>1.6666666666666667</v>
      </c>
      <c r="L412" s="703">
        <v>10.666666666666666</v>
      </c>
      <c r="M412" s="698" t="s">
        <v>1134</v>
      </c>
      <c r="N412" s="707" t="s">
        <v>1135</v>
      </c>
      <c r="O412" s="708">
        <v>39902</v>
      </c>
      <c r="P412" s="708">
        <v>39969</v>
      </c>
      <c r="Q412" s="704">
        <v>67</v>
      </c>
      <c r="R412" s="707" t="s">
        <v>695</v>
      </c>
      <c r="S412" s="709">
        <v>5</v>
      </c>
      <c r="T412" s="707" t="s">
        <v>763</v>
      </c>
      <c r="U412" s="707"/>
    </row>
    <row r="413" spans="1:21" ht="14.5">
      <c r="A413" s="697"/>
      <c r="B413" s="707" t="s">
        <v>750</v>
      </c>
      <c r="C413" s="707"/>
      <c r="D413" s="707"/>
      <c r="E413" s="707"/>
      <c r="F413" s="700">
        <v>0.33333333333333298</v>
      </c>
      <c r="G413" s="700"/>
      <c r="H413" s="700"/>
      <c r="I413" s="701">
        <v>540</v>
      </c>
      <c r="J413" s="698">
        <v>0</v>
      </c>
      <c r="K413" s="702">
        <v>-9</v>
      </c>
      <c r="L413" s="703">
        <v>0</v>
      </c>
      <c r="M413" s="698" t="s">
        <v>694</v>
      </c>
      <c r="N413" s="707"/>
      <c r="O413" s="708"/>
      <c r="P413" s="708"/>
      <c r="Q413" s="704">
        <v>0</v>
      </c>
      <c r="R413" s="707"/>
      <c r="S413" s="709"/>
      <c r="T413" s="707"/>
      <c r="U413" s="707"/>
    </row>
    <row r="414" spans="1:21" ht="14.5">
      <c r="A414" s="697"/>
      <c r="B414" s="707" t="s">
        <v>751</v>
      </c>
      <c r="C414" s="707" t="s">
        <v>752</v>
      </c>
      <c r="D414" s="711" t="s">
        <v>829</v>
      </c>
      <c r="E414" s="707" t="s">
        <v>725</v>
      </c>
      <c r="F414" s="700">
        <v>0.33333333333333298</v>
      </c>
      <c r="G414" s="700">
        <v>0.29930555555555555</v>
      </c>
      <c r="H414" s="700">
        <v>0.80625000000000002</v>
      </c>
      <c r="I414" s="701">
        <v>540</v>
      </c>
      <c r="J414" s="698">
        <v>730</v>
      </c>
      <c r="K414" s="702">
        <v>3.1666666666666665</v>
      </c>
      <c r="L414" s="703">
        <v>12.166666666666666</v>
      </c>
      <c r="M414" s="698" t="s">
        <v>1136</v>
      </c>
      <c r="N414" s="707" t="s">
        <v>915</v>
      </c>
      <c r="O414" s="708">
        <v>9413</v>
      </c>
      <c r="P414" s="708">
        <v>9481</v>
      </c>
      <c r="Q414" s="704">
        <v>68</v>
      </c>
      <c r="R414" s="707" t="s">
        <v>701</v>
      </c>
      <c r="S414" s="709"/>
      <c r="T414" s="707" t="s">
        <v>763</v>
      </c>
      <c r="U414" s="707"/>
    </row>
    <row r="415" spans="1:21">
      <c r="A415" s="697"/>
      <c r="B415" s="710" t="s">
        <v>754</v>
      </c>
      <c r="C415" s="711" t="s">
        <v>755</v>
      </c>
      <c r="D415" s="721" t="s">
        <v>1137</v>
      </c>
      <c r="E415" s="711" t="s">
        <v>190</v>
      </c>
      <c r="F415" s="712">
        <v>0.33333333333333298</v>
      </c>
      <c r="G415" s="712">
        <v>0.45833333333333331</v>
      </c>
      <c r="H415" s="712">
        <v>0.80555555555555547</v>
      </c>
      <c r="I415" s="713">
        <v>540</v>
      </c>
      <c r="J415" s="714">
        <v>499.99999999999989</v>
      </c>
      <c r="K415" s="715">
        <v>-0.66666666666666852</v>
      </c>
      <c r="L415" s="716">
        <v>8.3333333333333321</v>
      </c>
      <c r="M415" s="714" t="s">
        <v>1138</v>
      </c>
      <c r="N415" s="711" t="s">
        <v>1115</v>
      </c>
      <c r="O415" s="717">
        <v>22648</v>
      </c>
      <c r="P415" s="717">
        <v>22658</v>
      </c>
      <c r="Q415" s="704">
        <v>10</v>
      </c>
      <c r="R415" s="711" t="s">
        <v>701</v>
      </c>
      <c r="S415" s="718"/>
      <c r="T415" s="711" t="s">
        <v>728</v>
      </c>
      <c r="U415" s="711"/>
    </row>
    <row r="416" spans="1:21">
      <c r="A416" s="697"/>
      <c r="B416" s="721" t="s">
        <v>54</v>
      </c>
      <c r="C416" s="721"/>
      <c r="D416" s="699" t="s">
        <v>54</v>
      </c>
      <c r="E416" s="721"/>
      <c r="F416" s="721"/>
      <c r="G416" s="721"/>
      <c r="H416" s="721"/>
      <c r="I416" s="721"/>
      <c r="J416" s="721"/>
      <c r="K416" s="721"/>
      <c r="L416" s="721"/>
      <c r="M416" s="721" t="s">
        <v>54</v>
      </c>
      <c r="N416" s="721"/>
      <c r="O416" s="722"/>
      <c r="P416" s="722"/>
      <c r="Q416" s="704"/>
      <c r="R416" s="721"/>
      <c r="S416" s="723"/>
      <c r="T416" s="721"/>
      <c r="U416" s="721"/>
    </row>
    <row r="417" spans="1:21" ht="14.5">
      <c r="A417" s="697">
        <v>46255</v>
      </c>
      <c r="B417" s="698" t="s">
        <v>691</v>
      </c>
      <c r="C417" s="698" t="s">
        <v>692</v>
      </c>
      <c r="D417" s="698" t="s">
        <v>788</v>
      </c>
      <c r="E417" s="698" t="s">
        <v>756</v>
      </c>
      <c r="F417" s="700">
        <v>0.33333333333333298</v>
      </c>
      <c r="G417" s="700"/>
      <c r="H417" s="700"/>
      <c r="I417" s="701">
        <v>540</v>
      </c>
      <c r="J417" s="698">
        <v>0</v>
      </c>
      <c r="K417" s="702">
        <v>-9</v>
      </c>
      <c r="L417" s="703">
        <v>0</v>
      </c>
      <c r="M417" s="698" t="s">
        <v>694</v>
      </c>
      <c r="N417" s="698"/>
      <c r="O417" s="706"/>
      <c r="P417" s="706"/>
      <c r="Q417" s="704">
        <v>0</v>
      </c>
      <c r="R417" s="698" t="s">
        <v>695</v>
      </c>
      <c r="S417" s="705"/>
      <c r="T417" s="698"/>
      <c r="U417" s="698"/>
    </row>
    <row r="418" spans="1:21" ht="14.5">
      <c r="A418" s="697"/>
      <c r="B418" s="698" t="s">
        <v>696</v>
      </c>
      <c r="C418" s="698" t="s">
        <v>697</v>
      </c>
      <c r="D418" s="698" t="s">
        <v>1139</v>
      </c>
      <c r="E418" s="698" t="s">
        <v>693</v>
      </c>
      <c r="F418" s="700">
        <v>0.33333333333333298</v>
      </c>
      <c r="G418" s="700">
        <v>0.20972222222222223</v>
      </c>
      <c r="H418" s="700">
        <v>0.93958333333333333</v>
      </c>
      <c r="I418" s="701">
        <v>540</v>
      </c>
      <c r="J418" s="698">
        <v>1051</v>
      </c>
      <c r="K418" s="702">
        <v>8.5166666666666675</v>
      </c>
      <c r="L418" s="703">
        <v>17.516666666666666</v>
      </c>
      <c r="M418" s="698" t="s">
        <v>1140</v>
      </c>
      <c r="N418" s="698" t="s">
        <v>950</v>
      </c>
      <c r="O418" s="706">
        <v>34072</v>
      </c>
      <c r="P418" s="706">
        <v>34186</v>
      </c>
      <c r="Q418" s="704">
        <v>114</v>
      </c>
      <c r="R418" s="698" t="s">
        <v>695</v>
      </c>
      <c r="S418" s="705">
        <v>10</v>
      </c>
      <c r="T418" s="698" t="s">
        <v>763</v>
      </c>
      <c r="U418" s="698" t="s">
        <v>764</v>
      </c>
    </row>
    <row r="419" spans="1:21" ht="14.5">
      <c r="A419" s="697"/>
      <c r="B419" s="698" t="s">
        <v>698</v>
      </c>
      <c r="C419" s="698" t="s">
        <v>699</v>
      </c>
      <c r="D419" s="698" t="s">
        <v>1141</v>
      </c>
      <c r="E419" s="698" t="s">
        <v>700</v>
      </c>
      <c r="F419" s="700">
        <v>0.33333333333333298</v>
      </c>
      <c r="G419" s="700">
        <v>0.4375</v>
      </c>
      <c r="H419" s="700">
        <v>0.95833333333333337</v>
      </c>
      <c r="I419" s="701">
        <v>540</v>
      </c>
      <c r="J419" s="698">
        <v>750</v>
      </c>
      <c r="K419" s="702">
        <v>3.5</v>
      </c>
      <c r="L419" s="703">
        <v>12.5</v>
      </c>
      <c r="M419" s="698" t="s">
        <v>937</v>
      </c>
      <c r="N419" s="698" t="s">
        <v>785</v>
      </c>
      <c r="O419" s="706">
        <v>32201</v>
      </c>
      <c r="P419" s="706">
        <v>32342</v>
      </c>
      <c r="Q419" s="704">
        <v>141</v>
      </c>
      <c r="R419" s="698" t="s">
        <v>701</v>
      </c>
      <c r="S419" s="705">
        <v>25</v>
      </c>
      <c r="T419" s="698" t="s">
        <v>774</v>
      </c>
      <c r="U419" s="698"/>
    </row>
    <row r="420" spans="1:21" ht="14.5">
      <c r="A420" s="697"/>
      <c r="B420" s="698" t="s">
        <v>702</v>
      </c>
      <c r="C420" s="698" t="s">
        <v>703</v>
      </c>
      <c r="D420" s="698" t="s">
        <v>788</v>
      </c>
      <c r="E420" s="698" t="s">
        <v>700</v>
      </c>
      <c r="F420" s="700">
        <v>0.33333333333333298</v>
      </c>
      <c r="G420" s="700"/>
      <c r="H420" s="700"/>
      <c r="I420" s="701">
        <v>540</v>
      </c>
      <c r="J420" s="698">
        <v>0</v>
      </c>
      <c r="K420" s="702">
        <v>-9</v>
      </c>
      <c r="L420" s="703">
        <v>0</v>
      </c>
      <c r="M420" s="698" t="s">
        <v>694</v>
      </c>
      <c r="N420" s="698"/>
      <c r="O420" s="706"/>
      <c r="P420" s="706"/>
      <c r="Q420" s="704">
        <v>0</v>
      </c>
      <c r="R420" s="698" t="s">
        <v>701</v>
      </c>
      <c r="S420" s="705"/>
      <c r="T420" s="698"/>
      <c r="U420" s="698"/>
    </row>
    <row r="421" spans="1:21" ht="14.5">
      <c r="A421" s="697"/>
      <c r="B421" s="698" t="s">
        <v>704</v>
      </c>
      <c r="C421" s="698" t="s">
        <v>705</v>
      </c>
      <c r="D421" s="698" t="s">
        <v>1142</v>
      </c>
      <c r="E421" s="698" t="s">
        <v>1018</v>
      </c>
      <c r="F421" s="700">
        <v>0.33333333333333298</v>
      </c>
      <c r="G421" s="700">
        <v>0.33333333333333331</v>
      </c>
      <c r="H421" s="700">
        <v>0.70833333333333337</v>
      </c>
      <c r="I421" s="701">
        <v>540</v>
      </c>
      <c r="J421" s="698">
        <v>540.00000000000011</v>
      </c>
      <c r="K421" s="702">
        <v>1.8947806286936005E-15</v>
      </c>
      <c r="L421" s="703">
        <v>9.0000000000000018</v>
      </c>
      <c r="M421" s="698" t="s">
        <v>849</v>
      </c>
      <c r="N421" s="698" t="s">
        <v>1019</v>
      </c>
      <c r="O421" s="706">
        <v>42460</v>
      </c>
      <c r="P421" s="706">
        <v>42475</v>
      </c>
      <c r="Q421" s="704">
        <v>15</v>
      </c>
      <c r="R421" s="698" t="s">
        <v>701</v>
      </c>
      <c r="S421" s="705">
        <v>5</v>
      </c>
      <c r="T421" s="698" t="s">
        <v>728</v>
      </c>
      <c r="U421" s="698"/>
    </row>
    <row r="422" spans="1:21" ht="14.5">
      <c r="A422" s="697"/>
      <c r="B422" s="698" t="s">
        <v>706</v>
      </c>
      <c r="C422" s="698" t="s">
        <v>707</v>
      </c>
      <c r="D422" s="698" t="s">
        <v>1143</v>
      </c>
      <c r="E422" s="698" t="s">
        <v>777</v>
      </c>
      <c r="F422" s="700">
        <v>0.33333333333333298</v>
      </c>
      <c r="G422" s="700">
        <v>0.33333333333333331</v>
      </c>
      <c r="H422" s="700">
        <v>0.70833333333333337</v>
      </c>
      <c r="I422" s="701">
        <v>540</v>
      </c>
      <c r="J422" s="698">
        <v>540.00000000000011</v>
      </c>
      <c r="K422" s="702">
        <v>1.8947806286936005E-15</v>
      </c>
      <c r="L422" s="703">
        <v>9.0000000000000018</v>
      </c>
      <c r="M422" s="698" t="s">
        <v>849</v>
      </c>
      <c r="N422" s="698" t="s">
        <v>1144</v>
      </c>
      <c r="O422" s="706">
        <v>22791</v>
      </c>
      <c r="P422" s="706">
        <v>22888</v>
      </c>
      <c r="Q422" s="704">
        <v>97</v>
      </c>
      <c r="R422" s="698" t="s">
        <v>701</v>
      </c>
      <c r="S422" s="705">
        <v>15</v>
      </c>
      <c r="T422" s="698" t="s">
        <v>728</v>
      </c>
      <c r="U422" s="698"/>
    </row>
    <row r="423" spans="1:21" ht="14.5">
      <c r="A423" s="697"/>
      <c r="B423" s="698" t="s">
        <v>708</v>
      </c>
      <c r="C423" s="698" t="s">
        <v>709</v>
      </c>
      <c r="D423" s="698" t="s">
        <v>779</v>
      </c>
      <c r="E423" s="698" t="s">
        <v>928</v>
      </c>
      <c r="F423" s="700">
        <v>0.33333333333333298</v>
      </c>
      <c r="G423" s="700">
        <v>0.32291666666666669</v>
      </c>
      <c r="H423" s="700">
        <v>0.71180555555555547</v>
      </c>
      <c r="I423" s="701">
        <v>540</v>
      </c>
      <c r="J423" s="698">
        <v>559.99999999999989</v>
      </c>
      <c r="K423" s="702">
        <v>0.33333333333333143</v>
      </c>
      <c r="L423" s="703">
        <v>9.3333333333333321</v>
      </c>
      <c r="M423" s="698" t="s">
        <v>1114</v>
      </c>
      <c r="N423" s="698" t="s">
        <v>711</v>
      </c>
      <c r="O423" s="706">
        <v>21663</v>
      </c>
      <c r="P423" s="706">
        <v>21700</v>
      </c>
      <c r="Q423" s="704">
        <v>37</v>
      </c>
      <c r="R423" s="698" t="s">
        <v>695</v>
      </c>
      <c r="S423" s="705">
        <v>29</v>
      </c>
      <c r="T423" s="698" t="s">
        <v>774</v>
      </c>
      <c r="U423" s="698" t="s">
        <v>1145</v>
      </c>
    </row>
    <row r="424" spans="1:21" ht="14.5">
      <c r="A424" s="697"/>
      <c r="B424" s="698" t="s">
        <v>712</v>
      </c>
      <c r="C424" s="698" t="s">
        <v>713</v>
      </c>
      <c r="D424" s="698" t="s">
        <v>1146</v>
      </c>
      <c r="E424" s="698" t="s">
        <v>930</v>
      </c>
      <c r="F424" s="700">
        <v>0.33333333333333298</v>
      </c>
      <c r="G424" s="700">
        <v>0.33333333333333331</v>
      </c>
      <c r="H424" s="700">
        <v>0.95833333333333337</v>
      </c>
      <c r="I424" s="701">
        <v>540</v>
      </c>
      <c r="J424" s="698">
        <v>900</v>
      </c>
      <c r="K424" s="702">
        <v>6</v>
      </c>
      <c r="L424" s="703">
        <v>15</v>
      </c>
      <c r="M424" s="698" t="s">
        <v>1147</v>
      </c>
      <c r="N424" s="698" t="s">
        <v>714</v>
      </c>
      <c r="O424" s="706">
        <v>45310</v>
      </c>
      <c r="P424" s="706">
        <v>45453</v>
      </c>
      <c r="Q424" s="704">
        <v>143</v>
      </c>
      <c r="R424" s="698" t="s">
        <v>695</v>
      </c>
      <c r="S424" s="705">
        <v>20</v>
      </c>
      <c r="T424" s="698" t="s">
        <v>774</v>
      </c>
      <c r="U424" s="698" t="s">
        <v>785</v>
      </c>
    </row>
    <row r="425" spans="1:21" ht="14.5">
      <c r="A425" s="697"/>
      <c r="B425" s="698" t="s">
        <v>715</v>
      </c>
      <c r="C425" s="698" t="s">
        <v>716</v>
      </c>
      <c r="D425" s="707" t="s">
        <v>788</v>
      </c>
      <c r="E425" s="698" t="s">
        <v>190</v>
      </c>
      <c r="F425" s="700">
        <v>0.33333333333333298</v>
      </c>
      <c r="G425" s="700"/>
      <c r="H425" s="700"/>
      <c r="I425" s="701">
        <v>540</v>
      </c>
      <c r="J425" s="698">
        <v>0</v>
      </c>
      <c r="K425" s="702">
        <v>-9</v>
      </c>
      <c r="L425" s="703">
        <v>0</v>
      </c>
      <c r="M425" s="698" t="s">
        <v>694</v>
      </c>
      <c r="N425" s="698" t="s">
        <v>717</v>
      </c>
      <c r="O425" s="706"/>
      <c r="P425" s="706"/>
      <c r="Q425" s="704">
        <v>0</v>
      </c>
      <c r="R425" s="698" t="s">
        <v>695</v>
      </c>
      <c r="S425" s="705"/>
      <c r="T425" s="698"/>
      <c r="U425" s="698"/>
    </row>
    <row r="426" spans="1:21" ht="14.5">
      <c r="A426" s="697"/>
      <c r="B426" s="707" t="s">
        <v>718</v>
      </c>
      <c r="C426" s="707" t="s">
        <v>719</v>
      </c>
      <c r="D426" s="707" t="s">
        <v>1121</v>
      </c>
      <c r="E426" s="707" t="s">
        <v>720</v>
      </c>
      <c r="F426" s="700">
        <v>0.33333333333333298</v>
      </c>
      <c r="G426" s="700">
        <v>0.33333333333333331</v>
      </c>
      <c r="H426" s="700">
        <v>0.83333333333333337</v>
      </c>
      <c r="I426" s="701">
        <v>540</v>
      </c>
      <c r="J426" s="698">
        <v>720</v>
      </c>
      <c r="K426" s="702">
        <v>3</v>
      </c>
      <c r="L426" s="703">
        <v>12</v>
      </c>
      <c r="M426" s="698" t="s">
        <v>874</v>
      </c>
      <c r="N426" s="707" t="s">
        <v>721</v>
      </c>
      <c r="O426" s="708">
        <v>19173</v>
      </c>
      <c r="P426" s="708">
        <v>19212</v>
      </c>
      <c r="Q426" s="704">
        <v>39</v>
      </c>
      <c r="R426" s="707" t="s">
        <v>701</v>
      </c>
      <c r="S426" s="709">
        <v>6</v>
      </c>
      <c r="T426" s="707" t="s">
        <v>728</v>
      </c>
      <c r="U426" s="707" t="s">
        <v>1122</v>
      </c>
    </row>
    <row r="427" spans="1:21" ht="14.5">
      <c r="A427" s="697"/>
      <c r="B427" s="707" t="s">
        <v>722</v>
      </c>
      <c r="C427" s="707" t="s">
        <v>723</v>
      </c>
      <c r="D427" s="707" t="s">
        <v>1148</v>
      </c>
      <c r="E427" s="707" t="s">
        <v>725</v>
      </c>
      <c r="F427" s="700">
        <v>0.33333333333333298</v>
      </c>
      <c r="G427" s="700">
        <v>0.375</v>
      </c>
      <c r="H427" s="700">
        <v>0.92013888888888884</v>
      </c>
      <c r="I427" s="701">
        <v>540</v>
      </c>
      <c r="J427" s="698">
        <v>784.99999999999989</v>
      </c>
      <c r="K427" s="702">
        <v>4.0833333333333313</v>
      </c>
      <c r="L427" s="703">
        <v>13.083333333333332</v>
      </c>
      <c r="M427" s="698" t="s">
        <v>1149</v>
      </c>
      <c r="N427" s="707" t="s">
        <v>727</v>
      </c>
      <c r="O427" s="708">
        <v>30218</v>
      </c>
      <c r="P427" s="708">
        <v>30274</v>
      </c>
      <c r="Q427" s="704">
        <v>56</v>
      </c>
      <c r="R427" s="707" t="s">
        <v>695</v>
      </c>
      <c r="S427" s="709"/>
      <c r="T427" s="707" t="s">
        <v>1150</v>
      </c>
      <c r="U427" s="707" t="s">
        <v>1151</v>
      </c>
    </row>
    <row r="428" spans="1:21" ht="14.5">
      <c r="A428" s="697"/>
      <c r="B428" s="707" t="s">
        <v>730</v>
      </c>
      <c r="C428" s="707" t="s">
        <v>731</v>
      </c>
      <c r="D428" s="711" t="s">
        <v>1152</v>
      </c>
      <c r="E428" s="707" t="s">
        <v>732</v>
      </c>
      <c r="F428" s="700">
        <v>0.33333333333333298</v>
      </c>
      <c r="G428" s="700">
        <v>0.5625</v>
      </c>
      <c r="H428" s="700">
        <v>0.95833333333333337</v>
      </c>
      <c r="I428" s="701">
        <v>540</v>
      </c>
      <c r="J428" s="698">
        <v>570</v>
      </c>
      <c r="K428" s="702">
        <v>0.5</v>
      </c>
      <c r="L428" s="703">
        <v>9.5</v>
      </c>
      <c r="M428" s="698" t="s">
        <v>953</v>
      </c>
      <c r="N428" s="707" t="s">
        <v>733</v>
      </c>
      <c r="O428" s="708">
        <v>25705</v>
      </c>
      <c r="P428" s="708">
        <v>25842</v>
      </c>
      <c r="Q428" s="704">
        <v>137</v>
      </c>
      <c r="R428" s="707" t="s">
        <v>701</v>
      </c>
      <c r="S428" s="709">
        <v>26</v>
      </c>
      <c r="T428" s="707" t="s">
        <v>781</v>
      </c>
      <c r="U428" s="707" t="s">
        <v>785</v>
      </c>
    </row>
    <row r="429" spans="1:21" ht="14.5">
      <c r="A429" s="697"/>
      <c r="B429" s="710" t="s">
        <v>734</v>
      </c>
      <c r="C429" s="711" t="s">
        <v>735</v>
      </c>
      <c r="D429" s="714" t="s">
        <v>788</v>
      </c>
      <c r="E429" s="711" t="s">
        <v>89</v>
      </c>
      <c r="F429" s="712">
        <v>0.33333333333333298</v>
      </c>
      <c r="G429" s="712"/>
      <c r="H429" s="712"/>
      <c r="I429" s="713">
        <v>540</v>
      </c>
      <c r="J429" s="714">
        <v>0</v>
      </c>
      <c r="K429" s="715">
        <v>-9</v>
      </c>
      <c r="L429" s="716">
        <v>0</v>
      </c>
      <c r="M429" s="714" t="s">
        <v>694</v>
      </c>
      <c r="N429" s="711" t="s">
        <v>736</v>
      </c>
      <c r="O429" s="717"/>
      <c r="P429" s="717"/>
      <c r="Q429" s="704">
        <v>0</v>
      </c>
      <c r="R429" s="711" t="s">
        <v>701</v>
      </c>
      <c r="S429" s="718"/>
      <c r="T429" s="711"/>
      <c r="U429" s="711"/>
    </row>
    <row r="430" spans="1:21" ht="14.5">
      <c r="A430" s="697"/>
      <c r="B430" s="714" t="s">
        <v>737</v>
      </c>
      <c r="C430" s="714" t="s">
        <v>738</v>
      </c>
      <c r="D430" s="707" t="s">
        <v>975</v>
      </c>
      <c r="E430" s="714" t="s">
        <v>1130</v>
      </c>
      <c r="F430" s="712">
        <v>0.33333333333333298</v>
      </c>
      <c r="G430" s="712">
        <v>0.39583333333333331</v>
      </c>
      <c r="H430" s="712">
        <v>0.70833333333333337</v>
      </c>
      <c r="I430" s="713">
        <v>540</v>
      </c>
      <c r="J430" s="714">
        <v>450.00000000000006</v>
      </c>
      <c r="K430" s="715">
        <v>-1.4999999999999991</v>
      </c>
      <c r="L430" s="716">
        <v>7.5000000000000009</v>
      </c>
      <c r="M430" s="714" t="s">
        <v>827</v>
      </c>
      <c r="N430" s="714" t="s">
        <v>977</v>
      </c>
      <c r="O430" s="719">
        <v>6824</v>
      </c>
      <c r="P430" s="719">
        <v>6947</v>
      </c>
      <c r="Q430" s="704">
        <v>123</v>
      </c>
      <c r="R430" s="714" t="s">
        <v>695</v>
      </c>
      <c r="S430" s="720">
        <v>15</v>
      </c>
      <c r="T430" s="714" t="s">
        <v>763</v>
      </c>
      <c r="U430" s="714" t="s">
        <v>739</v>
      </c>
    </row>
    <row r="431" spans="1:21" ht="14.5">
      <c r="A431" s="697"/>
      <c r="B431" s="707"/>
      <c r="C431" s="707" t="s">
        <v>740</v>
      </c>
      <c r="D431" s="707" t="s">
        <v>54</v>
      </c>
      <c r="E431" s="707" t="s">
        <v>741</v>
      </c>
      <c r="F431" s="700">
        <v>0.33333333333333298</v>
      </c>
      <c r="G431" s="700"/>
      <c r="H431" s="700"/>
      <c r="I431" s="701">
        <v>540</v>
      </c>
      <c r="J431" s="698">
        <v>0</v>
      </c>
      <c r="K431" s="702">
        <v>-9</v>
      </c>
      <c r="L431" s="703">
        <v>0</v>
      </c>
      <c r="M431" s="698" t="s">
        <v>694</v>
      </c>
      <c r="N431" s="707"/>
      <c r="O431" s="708"/>
      <c r="P431" s="708"/>
      <c r="Q431" s="704">
        <v>0</v>
      </c>
      <c r="R431" s="707" t="s">
        <v>742</v>
      </c>
      <c r="S431" s="709"/>
      <c r="T431" s="707"/>
      <c r="U431" s="707"/>
    </row>
    <row r="432" spans="1:21" ht="14.5">
      <c r="A432" s="697"/>
      <c r="B432" s="707" t="s">
        <v>54</v>
      </c>
      <c r="C432" s="707" t="s">
        <v>743</v>
      </c>
      <c r="D432" s="698"/>
      <c r="E432" s="707" t="s">
        <v>744</v>
      </c>
      <c r="F432" s="700">
        <v>0.33333333333333298</v>
      </c>
      <c r="G432" s="700"/>
      <c r="H432" s="700"/>
      <c r="I432" s="701">
        <v>540</v>
      </c>
      <c r="J432" s="698">
        <v>0</v>
      </c>
      <c r="K432" s="702">
        <v>-9</v>
      </c>
      <c r="L432" s="703">
        <v>0</v>
      </c>
      <c r="M432" s="698" t="s">
        <v>694</v>
      </c>
      <c r="N432" s="707"/>
      <c r="O432" s="708"/>
      <c r="P432" s="708"/>
      <c r="Q432" s="704">
        <v>0</v>
      </c>
      <c r="R432" s="707" t="s">
        <v>742</v>
      </c>
      <c r="S432" s="709"/>
      <c r="T432" s="707"/>
      <c r="U432" s="707"/>
    </row>
    <row r="433" spans="1:21" ht="14.5">
      <c r="A433" s="697"/>
      <c r="B433" s="698" t="s">
        <v>745</v>
      </c>
      <c r="C433" s="698"/>
      <c r="D433" s="698"/>
      <c r="E433" s="698"/>
      <c r="F433" s="700">
        <v>0.33333333333333298</v>
      </c>
      <c r="G433" s="700"/>
      <c r="H433" s="700"/>
      <c r="I433" s="701">
        <v>540</v>
      </c>
      <c r="J433" s="698">
        <v>0</v>
      </c>
      <c r="K433" s="702">
        <v>-9</v>
      </c>
      <c r="L433" s="703">
        <v>0</v>
      </c>
      <c r="M433" s="698" t="s">
        <v>694</v>
      </c>
      <c r="N433" s="698"/>
      <c r="O433" s="706"/>
      <c r="P433" s="706"/>
      <c r="Q433" s="704">
        <v>0</v>
      </c>
      <c r="R433" s="698"/>
      <c r="S433" s="705"/>
      <c r="T433" s="698"/>
      <c r="U433" s="698"/>
    </row>
    <row r="434" spans="1:21" ht="14.5">
      <c r="A434" s="697"/>
      <c r="B434" s="698" t="s">
        <v>746</v>
      </c>
      <c r="C434" s="698" t="s">
        <v>747</v>
      </c>
      <c r="D434" s="707" t="s">
        <v>788</v>
      </c>
      <c r="E434" s="698" t="s">
        <v>190</v>
      </c>
      <c r="F434" s="700">
        <v>0.33333333333333298</v>
      </c>
      <c r="G434" s="700"/>
      <c r="H434" s="700"/>
      <c r="I434" s="701">
        <v>540</v>
      </c>
      <c r="J434" s="698">
        <v>0</v>
      </c>
      <c r="K434" s="702">
        <v>-9</v>
      </c>
      <c r="L434" s="703">
        <v>0</v>
      </c>
      <c r="M434" s="698" t="s">
        <v>694</v>
      </c>
      <c r="N434" s="698"/>
      <c r="O434" s="706"/>
      <c r="P434" s="706"/>
      <c r="Q434" s="704">
        <v>0</v>
      </c>
      <c r="R434" s="698" t="s">
        <v>701</v>
      </c>
      <c r="S434" s="705"/>
      <c r="T434" s="698"/>
      <c r="U434" s="698"/>
    </row>
    <row r="435" spans="1:21" ht="14.5">
      <c r="A435" s="697"/>
      <c r="B435" s="707" t="s">
        <v>748</v>
      </c>
      <c r="C435" s="707" t="s">
        <v>749</v>
      </c>
      <c r="D435" s="707" t="s">
        <v>788</v>
      </c>
      <c r="E435" s="707" t="s">
        <v>278</v>
      </c>
      <c r="F435" s="700">
        <v>0.33333333333333298</v>
      </c>
      <c r="G435" s="700"/>
      <c r="H435" s="700"/>
      <c r="I435" s="701">
        <v>540</v>
      </c>
      <c r="J435" s="698">
        <v>0</v>
      </c>
      <c r="K435" s="702">
        <v>-9</v>
      </c>
      <c r="L435" s="703">
        <v>0</v>
      </c>
      <c r="M435" s="698" t="s">
        <v>694</v>
      </c>
      <c r="N435" s="707"/>
      <c r="O435" s="708"/>
      <c r="P435" s="708"/>
      <c r="Q435" s="704">
        <v>0</v>
      </c>
      <c r="R435" s="707" t="s">
        <v>695</v>
      </c>
      <c r="S435" s="709"/>
      <c r="T435" s="707"/>
      <c r="U435" s="707"/>
    </row>
    <row r="436" spans="1:21" ht="14.5">
      <c r="A436" s="697"/>
      <c r="B436" s="707" t="s">
        <v>750</v>
      </c>
      <c r="C436" s="707"/>
      <c r="D436" s="707"/>
      <c r="E436" s="707"/>
      <c r="F436" s="700">
        <v>0.33333333333333298</v>
      </c>
      <c r="G436" s="700"/>
      <c r="H436" s="700"/>
      <c r="I436" s="701">
        <v>540</v>
      </c>
      <c r="J436" s="698">
        <v>0</v>
      </c>
      <c r="K436" s="702">
        <v>-9</v>
      </c>
      <c r="L436" s="703">
        <v>0</v>
      </c>
      <c r="M436" s="698" t="s">
        <v>694</v>
      </c>
      <c r="N436" s="707"/>
      <c r="O436" s="708"/>
      <c r="P436" s="708"/>
      <c r="Q436" s="704">
        <v>0</v>
      </c>
      <c r="R436" s="707"/>
      <c r="S436" s="709"/>
      <c r="T436" s="707"/>
      <c r="U436" s="707"/>
    </row>
    <row r="437" spans="1:21" ht="14.5">
      <c r="A437" s="697"/>
      <c r="B437" s="707" t="s">
        <v>751</v>
      </c>
      <c r="C437" s="707" t="s">
        <v>752</v>
      </c>
      <c r="D437" s="711" t="s">
        <v>1153</v>
      </c>
      <c r="E437" s="707" t="s">
        <v>725</v>
      </c>
      <c r="F437" s="700">
        <v>0.33333333333333298</v>
      </c>
      <c r="G437" s="700">
        <v>0.31319444444444444</v>
      </c>
      <c r="H437" s="700">
        <v>0.7090277777777777</v>
      </c>
      <c r="I437" s="701">
        <v>540</v>
      </c>
      <c r="J437" s="698">
        <v>569.99999999999989</v>
      </c>
      <c r="K437" s="702">
        <v>0.49999999999999811</v>
      </c>
      <c r="L437" s="703">
        <v>9.4999999999999982</v>
      </c>
      <c r="M437" s="698" t="s">
        <v>953</v>
      </c>
      <c r="N437" s="707" t="s">
        <v>915</v>
      </c>
      <c r="O437" s="708">
        <v>9481</v>
      </c>
      <c r="P437" s="708">
        <v>9496</v>
      </c>
      <c r="Q437" s="704">
        <v>15</v>
      </c>
      <c r="R437" s="707" t="s">
        <v>701</v>
      </c>
      <c r="S437" s="709"/>
      <c r="T437" s="707" t="s">
        <v>763</v>
      </c>
      <c r="U437" s="707"/>
    </row>
    <row r="438" spans="1:21">
      <c r="A438" s="697"/>
      <c r="B438" s="710" t="s">
        <v>754</v>
      </c>
      <c r="C438" s="711" t="s">
        <v>755</v>
      </c>
      <c r="D438" s="721" t="s">
        <v>1154</v>
      </c>
      <c r="E438" s="711" t="s">
        <v>190</v>
      </c>
      <c r="F438" s="712">
        <v>0.33333333333333298</v>
      </c>
      <c r="G438" s="712">
        <v>0.375</v>
      </c>
      <c r="H438" s="712">
        <v>0.71527777777777779</v>
      </c>
      <c r="I438" s="713">
        <v>540</v>
      </c>
      <c r="J438" s="714">
        <v>490</v>
      </c>
      <c r="K438" s="715">
        <v>-0.83333333333333337</v>
      </c>
      <c r="L438" s="716">
        <v>8.1666666666666661</v>
      </c>
      <c r="M438" s="714" t="s">
        <v>1091</v>
      </c>
      <c r="N438" s="711" t="s">
        <v>1115</v>
      </c>
      <c r="O438" s="717">
        <v>22658</v>
      </c>
      <c r="P438" s="717">
        <v>22708</v>
      </c>
      <c r="Q438" s="704">
        <v>50</v>
      </c>
      <c r="R438" s="711" t="s">
        <v>701</v>
      </c>
      <c r="S438" s="718"/>
      <c r="T438" s="711" t="s">
        <v>806</v>
      </c>
      <c r="U438" s="711"/>
    </row>
    <row r="439" spans="1:21">
      <c r="A439" s="697"/>
      <c r="B439" s="721" t="s">
        <v>54</v>
      </c>
      <c r="C439" s="721"/>
      <c r="D439" s="699" t="s">
        <v>54</v>
      </c>
      <c r="E439" s="721"/>
      <c r="F439" s="721"/>
      <c r="G439" s="721"/>
      <c r="H439" s="721"/>
      <c r="I439" s="721"/>
      <c r="J439" s="721"/>
      <c r="K439" s="721"/>
      <c r="L439" s="721"/>
      <c r="M439" s="721" t="s">
        <v>54</v>
      </c>
      <c r="N439" s="721"/>
      <c r="O439" s="722"/>
      <c r="P439" s="722"/>
      <c r="Q439" s="704"/>
      <c r="R439" s="721"/>
      <c r="S439" s="723"/>
      <c r="T439" s="721"/>
      <c r="U439" s="721"/>
    </row>
    <row r="440" spans="1:21" ht="14.5">
      <c r="A440" s="697">
        <v>46256</v>
      </c>
      <c r="B440" s="698" t="s">
        <v>691</v>
      </c>
      <c r="C440" s="698" t="s">
        <v>692</v>
      </c>
      <c r="D440" s="698"/>
      <c r="E440" s="698" t="s">
        <v>756</v>
      </c>
      <c r="F440" s="700">
        <v>0.33333333333333298</v>
      </c>
      <c r="G440" s="700"/>
      <c r="H440" s="700"/>
      <c r="I440" s="701">
        <v>540</v>
      </c>
      <c r="J440" s="698">
        <v>0</v>
      </c>
      <c r="K440" s="702">
        <v>-9</v>
      </c>
      <c r="L440" s="703">
        <v>0</v>
      </c>
      <c r="M440" s="698" t="s">
        <v>694</v>
      </c>
      <c r="N440" s="698"/>
      <c r="O440" s="706"/>
      <c r="P440" s="706"/>
      <c r="Q440" s="704">
        <v>0</v>
      </c>
      <c r="R440" s="698" t="s">
        <v>695</v>
      </c>
      <c r="S440" s="705"/>
      <c r="T440" s="698"/>
      <c r="U440" s="698"/>
    </row>
    <row r="441" spans="1:21" ht="14.5">
      <c r="A441" s="697"/>
      <c r="B441" s="698" t="s">
        <v>696</v>
      </c>
      <c r="C441" s="698" t="s">
        <v>697</v>
      </c>
      <c r="D441" s="698"/>
      <c r="E441" s="698" t="s">
        <v>756</v>
      </c>
      <c r="F441" s="700">
        <v>0.33333333333333298</v>
      </c>
      <c r="G441" s="700"/>
      <c r="H441" s="700"/>
      <c r="I441" s="701">
        <v>540</v>
      </c>
      <c r="J441" s="698">
        <v>0</v>
      </c>
      <c r="K441" s="702">
        <v>-9</v>
      </c>
      <c r="L441" s="703">
        <v>0</v>
      </c>
      <c r="M441" s="698" t="s">
        <v>694</v>
      </c>
      <c r="N441" s="698"/>
      <c r="O441" s="706"/>
      <c r="P441" s="706"/>
      <c r="Q441" s="704">
        <v>0</v>
      </c>
      <c r="R441" s="698" t="s">
        <v>695</v>
      </c>
      <c r="S441" s="705"/>
      <c r="T441" s="698"/>
      <c r="U441" s="698"/>
    </row>
    <row r="442" spans="1:21" ht="14.5">
      <c r="A442" s="697"/>
      <c r="B442" s="698" t="s">
        <v>698</v>
      </c>
      <c r="C442" s="698" t="s">
        <v>699</v>
      </c>
      <c r="D442" s="698" t="s">
        <v>1155</v>
      </c>
      <c r="E442" s="698" t="s">
        <v>930</v>
      </c>
      <c r="F442" s="700">
        <v>0.33333333333333298</v>
      </c>
      <c r="G442" s="700">
        <v>0.56944444444444442</v>
      </c>
      <c r="H442" s="700">
        <v>0.69097222222222221</v>
      </c>
      <c r="I442" s="701">
        <v>540</v>
      </c>
      <c r="J442" s="698">
        <v>175.00000000000003</v>
      </c>
      <c r="K442" s="702">
        <v>-6.083333333333333</v>
      </c>
      <c r="L442" s="703">
        <v>2.916666666666667</v>
      </c>
      <c r="M442" s="698" t="s">
        <v>1156</v>
      </c>
      <c r="N442" s="698" t="s">
        <v>785</v>
      </c>
      <c r="O442" s="706">
        <v>32342</v>
      </c>
      <c r="P442" s="706">
        <v>32469</v>
      </c>
      <c r="Q442" s="704">
        <v>127</v>
      </c>
      <c r="R442" s="698" t="s">
        <v>701</v>
      </c>
      <c r="S442" s="705"/>
      <c r="T442" s="698" t="s">
        <v>774</v>
      </c>
      <c r="U442" s="698"/>
    </row>
    <row r="443" spans="1:21" ht="14.5">
      <c r="A443" s="697"/>
      <c r="B443" s="698" t="s">
        <v>702</v>
      </c>
      <c r="C443" s="698" t="s">
        <v>703</v>
      </c>
      <c r="D443" s="698"/>
      <c r="E443" s="698" t="s">
        <v>700</v>
      </c>
      <c r="F443" s="700">
        <v>0.33333333333333298</v>
      </c>
      <c r="G443" s="700"/>
      <c r="H443" s="700"/>
      <c r="I443" s="701">
        <v>540</v>
      </c>
      <c r="J443" s="698">
        <v>0</v>
      </c>
      <c r="K443" s="702">
        <v>-9</v>
      </c>
      <c r="L443" s="703">
        <v>0</v>
      </c>
      <c r="M443" s="698" t="s">
        <v>694</v>
      </c>
      <c r="N443" s="698"/>
      <c r="O443" s="706"/>
      <c r="P443" s="706"/>
      <c r="Q443" s="704">
        <v>0</v>
      </c>
      <c r="R443" s="698" t="s">
        <v>701</v>
      </c>
      <c r="S443" s="705"/>
      <c r="T443" s="698"/>
      <c r="U443" s="698"/>
    </row>
    <row r="444" spans="1:21" ht="14.5">
      <c r="A444" s="697"/>
      <c r="B444" s="698" t="s">
        <v>704</v>
      </c>
      <c r="C444" s="698" t="s">
        <v>705</v>
      </c>
      <c r="D444" s="698"/>
      <c r="E444" s="698" t="s">
        <v>1060</v>
      </c>
      <c r="F444" s="700">
        <v>0.33333333333333298</v>
      </c>
      <c r="G444" s="700"/>
      <c r="H444" s="700"/>
      <c r="I444" s="701">
        <v>540</v>
      </c>
      <c r="J444" s="698">
        <v>0</v>
      </c>
      <c r="K444" s="702">
        <v>-9</v>
      </c>
      <c r="L444" s="703">
        <v>0</v>
      </c>
      <c r="M444" s="698" t="s">
        <v>694</v>
      </c>
      <c r="N444" s="698"/>
      <c r="O444" s="706"/>
      <c r="P444" s="706"/>
      <c r="Q444" s="704">
        <v>0</v>
      </c>
      <c r="R444" s="698" t="s">
        <v>701</v>
      </c>
      <c r="S444" s="705"/>
      <c r="T444" s="698"/>
      <c r="U444" s="698"/>
    </row>
    <row r="445" spans="1:21" ht="14.5">
      <c r="A445" s="697"/>
      <c r="B445" s="698" t="s">
        <v>706</v>
      </c>
      <c r="C445" s="698" t="s">
        <v>707</v>
      </c>
      <c r="D445" s="698"/>
      <c r="E445" s="698" t="s">
        <v>1060</v>
      </c>
      <c r="F445" s="700">
        <v>0.33333333333333298</v>
      </c>
      <c r="G445" s="700"/>
      <c r="H445" s="700"/>
      <c r="I445" s="701">
        <v>540</v>
      </c>
      <c r="J445" s="698">
        <v>0</v>
      </c>
      <c r="K445" s="702">
        <v>-9</v>
      </c>
      <c r="L445" s="703">
        <v>0</v>
      </c>
      <c r="M445" s="698" t="s">
        <v>694</v>
      </c>
      <c r="N445" s="698"/>
      <c r="O445" s="706"/>
      <c r="P445" s="706"/>
      <c r="Q445" s="704">
        <v>0</v>
      </c>
      <c r="R445" s="698" t="s">
        <v>701</v>
      </c>
      <c r="S445" s="705"/>
      <c r="T445" s="698"/>
      <c r="U445" s="698"/>
    </row>
    <row r="446" spans="1:21" ht="14.5">
      <c r="A446" s="697"/>
      <c r="B446" s="698" t="s">
        <v>708</v>
      </c>
      <c r="C446" s="698" t="s">
        <v>709</v>
      </c>
      <c r="D446" s="698"/>
      <c r="E446" s="698" t="s">
        <v>928</v>
      </c>
      <c r="F446" s="700">
        <v>0.33333333333333298</v>
      </c>
      <c r="G446" s="700"/>
      <c r="H446" s="700"/>
      <c r="I446" s="701">
        <v>540</v>
      </c>
      <c r="J446" s="698">
        <v>0</v>
      </c>
      <c r="K446" s="702">
        <v>-9</v>
      </c>
      <c r="L446" s="703">
        <v>0</v>
      </c>
      <c r="M446" s="698" t="s">
        <v>694</v>
      </c>
      <c r="N446" s="698" t="s">
        <v>711</v>
      </c>
      <c r="O446" s="706"/>
      <c r="P446" s="706"/>
      <c r="Q446" s="704">
        <v>0</v>
      </c>
      <c r="R446" s="698" t="s">
        <v>695</v>
      </c>
      <c r="S446" s="705"/>
      <c r="T446" s="698"/>
      <c r="U446" s="698"/>
    </row>
    <row r="447" spans="1:21" ht="14.5">
      <c r="A447" s="697"/>
      <c r="B447" s="698" t="s">
        <v>712</v>
      </c>
      <c r="C447" s="698" t="s">
        <v>713</v>
      </c>
      <c r="D447" s="698" t="s">
        <v>1157</v>
      </c>
      <c r="E447" s="698" t="s">
        <v>930</v>
      </c>
      <c r="F447" s="700">
        <v>0.33333333333333298</v>
      </c>
      <c r="G447" s="700">
        <v>0.5625</v>
      </c>
      <c r="H447" s="700">
        <v>0.70833333333333337</v>
      </c>
      <c r="I447" s="701">
        <v>540</v>
      </c>
      <c r="J447" s="698">
        <v>210.00000000000006</v>
      </c>
      <c r="K447" s="702">
        <v>-5.4999999999999991</v>
      </c>
      <c r="L447" s="703">
        <v>3.5000000000000009</v>
      </c>
      <c r="M447" s="698" t="s">
        <v>816</v>
      </c>
      <c r="N447" s="698" t="s">
        <v>714</v>
      </c>
      <c r="O447" s="706">
        <v>45453</v>
      </c>
      <c r="P447" s="706">
        <v>45579</v>
      </c>
      <c r="Q447" s="704">
        <v>126</v>
      </c>
      <c r="R447" s="698" t="s">
        <v>695</v>
      </c>
      <c r="S447" s="705"/>
      <c r="T447" s="698" t="s">
        <v>846</v>
      </c>
      <c r="U447" s="698" t="s">
        <v>785</v>
      </c>
    </row>
    <row r="448" spans="1:21" ht="14.5">
      <c r="A448" s="697"/>
      <c r="B448" s="698" t="s">
        <v>715</v>
      </c>
      <c r="C448" s="698" t="s">
        <v>716</v>
      </c>
      <c r="D448" s="707"/>
      <c r="E448" s="698" t="s">
        <v>190</v>
      </c>
      <c r="F448" s="700">
        <v>0.33333333333333298</v>
      </c>
      <c r="G448" s="700"/>
      <c r="H448" s="700"/>
      <c r="I448" s="701">
        <v>540</v>
      </c>
      <c r="J448" s="698">
        <v>0</v>
      </c>
      <c r="K448" s="702">
        <v>-9</v>
      </c>
      <c r="L448" s="703">
        <v>0</v>
      </c>
      <c r="M448" s="698" t="s">
        <v>694</v>
      </c>
      <c r="N448" s="698" t="s">
        <v>717</v>
      </c>
      <c r="O448" s="706"/>
      <c r="P448" s="706"/>
      <c r="Q448" s="704">
        <v>0</v>
      </c>
      <c r="R448" s="698" t="s">
        <v>695</v>
      </c>
      <c r="S448" s="705"/>
      <c r="T448" s="698"/>
      <c r="U448" s="698"/>
    </row>
    <row r="449" spans="1:22" ht="14.5">
      <c r="A449" s="697"/>
      <c r="B449" s="707" t="s">
        <v>718</v>
      </c>
      <c r="C449" s="707" t="s">
        <v>719</v>
      </c>
      <c r="D449" s="707"/>
      <c r="E449" s="707" t="s">
        <v>720</v>
      </c>
      <c r="F449" s="700">
        <v>0.33333333333333298</v>
      </c>
      <c r="G449" s="700"/>
      <c r="H449" s="700"/>
      <c r="I449" s="701">
        <v>540</v>
      </c>
      <c r="J449" s="698">
        <v>0</v>
      </c>
      <c r="K449" s="702">
        <v>-9</v>
      </c>
      <c r="L449" s="703">
        <v>0</v>
      </c>
      <c r="M449" s="698" t="s">
        <v>694</v>
      </c>
      <c r="N449" s="707" t="s">
        <v>721</v>
      </c>
      <c r="O449" s="708"/>
      <c r="P449" s="708"/>
      <c r="Q449" s="704">
        <v>0</v>
      </c>
      <c r="R449" s="707" t="s">
        <v>701</v>
      </c>
      <c r="S449" s="709"/>
      <c r="T449" s="707"/>
      <c r="U449" s="707"/>
    </row>
    <row r="450" spans="1:22" ht="14.5">
      <c r="A450" s="697"/>
      <c r="B450" s="707" t="s">
        <v>722</v>
      </c>
      <c r="C450" s="707" t="s">
        <v>723</v>
      </c>
      <c r="D450" s="707" t="s">
        <v>54</v>
      </c>
      <c r="E450" s="707" t="s">
        <v>725</v>
      </c>
      <c r="F450" s="700">
        <v>0.33333333333333298</v>
      </c>
      <c r="G450" s="700"/>
      <c r="H450" s="700"/>
      <c r="I450" s="701">
        <v>540</v>
      </c>
      <c r="J450" s="698">
        <v>0</v>
      </c>
      <c r="K450" s="702">
        <v>-9</v>
      </c>
      <c r="L450" s="703">
        <v>0</v>
      </c>
      <c r="M450" s="698" t="s">
        <v>694</v>
      </c>
      <c r="N450" s="707" t="s">
        <v>727</v>
      </c>
      <c r="O450" s="708"/>
      <c r="P450" s="708"/>
      <c r="Q450" s="704">
        <v>0</v>
      </c>
      <c r="R450" s="707" t="s">
        <v>695</v>
      </c>
      <c r="S450" s="709"/>
      <c r="T450" s="707"/>
      <c r="U450" s="707"/>
    </row>
    <row r="451" spans="1:22" ht="14.5">
      <c r="A451" s="697"/>
      <c r="B451" s="707" t="s">
        <v>730</v>
      </c>
      <c r="C451" s="707" t="s">
        <v>731</v>
      </c>
      <c r="D451" s="711" t="s">
        <v>1157</v>
      </c>
      <c r="E451" s="707" t="s">
        <v>732</v>
      </c>
      <c r="F451" s="700">
        <v>0.33333333333333298</v>
      </c>
      <c r="G451" s="700">
        <v>0.5625</v>
      </c>
      <c r="H451" s="700">
        <v>0.72916666666666663</v>
      </c>
      <c r="I451" s="701">
        <v>540</v>
      </c>
      <c r="J451" s="698">
        <v>239.99999999999994</v>
      </c>
      <c r="K451" s="702">
        <v>-5.0000000000000009</v>
      </c>
      <c r="L451" s="703">
        <v>3.9999999999999991</v>
      </c>
      <c r="M451" s="698" t="s">
        <v>960</v>
      </c>
      <c r="N451" s="707" t="s">
        <v>733</v>
      </c>
      <c r="O451" s="708">
        <v>25842</v>
      </c>
      <c r="P451" s="708">
        <v>25973</v>
      </c>
      <c r="Q451" s="704">
        <v>131</v>
      </c>
      <c r="R451" s="707" t="s">
        <v>701</v>
      </c>
      <c r="S451" s="709"/>
      <c r="T451" s="707" t="s">
        <v>1158</v>
      </c>
      <c r="U451" s="707" t="s">
        <v>785</v>
      </c>
    </row>
    <row r="452" spans="1:22" ht="14.5">
      <c r="A452" s="697"/>
      <c r="B452" s="710" t="s">
        <v>734</v>
      </c>
      <c r="C452" s="711" t="s">
        <v>735</v>
      </c>
      <c r="D452" s="714"/>
      <c r="E452" s="711" t="s">
        <v>89</v>
      </c>
      <c r="F452" s="712">
        <v>0.33333333333333298</v>
      </c>
      <c r="G452" s="712"/>
      <c r="H452" s="712"/>
      <c r="I452" s="713">
        <v>540</v>
      </c>
      <c r="J452" s="714">
        <v>0</v>
      </c>
      <c r="K452" s="715">
        <v>-9</v>
      </c>
      <c r="L452" s="716">
        <v>0</v>
      </c>
      <c r="M452" s="714" t="s">
        <v>694</v>
      </c>
      <c r="N452" s="711" t="s">
        <v>736</v>
      </c>
      <c r="O452" s="717"/>
      <c r="P452" s="717"/>
      <c r="Q452" s="704">
        <v>0</v>
      </c>
      <c r="R452" s="711" t="s">
        <v>701</v>
      </c>
      <c r="S452" s="718"/>
      <c r="T452" s="711"/>
      <c r="U452" s="711"/>
    </row>
    <row r="453" spans="1:22" ht="14.5">
      <c r="A453" s="697"/>
      <c r="B453" s="714" t="s">
        <v>737</v>
      </c>
      <c r="C453" s="714" t="s">
        <v>738</v>
      </c>
      <c r="D453" s="707"/>
      <c r="E453" s="714"/>
      <c r="F453" s="712">
        <v>0.33333333333333298</v>
      </c>
      <c r="G453" s="712"/>
      <c r="H453" s="712"/>
      <c r="I453" s="713">
        <v>540</v>
      </c>
      <c r="J453" s="714">
        <v>0</v>
      </c>
      <c r="K453" s="715">
        <v>-9</v>
      </c>
      <c r="L453" s="716">
        <v>0</v>
      </c>
      <c r="M453" s="714" t="s">
        <v>694</v>
      </c>
      <c r="N453" s="714"/>
      <c r="O453" s="719"/>
      <c r="P453" s="719"/>
      <c r="Q453" s="704">
        <v>0</v>
      </c>
      <c r="R453" s="714" t="s">
        <v>695</v>
      </c>
      <c r="S453" s="720"/>
      <c r="T453" s="714"/>
      <c r="U453" s="714" t="s">
        <v>739</v>
      </c>
    </row>
    <row r="454" spans="1:22" ht="14.5">
      <c r="A454" s="697"/>
      <c r="B454" s="707"/>
      <c r="C454" s="707" t="s">
        <v>740</v>
      </c>
      <c r="D454" s="707" t="s">
        <v>54</v>
      </c>
      <c r="E454" s="707" t="s">
        <v>741</v>
      </c>
      <c r="F454" s="700">
        <v>0.33333333333333298</v>
      </c>
      <c r="G454" s="700"/>
      <c r="H454" s="700"/>
      <c r="I454" s="701">
        <v>540</v>
      </c>
      <c r="J454" s="698">
        <v>0</v>
      </c>
      <c r="K454" s="702">
        <v>-9</v>
      </c>
      <c r="L454" s="703">
        <v>0</v>
      </c>
      <c r="M454" s="698" t="s">
        <v>694</v>
      </c>
      <c r="N454" s="707"/>
      <c r="O454" s="708"/>
      <c r="P454" s="708"/>
      <c r="Q454" s="704">
        <v>0</v>
      </c>
      <c r="R454" s="707" t="s">
        <v>742</v>
      </c>
      <c r="S454" s="709"/>
      <c r="T454" s="707"/>
      <c r="U454" s="707"/>
    </row>
    <row r="455" spans="1:22" ht="14.5">
      <c r="A455" s="697"/>
      <c r="B455" s="707" t="s">
        <v>54</v>
      </c>
      <c r="C455" s="707" t="s">
        <v>743</v>
      </c>
      <c r="D455" s="698"/>
      <c r="E455" s="707" t="s">
        <v>744</v>
      </c>
      <c r="F455" s="700">
        <v>0.33333333333333298</v>
      </c>
      <c r="G455" s="700"/>
      <c r="H455" s="700"/>
      <c r="I455" s="701">
        <v>540</v>
      </c>
      <c r="J455" s="698">
        <v>0</v>
      </c>
      <c r="K455" s="702">
        <v>-9</v>
      </c>
      <c r="L455" s="703">
        <v>0</v>
      </c>
      <c r="M455" s="698" t="s">
        <v>694</v>
      </c>
      <c r="N455" s="707"/>
      <c r="O455" s="708"/>
      <c r="P455" s="708"/>
      <c r="Q455" s="704">
        <v>0</v>
      </c>
      <c r="R455" s="707" t="s">
        <v>742</v>
      </c>
      <c r="S455" s="709"/>
      <c r="T455" s="707"/>
      <c r="U455" s="707"/>
    </row>
    <row r="456" spans="1:22" ht="14.5">
      <c r="A456" s="697"/>
      <c r="B456" s="698" t="s">
        <v>745</v>
      </c>
      <c r="C456" s="698"/>
      <c r="D456" s="698"/>
      <c r="E456" s="698"/>
      <c r="F456" s="700">
        <v>0.33333333333333298</v>
      </c>
      <c r="G456" s="700"/>
      <c r="H456" s="700"/>
      <c r="I456" s="701">
        <v>540</v>
      </c>
      <c r="J456" s="698">
        <v>0</v>
      </c>
      <c r="K456" s="702">
        <v>-9</v>
      </c>
      <c r="L456" s="703">
        <v>0</v>
      </c>
      <c r="M456" s="698" t="s">
        <v>694</v>
      </c>
      <c r="N456" s="698"/>
      <c r="O456" s="706"/>
      <c r="P456" s="706"/>
      <c r="Q456" s="704">
        <v>0</v>
      </c>
      <c r="R456" s="698"/>
      <c r="S456" s="705"/>
      <c r="T456" s="698"/>
      <c r="U456" s="698"/>
    </row>
    <row r="457" spans="1:22" ht="14.5">
      <c r="A457" s="697"/>
      <c r="B457" s="698" t="s">
        <v>746</v>
      </c>
      <c r="C457" s="698" t="s">
        <v>747</v>
      </c>
      <c r="D457" s="707"/>
      <c r="E457" s="698" t="s">
        <v>190</v>
      </c>
      <c r="F457" s="700">
        <v>0.33333333333333298</v>
      </c>
      <c r="G457" s="700"/>
      <c r="H457" s="700"/>
      <c r="I457" s="701">
        <v>540</v>
      </c>
      <c r="J457" s="698">
        <v>0</v>
      </c>
      <c r="K457" s="702">
        <v>-9</v>
      </c>
      <c r="L457" s="703">
        <v>0</v>
      </c>
      <c r="M457" s="698" t="s">
        <v>694</v>
      </c>
      <c r="N457" s="698"/>
      <c r="O457" s="706"/>
      <c r="P457" s="706"/>
      <c r="Q457" s="704">
        <v>0</v>
      </c>
      <c r="R457" s="698" t="s">
        <v>701</v>
      </c>
      <c r="S457" s="705"/>
      <c r="T457" s="698"/>
      <c r="U457" s="698"/>
    </row>
    <row r="458" spans="1:22" ht="14.5">
      <c r="A458" s="697"/>
      <c r="B458" s="707" t="s">
        <v>748</v>
      </c>
      <c r="C458" s="707" t="s">
        <v>749</v>
      </c>
      <c r="D458" s="707"/>
      <c r="E458" s="707" t="s">
        <v>278</v>
      </c>
      <c r="F458" s="700">
        <v>0.33333333333333298</v>
      </c>
      <c r="G458" s="700"/>
      <c r="H458" s="700"/>
      <c r="I458" s="701">
        <v>540</v>
      </c>
      <c r="J458" s="698">
        <v>0</v>
      </c>
      <c r="K458" s="702">
        <v>-9</v>
      </c>
      <c r="L458" s="703">
        <v>0</v>
      </c>
      <c r="M458" s="698" t="s">
        <v>694</v>
      </c>
      <c r="N458" s="707"/>
      <c r="O458" s="708"/>
      <c r="P458" s="708"/>
      <c r="Q458" s="704">
        <v>0</v>
      </c>
      <c r="R458" s="707" t="s">
        <v>695</v>
      </c>
      <c r="S458" s="709"/>
      <c r="T458" s="707"/>
      <c r="U458" s="707"/>
    </row>
    <row r="459" spans="1:22" ht="14.5">
      <c r="A459" s="697"/>
      <c r="B459" s="707" t="s">
        <v>750</v>
      </c>
      <c r="C459" s="707"/>
      <c r="D459" s="707"/>
      <c r="E459" s="707"/>
      <c r="F459" s="700">
        <v>0.33333333333333298</v>
      </c>
      <c r="G459" s="700"/>
      <c r="H459" s="700"/>
      <c r="I459" s="701">
        <v>540</v>
      </c>
      <c r="J459" s="698">
        <v>0</v>
      </c>
      <c r="K459" s="702">
        <v>-9</v>
      </c>
      <c r="L459" s="703">
        <v>0</v>
      </c>
      <c r="M459" s="698" t="s">
        <v>694</v>
      </c>
      <c r="N459" s="707"/>
      <c r="O459" s="708"/>
      <c r="P459" s="708"/>
      <c r="Q459" s="704">
        <v>0</v>
      </c>
      <c r="R459" s="707"/>
      <c r="S459" s="709"/>
      <c r="T459" s="707"/>
      <c r="U459" s="707"/>
    </row>
    <row r="460" spans="1:22" ht="14.5">
      <c r="A460" s="697"/>
      <c r="B460" s="707" t="s">
        <v>751</v>
      </c>
      <c r="C460" s="707" t="s">
        <v>752</v>
      </c>
      <c r="D460" s="711" t="s">
        <v>54</v>
      </c>
      <c r="E460" s="707" t="s">
        <v>725</v>
      </c>
      <c r="F460" s="700">
        <v>0.33333333333333298</v>
      </c>
      <c r="G460" s="700"/>
      <c r="H460" s="700"/>
      <c r="I460" s="701">
        <v>540</v>
      </c>
      <c r="J460" s="698">
        <v>0</v>
      </c>
      <c r="K460" s="702">
        <v>-9</v>
      </c>
      <c r="L460" s="703">
        <v>0</v>
      </c>
      <c r="M460" s="698" t="s">
        <v>694</v>
      </c>
      <c r="N460" s="707"/>
      <c r="O460" s="708"/>
      <c r="P460" s="708"/>
      <c r="Q460" s="704">
        <v>0</v>
      </c>
      <c r="R460" s="707" t="s">
        <v>701</v>
      </c>
      <c r="S460" s="709"/>
      <c r="T460" s="707"/>
      <c r="U460" s="707"/>
    </row>
    <row r="461" spans="1:22">
      <c r="A461" s="697"/>
      <c r="B461" s="710" t="s">
        <v>754</v>
      </c>
      <c r="C461" s="711" t="s">
        <v>755</v>
      </c>
      <c r="D461" s="721" t="s">
        <v>54</v>
      </c>
      <c r="E461" s="711" t="s">
        <v>190</v>
      </c>
      <c r="F461" s="712">
        <v>0.33333333333333298</v>
      </c>
      <c r="G461" s="712"/>
      <c r="H461" s="712"/>
      <c r="I461" s="713">
        <v>540</v>
      </c>
      <c r="J461" s="714">
        <v>0</v>
      </c>
      <c r="K461" s="715">
        <v>-9</v>
      </c>
      <c r="L461" s="716">
        <v>0</v>
      </c>
      <c r="M461" s="714" t="s">
        <v>694</v>
      </c>
      <c r="N461" s="711"/>
      <c r="O461" s="717"/>
      <c r="P461" s="717"/>
      <c r="Q461" s="704">
        <v>0</v>
      </c>
      <c r="R461" s="711" t="s">
        <v>701</v>
      </c>
      <c r="S461" s="718"/>
      <c r="T461" s="711"/>
      <c r="U461" s="711"/>
    </row>
    <row r="462" spans="1:22">
      <c r="A462" s="697"/>
      <c r="B462" s="721" t="s">
        <v>54</v>
      </c>
      <c r="C462" s="721"/>
      <c r="D462" s="699" t="s">
        <v>54</v>
      </c>
      <c r="E462" s="721"/>
      <c r="F462" s="721"/>
      <c r="G462" s="721"/>
      <c r="H462" s="721"/>
      <c r="I462" s="721"/>
      <c r="J462" s="721"/>
      <c r="K462" s="721"/>
      <c r="L462" s="721"/>
      <c r="M462" s="721" t="s">
        <v>54</v>
      </c>
      <c r="N462" s="721"/>
      <c r="O462" s="722"/>
      <c r="P462" s="722"/>
      <c r="Q462" s="704"/>
      <c r="R462" s="721"/>
      <c r="S462" s="723"/>
      <c r="T462" s="721"/>
      <c r="U462" s="721"/>
    </row>
    <row r="463" spans="1:22">
      <c r="A463" s="697">
        <v>46257</v>
      </c>
      <c r="B463" s="698" t="s">
        <v>691</v>
      </c>
      <c r="C463" s="698" t="s">
        <v>692</v>
      </c>
      <c r="D463" s="698"/>
      <c r="E463" s="698" t="s">
        <v>756</v>
      </c>
      <c r="F463" s="700">
        <v>0.33333333333333298</v>
      </c>
      <c r="G463" s="700"/>
      <c r="H463" s="700"/>
      <c r="I463" s="701">
        <v>540</v>
      </c>
      <c r="J463" s="698">
        <v>0</v>
      </c>
      <c r="K463" s="702">
        <v>-9</v>
      </c>
      <c r="L463" s="703">
        <v>0</v>
      </c>
      <c r="M463" s="698" t="s">
        <v>694</v>
      </c>
      <c r="N463" s="698"/>
      <c r="O463" s="706"/>
      <c r="P463" s="706"/>
      <c r="Q463" s="704">
        <v>0</v>
      </c>
      <c r="R463" s="698" t="s">
        <v>695</v>
      </c>
      <c r="S463" s="705"/>
      <c r="T463" s="698"/>
      <c r="U463" s="698"/>
      <c r="V463" s="572"/>
    </row>
    <row r="464" spans="1:22">
      <c r="A464" s="697"/>
      <c r="B464" s="698" t="s">
        <v>696</v>
      </c>
      <c r="C464" s="698" t="s">
        <v>697</v>
      </c>
      <c r="D464" s="698"/>
      <c r="E464" s="698" t="s">
        <v>756</v>
      </c>
      <c r="F464" s="700">
        <v>0.33333333333333298</v>
      </c>
      <c r="G464" s="700"/>
      <c r="H464" s="700"/>
      <c r="I464" s="701">
        <v>540</v>
      </c>
      <c r="J464" s="698">
        <v>0</v>
      </c>
      <c r="K464" s="702">
        <v>-9</v>
      </c>
      <c r="L464" s="703">
        <v>0</v>
      </c>
      <c r="M464" s="698" t="s">
        <v>694</v>
      </c>
      <c r="N464" s="698"/>
      <c r="O464" s="706"/>
      <c r="P464" s="706"/>
      <c r="Q464" s="704">
        <v>0</v>
      </c>
      <c r="R464" s="698" t="s">
        <v>695</v>
      </c>
      <c r="S464" s="705"/>
      <c r="T464" s="698"/>
      <c r="U464" s="698"/>
      <c r="V464" s="572"/>
    </row>
    <row r="465" spans="1:22">
      <c r="A465" s="697"/>
      <c r="B465" s="698" t="s">
        <v>698</v>
      </c>
      <c r="C465" s="698" t="s">
        <v>699</v>
      </c>
      <c r="D465" s="698"/>
      <c r="E465" s="698" t="s">
        <v>700</v>
      </c>
      <c r="F465" s="700">
        <v>0.33333333333333298</v>
      </c>
      <c r="G465" s="700"/>
      <c r="H465" s="700"/>
      <c r="I465" s="701">
        <v>540</v>
      </c>
      <c r="J465" s="698">
        <v>0</v>
      </c>
      <c r="K465" s="702">
        <v>-9</v>
      </c>
      <c r="L465" s="703">
        <v>0</v>
      </c>
      <c r="M465" s="698" t="s">
        <v>694</v>
      </c>
      <c r="N465" s="698"/>
      <c r="O465" s="706"/>
      <c r="P465" s="706"/>
      <c r="Q465" s="704">
        <v>0</v>
      </c>
      <c r="R465" s="698" t="s">
        <v>701</v>
      </c>
      <c r="S465" s="705"/>
      <c r="T465" s="698"/>
      <c r="U465" s="698"/>
      <c r="V465" s="572"/>
    </row>
    <row r="466" spans="1:22">
      <c r="A466" s="697"/>
      <c r="B466" s="698" t="s">
        <v>702</v>
      </c>
      <c r="C466" s="698" t="s">
        <v>703</v>
      </c>
      <c r="D466" s="698"/>
      <c r="E466" s="698" t="s">
        <v>700</v>
      </c>
      <c r="F466" s="700">
        <v>0.33333333333333298</v>
      </c>
      <c r="G466" s="700"/>
      <c r="H466" s="700"/>
      <c r="I466" s="701">
        <v>540</v>
      </c>
      <c r="J466" s="698">
        <v>0</v>
      </c>
      <c r="K466" s="702">
        <v>-9</v>
      </c>
      <c r="L466" s="703">
        <v>0</v>
      </c>
      <c r="M466" s="698" t="s">
        <v>694</v>
      </c>
      <c r="N466" s="698"/>
      <c r="O466" s="706"/>
      <c r="P466" s="706"/>
      <c r="Q466" s="704">
        <v>0</v>
      </c>
      <c r="R466" s="698" t="s">
        <v>701</v>
      </c>
      <c r="S466" s="705"/>
      <c r="T466" s="698"/>
      <c r="U466" s="698"/>
      <c r="V466" s="572"/>
    </row>
    <row r="467" spans="1:22">
      <c r="A467" s="697"/>
      <c r="B467" s="698" t="s">
        <v>704</v>
      </c>
      <c r="C467" s="698" t="s">
        <v>705</v>
      </c>
      <c r="D467" s="698"/>
      <c r="E467" s="698" t="s">
        <v>1060</v>
      </c>
      <c r="F467" s="700">
        <v>0.33333333333333298</v>
      </c>
      <c r="G467" s="700"/>
      <c r="H467" s="700"/>
      <c r="I467" s="701">
        <v>540</v>
      </c>
      <c r="J467" s="698">
        <v>0</v>
      </c>
      <c r="K467" s="702">
        <v>-9</v>
      </c>
      <c r="L467" s="703">
        <v>0</v>
      </c>
      <c r="M467" s="698" t="s">
        <v>694</v>
      </c>
      <c r="N467" s="698"/>
      <c r="O467" s="706"/>
      <c r="P467" s="706"/>
      <c r="Q467" s="704">
        <v>0</v>
      </c>
      <c r="R467" s="698" t="s">
        <v>701</v>
      </c>
      <c r="S467" s="705"/>
      <c r="T467" s="698"/>
      <c r="U467" s="698"/>
      <c r="V467" s="572"/>
    </row>
    <row r="468" spans="1:22">
      <c r="A468" s="697"/>
      <c r="B468" s="698" t="s">
        <v>706</v>
      </c>
      <c r="C468" s="698" t="s">
        <v>707</v>
      </c>
      <c r="D468" s="698"/>
      <c r="E468" s="698" t="s">
        <v>1060</v>
      </c>
      <c r="F468" s="700">
        <v>0.33333333333333298</v>
      </c>
      <c r="G468" s="700"/>
      <c r="H468" s="700"/>
      <c r="I468" s="701">
        <v>540</v>
      </c>
      <c r="J468" s="698">
        <v>0</v>
      </c>
      <c r="K468" s="702">
        <v>-9</v>
      </c>
      <c r="L468" s="703">
        <v>0</v>
      </c>
      <c r="M468" s="698" t="s">
        <v>694</v>
      </c>
      <c r="N468" s="698"/>
      <c r="O468" s="706"/>
      <c r="P468" s="706"/>
      <c r="Q468" s="704">
        <v>0</v>
      </c>
      <c r="R468" s="698" t="s">
        <v>701</v>
      </c>
      <c r="S468" s="705"/>
      <c r="T468" s="698"/>
      <c r="U468" s="698"/>
      <c r="V468" s="572"/>
    </row>
    <row r="469" spans="1:22">
      <c r="A469" s="697"/>
      <c r="B469" s="698" t="s">
        <v>708</v>
      </c>
      <c r="C469" s="698" t="s">
        <v>709</v>
      </c>
      <c r="D469" s="698"/>
      <c r="E469" s="698" t="s">
        <v>928</v>
      </c>
      <c r="F469" s="700">
        <v>0.33333333333333298</v>
      </c>
      <c r="G469" s="700"/>
      <c r="H469" s="700"/>
      <c r="I469" s="701">
        <v>540</v>
      </c>
      <c r="J469" s="698">
        <v>0</v>
      </c>
      <c r="K469" s="702">
        <v>-9</v>
      </c>
      <c r="L469" s="703">
        <v>0</v>
      </c>
      <c r="M469" s="698" t="s">
        <v>694</v>
      </c>
      <c r="N469" s="698" t="s">
        <v>711</v>
      </c>
      <c r="O469" s="706"/>
      <c r="P469" s="706"/>
      <c r="Q469" s="704">
        <v>0</v>
      </c>
      <c r="R469" s="698" t="s">
        <v>695</v>
      </c>
      <c r="S469" s="705"/>
      <c r="T469" s="698"/>
      <c r="U469" s="698"/>
      <c r="V469" s="572"/>
    </row>
    <row r="470" spans="1:22">
      <c r="A470" s="697"/>
      <c r="B470" s="698" t="s">
        <v>712</v>
      </c>
      <c r="C470" s="698" t="s">
        <v>713</v>
      </c>
      <c r="D470" s="698"/>
      <c r="E470" s="698" t="s">
        <v>930</v>
      </c>
      <c r="F470" s="700">
        <v>0.33333333333333298</v>
      </c>
      <c r="G470" s="700"/>
      <c r="H470" s="700"/>
      <c r="I470" s="701">
        <v>540</v>
      </c>
      <c r="J470" s="698">
        <v>0</v>
      </c>
      <c r="K470" s="702">
        <v>-9</v>
      </c>
      <c r="L470" s="703">
        <v>0</v>
      </c>
      <c r="M470" s="698" t="s">
        <v>694</v>
      </c>
      <c r="N470" s="698" t="s">
        <v>714</v>
      </c>
      <c r="O470" s="706"/>
      <c r="P470" s="706"/>
      <c r="Q470" s="704">
        <v>0</v>
      </c>
      <c r="R470" s="698" t="s">
        <v>695</v>
      </c>
      <c r="S470" s="705"/>
      <c r="T470" s="698"/>
      <c r="U470" s="698"/>
      <c r="V470" s="572"/>
    </row>
    <row r="471" spans="1:22">
      <c r="A471" s="697"/>
      <c r="B471" s="698" t="s">
        <v>715</v>
      </c>
      <c r="C471" s="698" t="s">
        <v>716</v>
      </c>
      <c r="D471" s="707"/>
      <c r="E471" s="698" t="s">
        <v>190</v>
      </c>
      <c r="F471" s="700">
        <v>0.33333333333333298</v>
      </c>
      <c r="G471" s="700"/>
      <c r="H471" s="700"/>
      <c r="I471" s="701">
        <v>540</v>
      </c>
      <c r="J471" s="698">
        <v>0</v>
      </c>
      <c r="K471" s="702">
        <v>-9</v>
      </c>
      <c r="L471" s="703">
        <v>0</v>
      </c>
      <c r="M471" s="698" t="s">
        <v>694</v>
      </c>
      <c r="N471" s="698" t="s">
        <v>717</v>
      </c>
      <c r="O471" s="706"/>
      <c r="P471" s="706"/>
      <c r="Q471" s="704">
        <v>0</v>
      </c>
      <c r="R471" s="698" t="s">
        <v>695</v>
      </c>
      <c r="S471" s="705"/>
      <c r="T471" s="698"/>
      <c r="U471" s="698"/>
      <c r="V471" s="572"/>
    </row>
    <row r="472" spans="1:22">
      <c r="A472" s="697"/>
      <c r="B472" s="707" t="s">
        <v>718</v>
      </c>
      <c r="C472" s="707" t="s">
        <v>719</v>
      </c>
      <c r="D472" s="707"/>
      <c r="E472" s="707" t="s">
        <v>720</v>
      </c>
      <c r="F472" s="700">
        <v>0.33333333333333298</v>
      </c>
      <c r="G472" s="700"/>
      <c r="H472" s="700"/>
      <c r="I472" s="701">
        <v>540</v>
      </c>
      <c r="J472" s="698">
        <v>0</v>
      </c>
      <c r="K472" s="702">
        <v>-9</v>
      </c>
      <c r="L472" s="703">
        <v>0</v>
      </c>
      <c r="M472" s="698" t="s">
        <v>694</v>
      </c>
      <c r="N472" s="707" t="s">
        <v>721</v>
      </c>
      <c r="O472" s="708"/>
      <c r="P472" s="708"/>
      <c r="Q472" s="704">
        <v>0</v>
      </c>
      <c r="R472" s="707" t="s">
        <v>701</v>
      </c>
      <c r="S472" s="709"/>
      <c r="T472" s="707"/>
      <c r="U472" s="707"/>
      <c r="V472" s="572"/>
    </row>
    <row r="473" spans="1:22">
      <c r="A473" s="697"/>
      <c r="B473" s="707" t="s">
        <v>722</v>
      </c>
      <c r="C473" s="707" t="s">
        <v>723</v>
      </c>
      <c r="D473" s="707" t="s">
        <v>1159</v>
      </c>
      <c r="E473" s="707" t="s">
        <v>725</v>
      </c>
      <c r="F473" s="700">
        <v>0.33333333333333298</v>
      </c>
      <c r="G473" s="700">
        <v>0.44791666666666669</v>
      </c>
      <c r="H473" s="700">
        <v>0.80208333333333337</v>
      </c>
      <c r="I473" s="701">
        <v>540</v>
      </c>
      <c r="J473" s="698">
        <v>510</v>
      </c>
      <c r="K473" s="702">
        <v>-0.5</v>
      </c>
      <c r="L473" s="703">
        <v>8.5</v>
      </c>
      <c r="M473" s="698" t="s">
        <v>834</v>
      </c>
      <c r="N473" s="707" t="s">
        <v>727</v>
      </c>
      <c r="O473" s="708">
        <v>30274</v>
      </c>
      <c r="P473" s="708">
        <v>30459</v>
      </c>
      <c r="Q473" s="704">
        <v>185</v>
      </c>
      <c r="R473" s="707" t="s">
        <v>695</v>
      </c>
      <c r="S473" s="709">
        <v>22</v>
      </c>
      <c r="T473" s="707" t="s">
        <v>1150</v>
      </c>
      <c r="U473" s="707" t="s">
        <v>729</v>
      </c>
      <c r="V473" s="572" t="s">
        <v>54</v>
      </c>
    </row>
    <row r="474" spans="1:22">
      <c r="A474" s="697"/>
      <c r="B474" s="707" t="s">
        <v>730</v>
      </c>
      <c r="C474" s="707" t="s">
        <v>731</v>
      </c>
      <c r="D474" s="711"/>
      <c r="E474" s="707" t="s">
        <v>732</v>
      </c>
      <c r="F474" s="700">
        <v>0.33333333333333298</v>
      </c>
      <c r="G474" s="700"/>
      <c r="H474" s="700"/>
      <c r="I474" s="701">
        <v>540</v>
      </c>
      <c r="J474" s="698">
        <v>0</v>
      </c>
      <c r="K474" s="702">
        <v>-9</v>
      </c>
      <c r="L474" s="703">
        <v>0</v>
      </c>
      <c r="M474" s="698" t="s">
        <v>694</v>
      </c>
      <c r="N474" s="707" t="s">
        <v>733</v>
      </c>
      <c r="O474" s="708"/>
      <c r="P474" s="708"/>
      <c r="Q474" s="704">
        <v>0</v>
      </c>
      <c r="R474" s="707" t="s">
        <v>701</v>
      </c>
      <c r="S474" s="709"/>
      <c r="T474" s="707"/>
      <c r="U474" s="707"/>
      <c r="V474" s="572"/>
    </row>
    <row r="475" spans="1:22">
      <c r="A475" s="697"/>
      <c r="B475" s="710" t="s">
        <v>734</v>
      </c>
      <c r="C475" s="711" t="s">
        <v>735</v>
      </c>
      <c r="D475" s="714"/>
      <c r="E475" s="711" t="s">
        <v>89</v>
      </c>
      <c r="F475" s="712">
        <v>0.33333333333333298</v>
      </c>
      <c r="G475" s="712"/>
      <c r="H475" s="712"/>
      <c r="I475" s="713">
        <v>540</v>
      </c>
      <c r="J475" s="714">
        <v>0</v>
      </c>
      <c r="K475" s="715">
        <v>-9</v>
      </c>
      <c r="L475" s="716">
        <v>0</v>
      </c>
      <c r="M475" s="714" t="s">
        <v>694</v>
      </c>
      <c r="N475" s="711" t="s">
        <v>736</v>
      </c>
      <c r="O475" s="717"/>
      <c r="P475" s="717"/>
      <c r="Q475" s="704">
        <v>0</v>
      </c>
      <c r="R475" s="711" t="s">
        <v>701</v>
      </c>
      <c r="S475" s="718"/>
      <c r="T475" s="711"/>
      <c r="U475" s="711"/>
      <c r="V475" s="572"/>
    </row>
    <row r="476" spans="1:22">
      <c r="A476" s="697"/>
      <c r="B476" s="714" t="s">
        <v>737</v>
      </c>
      <c r="C476" s="714" t="s">
        <v>738</v>
      </c>
      <c r="D476" s="707"/>
      <c r="E476" s="714"/>
      <c r="F476" s="712">
        <v>0.33333333333333298</v>
      </c>
      <c r="G476" s="712"/>
      <c r="H476" s="712"/>
      <c r="I476" s="713">
        <v>540</v>
      </c>
      <c r="J476" s="714">
        <v>0</v>
      </c>
      <c r="K476" s="715">
        <v>-9</v>
      </c>
      <c r="L476" s="716">
        <v>0</v>
      </c>
      <c r="M476" s="714" t="s">
        <v>694</v>
      </c>
      <c r="N476" s="714"/>
      <c r="O476" s="719"/>
      <c r="P476" s="719"/>
      <c r="Q476" s="704">
        <v>0</v>
      </c>
      <c r="R476" s="714" t="s">
        <v>695</v>
      </c>
      <c r="S476" s="720"/>
      <c r="T476" s="714"/>
      <c r="U476" s="714" t="s">
        <v>739</v>
      </c>
      <c r="V476" s="572"/>
    </row>
    <row r="477" spans="1:22">
      <c r="A477" s="697"/>
      <c r="B477" s="707"/>
      <c r="C477" s="707" t="s">
        <v>740</v>
      </c>
      <c r="D477" s="707" t="s">
        <v>54</v>
      </c>
      <c r="E477" s="707" t="s">
        <v>741</v>
      </c>
      <c r="F477" s="700">
        <v>0.33333333333333298</v>
      </c>
      <c r="G477" s="700"/>
      <c r="H477" s="700"/>
      <c r="I477" s="701">
        <v>540</v>
      </c>
      <c r="J477" s="698">
        <v>0</v>
      </c>
      <c r="K477" s="702">
        <v>-9</v>
      </c>
      <c r="L477" s="703">
        <v>0</v>
      </c>
      <c r="M477" s="698" t="s">
        <v>694</v>
      </c>
      <c r="N477" s="707"/>
      <c r="O477" s="708"/>
      <c r="P477" s="708"/>
      <c r="Q477" s="704">
        <v>0</v>
      </c>
      <c r="R477" s="707" t="s">
        <v>742</v>
      </c>
      <c r="S477" s="709"/>
      <c r="T477" s="707"/>
      <c r="U477" s="707"/>
      <c r="V477" s="572"/>
    </row>
    <row r="478" spans="1:22">
      <c r="A478" s="697"/>
      <c r="B478" s="707" t="s">
        <v>54</v>
      </c>
      <c r="C478" s="707" t="s">
        <v>743</v>
      </c>
      <c r="D478" s="698"/>
      <c r="E478" s="707" t="s">
        <v>744</v>
      </c>
      <c r="F478" s="700">
        <v>0.33333333333333298</v>
      </c>
      <c r="G478" s="700"/>
      <c r="H478" s="700"/>
      <c r="I478" s="701">
        <v>540</v>
      </c>
      <c r="J478" s="698">
        <v>0</v>
      </c>
      <c r="K478" s="702">
        <v>-9</v>
      </c>
      <c r="L478" s="703">
        <v>0</v>
      </c>
      <c r="M478" s="698" t="s">
        <v>694</v>
      </c>
      <c r="N478" s="707"/>
      <c r="O478" s="708"/>
      <c r="P478" s="708"/>
      <c r="Q478" s="704">
        <v>0</v>
      </c>
      <c r="R478" s="707" t="s">
        <v>742</v>
      </c>
      <c r="S478" s="709"/>
      <c r="T478" s="707"/>
      <c r="U478" s="707"/>
      <c r="V478" s="572"/>
    </row>
    <row r="479" spans="1:22" ht="14.5">
      <c r="A479" s="697"/>
      <c r="B479" s="698" t="s">
        <v>745</v>
      </c>
      <c r="C479" s="698"/>
      <c r="D479" s="698"/>
      <c r="E479" s="698"/>
      <c r="F479" s="700">
        <v>0.33333333333333298</v>
      </c>
      <c r="G479" s="700"/>
      <c r="H479" s="700"/>
      <c r="I479" s="701">
        <v>540</v>
      </c>
      <c r="J479" s="698">
        <v>0</v>
      </c>
      <c r="K479" s="702">
        <v>-9</v>
      </c>
      <c r="L479" s="703">
        <v>0</v>
      </c>
      <c r="M479" s="698" t="s">
        <v>694</v>
      </c>
      <c r="N479" s="698"/>
      <c r="O479" s="706"/>
      <c r="P479" s="706"/>
      <c r="Q479" s="704">
        <v>0</v>
      </c>
      <c r="R479" s="698"/>
      <c r="S479" s="705"/>
      <c r="T479" s="698"/>
      <c r="U479" s="698"/>
    </row>
    <row r="480" spans="1:22" ht="14.5">
      <c r="A480" s="697"/>
      <c r="B480" s="698" t="s">
        <v>746</v>
      </c>
      <c r="C480" s="698" t="s">
        <v>747</v>
      </c>
      <c r="D480" s="707"/>
      <c r="E480" s="698" t="s">
        <v>190</v>
      </c>
      <c r="F480" s="700">
        <v>0.33333333333333298</v>
      </c>
      <c r="G480" s="700"/>
      <c r="H480" s="700"/>
      <c r="I480" s="701">
        <v>540</v>
      </c>
      <c r="J480" s="698">
        <v>0</v>
      </c>
      <c r="K480" s="702">
        <v>-9</v>
      </c>
      <c r="L480" s="703">
        <v>0</v>
      </c>
      <c r="M480" s="698" t="s">
        <v>694</v>
      </c>
      <c r="N480" s="698"/>
      <c r="O480" s="706"/>
      <c r="P480" s="706"/>
      <c r="Q480" s="704">
        <v>0</v>
      </c>
      <c r="R480" s="698" t="s">
        <v>701</v>
      </c>
      <c r="S480" s="705"/>
      <c r="T480" s="698"/>
      <c r="U480" s="698"/>
    </row>
    <row r="481" spans="1:21" ht="14.5">
      <c r="A481" s="697"/>
      <c r="B481" s="707" t="s">
        <v>748</v>
      </c>
      <c r="C481" s="707" t="s">
        <v>749</v>
      </c>
      <c r="D481" s="707"/>
      <c r="E481" s="707" t="s">
        <v>278</v>
      </c>
      <c r="F481" s="700">
        <v>0.33333333333333298</v>
      </c>
      <c r="G481" s="700"/>
      <c r="H481" s="700"/>
      <c r="I481" s="701">
        <v>540</v>
      </c>
      <c r="J481" s="698">
        <v>0</v>
      </c>
      <c r="K481" s="702">
        <v>-9</v>
      </c>
      <c r="L481" s="703">
        <v>0</v>
      </c>
      <c r="M481" s="698" t="s">
        <v>694</v>
      </c>
      <c r="N481" s="707"/>
      <c r="O481" s="708"/>
      <c r="P481" s="708"/>
      <c r="Q481" s="704">
        <v>0</v>
      </c>
      <c r="R481" s="707" t="s">
        <v>695</v>
      </c>
      <c r="S481" s="709"/>
      <c r="T481" s="707"/>
      <c r="U481" s="707"/>
    </row>
    <row r="482" spans="1:21" ht="14.5">
      <c r="A482" s="697"/>
      <c r="B482" s="707" t="s">
        <v>750</v>
      </c>
      <c r="C482" s="707"/>
      <c r="D482" s="707"/>
      <c r="E482" s="707"/>
      <c r="F482" s="700">
        <v>0.33333333333333298</v>
      </c>
      <c r="G482" s="700"/>
      <c r="H482" s="700"/>
      <c r="I482" s="701">
        <v>540</v>
      </c>
      <c r="J482" s="698">
        <v>0</v>
      </c>
      <c r="K482" s="702">
        <v>-9</v>
      </c>
      <c r="L482" s="703">
        <v>0</v>
      </c>
      <c r="M482" s="698" t="s">
        <v>694</v>
      </c>
      <c r="N482" s="707"/>
      <c r="O482" s="708"/>
      <c r="P482" s="708"/>
      <c r="Q482" s="704">
        <v>0</v>
      </c>
      <c r="R482" s="707"/>
      <c r="S482" s="709"/>
      <c r="T482" s="707"/>
      <c r="U482" s="707"/>
    </row>
    <row r="483" spans="1:21" ht="14.5">
      <c r="A483" s="697"/>
      <c r="B483" s="707" t="s">
        <v>751</v>
      </c>
      <c r="C483" s="707" t="s">
        <v>752</v>
      </c>
      <c r="D483" s="711" t="s">
        <v>1160</v>
      </c>
      <c r="E483" s="707" t="s">
        <v>725</v>
      </c>
      <c r="F483" s="700">
        <v>0.33333333333333298</v>
      </c>
      <c r="G483" s="700">
        <v>0.73749999999999993</v>
      </c>
      <c r="H483" s="700">
        <v>0.91388888888888886</v>
      </c>
      <c r="I483" s="701">
        <v>540</v>
      </c>
      <c r="J483" s="698">
        <v>254.00000000000006</v>
      </c>
      <c r="K483" s="702">
        <v>-4.7666666666666657</v>
      </c>
      <c r="L483" s="703">
        <v>4.2333333333333343</v>
      </c>
      <c r="M483" s="698" t="s">
        <v>991</v>
      </c>
      <c r="N483" s="707" t="s">
        <v>729</v>
      </c>
      <c r="O483" s="708">
        <v>9496</v>
      </c>
      <c r="P483" s="708">
        <v>9531</v>
      </c>
      <c r="Q483" s="704">
        <v>35</v>
      </c>
      <c r="R483" s="707" t="s">
        <v>701</v>
      </c>
      <c r="S483" s="709">
        <v>20</v>
      </c>
      <c r="T483" s="707" t="s">
        <v>728</v>
      </c>
      <c r="U483" s="707"/>
    </row>
    <row r="484" spans="1:21">
      <c r="A484" s="697"/>
      <c r="B484" s="710" t="s">
        <v>754</v>
      </c>
      <c r="C484" s="711" t="s">
        <v>755</v>
      </c>
      <c r="D484" s="721" t="s">
        <v>54</v>
      </c>
      <c r="E484" s="711" t="s">
        <v>190</v>
      </c>
      <c r="F484" s="712">
        <v>0.33333333333333298</v>
      </c>
      <c r="G484" s="712"/>
      <c r="H484" s="712"/>
      <c r="I484" s="713">
        <v>540</v>
      </c>
      <c r="J484" s="714">
        <v>0</v>
      </c>
      <c r="K484" s="715">
        <v>-9</v>
      </c>
      <c r="L484" s="716">
        <v>0</v>
      </c>
      <c r="M484" s="714" t="s">
        <v>694</v>
      </c>
      <c r="N484" s="711"/>
      <c r="O484" s="717"/>
      <c r="P484" s="717"/>
      <c r="Q484" s="704">
        <v>0</v>
      </c>
      <c r="R484" s="711" t="s">
        <v>701</v>
      </c>
      <c r="S484" s="718"/>
      <c r="T484" s="711"/>
      <c r="U484" s="711"/>
    </row>
    <row r="485" spans="1:21">
      <c r="A485" s="697"/>
      <c r="B485" s="721" t="s">
        <v>54</v>
      </c>
      <c r="C485" s="721"/>
      <c r="D485" s="699" t="s">
        <v>54</v>
      </c>
      <c r="E485" s="721"/>
      <c r="F485" s="721"/>
      <c r="G485" s="721"/>
      <c r="H485" s="721"/>
      <c r="I485" s="721"/>
      <c r="J485" s="721"/>
      <c r="K485" s="721"/>
      <c r="L485" s="721"/>
      <c r="M485" s="721" t="s">
        <v>54</v>
      </c>
      <c r="N485" s="721"/>
      <c r="O485" s="722"/>
      <c r="P485" s="722"/>
      <c r="Q485" s="704"/>
      <c r="R485" s="721"/>
      <c r="S485" s="723"/>
      <c r="T485" s="721"/>
      <c r="U485" s="721"/>
    </row>
    <row r="486" spans="1:21" ht="14.5">
      <c r="A486" s="697">
        <v>46258</v>
      </c>
      <c r="B486" s="698" t="s">
        <v>691</v>
      </c>
      <c r="C486" s="698" t="s">
        <v>692</v>
      </c>
      <c r="D486" s="698" t="s">
        <v>788</v>
      </c>
      <c r="E486" s="698" t="s">
        <v>756</v>
      </c>
      <c r="F486" s="700">
        <v>0.33333333333333298</v>
      </c>
      <c r="G486" s="700"/>
      <c r="H486" s="700"/>
      <c r="I486" s="701">
        <v>540</v>
      </c>
      <c r="J486" s="698">
        <v>0</v>
      </c>
      <c r="K486" s="702">
        <v>-9</v>
      </c>
      <c r="L486" s="703">
        <v>0</v>
      </c>
      <c r="M486" s="698" t="s">
        <v>694</v>
      </c>
      <c r="N486" s="698"/>
      <c r="O486" s="706"/>
      <c r="P486" s="706"/>
      <c r="Q486" s="704">
        <v>0</v>
      </c>
      <c r="R486" s="698" t="s">
        <v>695</v>
      </c>
      <c r="S486" s="705"/>
      <c r="T486" s="698"/>
      <c r="U486" s="698"/>
    </row>
    <row r="487" spans="1:21" ht="14.5">
      <c r="A487" s="697"/>
      <c r="B487" s="698" t="s">
        <v>696</v>
      </c>
      <c r="C487" s="698" t="s">
        <v>697</v>
      </c>
      <c r="D487" s="698" t="s">
        <v>1161</v>
      </c>
      <c r="E487" s="698" t="s">
        <v>693</v>
      </c>
      <c r="F487" s="700">
        <v>0.33333333333333298</v>
      </c>
      <c r="G487" s="700">
        <v>0.66666666666666663</v>
      </c>
      <c r="H487" s="700">
        <v>0.90972222222222221</v>
      </c>
      <c r="I487" s="701">
        <v>540</v>
      </c>
      <c r="J487" s="698">
        <v>350.00000000000006</v>
      </c>
      <c r="K487" s="702">
        <v>-3.1666666666666656</v>
      </c>
      <c r="L487" s="703">
        <v>5.8333333333333339</v>
      </c>
      <c r="M487" s="698" t="s">
        <v>1162</v>
      </c>
      <c r="N487" s="698" t="s">
        <v>838</v>
      </c>
      <c r="O487" s="706">
        <v>28746</v>
      </c>
      <c r="P487" s="706">
        <v>28804</v>
      </c>
      <c r="Q487" s="704">
        <v>58</v>
      </c>
      <c r="R487" s="698" t="s">
        <v>695</v>
      </c>
      <c r="S487" s="705">
        <v>6</v>
      </c>
      <c r="T487" s="698" t="s">
        <v>846</v>
      </c>
      <c r="U487" s="698"/>
    </row>
    <row r="488" spans="1:21" ht="14.5">
      <c r="A488" s="697"/>
      <c r="B488" s="698" t="s">
        <v>698</v>
      </c>
      <c r="C488" s="698" t="s">
        <v>699</v>
      </c>
      <c r="D488" s="698" t="s">
        <v>791</v>
      </c>
      <c r="E488" s="698" t="s">
        <v>1163</v>
      </c>
      <c r="F488" s="700">
        <v>0.33333333333333298</v>
      </c>
      <c r="G488" s="700">
        <v>0.4826388888888889</v>
      </c>
      <c r="H488" s="700">
        <v>0.71180555555555547</v>
      </c>
      <c r="I488" s="701">
        <v>540</v>
      </c>
      <c r="J488" s="698">
        <v>329.99999999999989</v>
      </c>
      <c r="K488" s="702">
        <v>-3.5000000000000018</v>
      </c>
      <c r="L488" s="703">
        <v>5.4999999999999982</v>
      </c>
      <c r="M488" s="698" t="s">
        <v>775</v>
      </c>
      <c r="N488" s="698" t="s">
        <v>1164</v>
      </c>
      <c r="O488" s="706">
        <v>32469</v>
      </c>
      <c r="P488" s="706">
        <v>32525</v>
      </c>
      <c r="Q488" s="704">
        <v>56</v>
      </c>
      <c r="R488" s="698" t="s">
        <v>701</v>
      </c>
      <c r="S488" s="705">
        <v>15</v>
      </c>
      <c r="T488" s="698" t="s">
        <v>806</v>
      </c>
      <c r="U488" s="698"/>
    </row>
    <row r="489" spans="1:21" ht="14.5">
      <c r="A489" s="697"/>
      <c r="B489" s="698" t="s">
        <v>702</v>
      </c>
      <c r="C489" s="698" t="s">
        <v>703</v>
      </c>
      <c r="D489" s="698" t="s">
        <v>1165</v>
      </c>
      <c r="E489" s="698" t="s">
        <v>1166</v>
      </c>
      <c r="F489" s="700">
        <v>0.33333333333333298</v>
      </c>
      <c r="G489" s="700">
        <v>0.375</v>
      </c>
      <c r="H489" s="700">
        <v>0.71527777777777779</v>
      </c>
      <c r="I489" s="701">
        <v>540</v>
      </c>
      <c r="J489" s="698">
        <v>490</v>
      </c>
      <c r="K489" s="702">
        <v>-0.83333333333333337</v>
      </c>
      <c r="L489" s="703">
        <v>8.1666666666666661</v>
      </c>
      <c r="M489" s="698" t="s">
        <v>1091</v>
      </c>
      <c r="N489" s="698" t="s">
        <v>1019</v>
      </c>
      <c r="O489" s="706">
        <v>19214</v>
      </c>
      <c r="P489" s="706">
        <v>19231</v>
      </c>
      <c r="Q489" s="704">
        <v>17</v>
      </c>
      <c r="R489" s="698" t="s">
        <v>701</v>
      </c>
      <c r="S489" s="705">
        <v>5</v>
      </c>
      <c r="T489" s="698" t="s">
        <v>806</v>
      </c>
      <c r="U489" s="698"/>
    </row>
    <row r="490" spans="1:21" ht="14.5">
      <c r="A490" s="697"/>
      <c r="B490" s="698" t="s">
        <v>704</v>
      </c>
      <c r="C490" s="698" t="s">
        <v>705</v>
      </c>
      <c r="D490" s="698" t="s">
        <v>788</v>
      </c>
      <c r="E490" s="698" t="s">
        <v>1060</v>
      </c>
      <c r="F490" s="700">
        <v>0.33333333333333298</v>
      </c>
      <c r="G490" s="700"/>
      <c r="H490" s="700"/>
      <c r="I490" s="701">
        <v>540</v>
      </c>
      <c r="J490" s="698">
        <v>0</v>
      </c>
      <c r="K490" s="702">
        <v>-9</v>
      </c>
      <c r="L490" s="703">
        <v>0</v>
      </c>
      <c r="M490" s="698" t="s">
        <v>694</v>
      </c>
      <c r="N490" s="698"/>
      <c r="O490" s="706"/>
      <c r="P490" s="706"/>
      <c r="Q490" s="704">
        <v>0</v>
      </c>
      <c r="R490" s="698" t="s">
        <v>701</v>
      </c>
      <c r="S490" s="705"/>
      <c r="T490" s="698"/>
      <c r="U490" s="698"/>
    </row>
    <row r="491" spans="1:21" ht="14.5">
      <c r="A491" s="697"/>
      <c r="B491" s="698" t="s">
        <v>706</v>
      </c>
      <c r="C491" s="698" t="s">
        <v>707</v>
      </c>
      <c r="D491" s="698" t="s">
        <v>1167</v>
      </c>
      <c r="E491" s="698" t="s">
        <v>777</v>
      </c>
      <c r="F491" s="700">
        <v>0.33333333333333298</v>
      </c>
      <c r="G491" s="700">
        <v>0.33333333333333331</v>
      </c>
      <c r="H491" s="700">
        <v>0.71527777777777779</v>
      </c>
      <c r="I491" s="701">
        <v>540</v>
      </c>
      <c r="J491" s="698">
        <v>550</v>
      </c>
      <c r="K491" s="702">
        <v>0.16666666666666666</v>
      </c>
      <c r="L491" s="703">
        <v>9.1666666666666661</v>
      </c>
      <c r="M491" s="698" t="s">
        <v>1168</v>
      </c>
      <c r="N491" s="698" t="s">
        <v>1169</v>
      </c>
      <c r="O491" s="706">
        <v>22888</v>
      </c>
      <c r="P491" s="706">
        <v>22914</v>
      </c>
      <c r="Q491" s="704">
        <v>26</v>
      </c>
      <c r="R491" s="698" t="s">
        <v>701</v>
      </c>
      <c r="S491" s="705"/>
      <c r="T491" s="698" t="s">
        <v>806</v>
      </c>
      <c r="U491" s="698"/>
    </row>
    <row r="492" spans="1:21" ht="14.5">
      <c r="A492" s="697"/>
      <c r="B492" s="698" t="s">
        <v>708</v>
      </c>
      <c r="C492" s="698" t="s">
        <v>709</v>
      </c>
      <c r="D492" s="698" t="s">
        <v>998</v>
      </c>
      <c r="E492" s="698" t="s">
        <v>928</v>
      </c>
      <c r="F492" s="700">
        <v>0.33333333333333298</v>
      </c>
      <c r="G492" s="700">
        <v>0.31597222222222221</v>
      </c>
      <c r="H492" s="700">
        <v>0.71180555555555547</v>
      </c>
      <c r="I492" s="701">
        <v>540</v>
      </c>
      <c r="J492" s="698">
        <v>569.99999999999989</v>
      </c>
      <c r="K492" s="702">
        <v>0.49999999999999811</v>
      </c>
      <c r="L492" s="703">
        <v>9.4999999999999982</v>
      </c>
      <c r="M492" s="698" t="s">
        <v>953</v>
      </c>
      <c r="N492" s="698" t="s">
        <v>711</v>
      </c>
      <c r="O492" s="706">
        <v>21700</v>
      </c>
      <c r="P492" s="706">
        <v>21717</v>
      </c>
      <c r="Q492" s="704">
        <v>17</v>
      </c>
      <c r="R492" s="698" t="s">
        <v>695</v>
      </c>
      <c r="S492" s="705"/>
      <c r="T492" s="698" t="s">
        <v>728</v>
      </c>
      <c r="U492" s="698" t="s">
        <v>1170</v>
      </c>
    </row>
    <row r="493" spans="1:21" ht="14.5">
      <c r="A493" s="697"/>
      <c r="B493" s="698" t="s">
        <v>712</v>
      </c>
      <c r="C493" s="698" t="s">
        <v>713</v>
      </c>
      <c r="D493" s="698" t="s">
        <v>1171</v>
      </c>
      <c r="E493" s="698" t="s">
        <v>930</v>
      </c>
      <c r="F493" s="700">
        <v>0.33333333333333298</v>
      </c>
      <c r="G493" s="700">
        <v>0.5</v>
      </c>
      <c r="H493" s="700">
        <v>0.70833333333333337</v>
      </c>
      <c r="I493" s="701">
        <v>540</v>
      </c>
      <c r="J493" s="698">
        <v>300.00000000000006</v>
      </c>
      <c r="K493" s="702">
        <v>-3.9999999999999991</v>
      </c>
      <c r="L493" s="703">
        <v>5.0000000000000009</v>
      </c>
      <c r="M493" s="698" t="s">
        <v>963</v>
      </c>
      <c r="N493" s="698" t="s">
        <v>714</v>
      </c>
      <c r="O493" s="706"/>
      <c r="P493" s="706"/>
      <c r="Q493" s="704">
        <v>0</v>
      </c>
      <c r="R493" s="698" t="s">
        <v>695</v>
      </c>
      <c r="S493" s="705"/>
      <c r="T493" s="698" t="s">
        <v>763</v>
      </c>
      <c r="U493" s="698" t="s">
        <v>903</v>
      </c>
    </row>
    <row r="494" spans="1:21" ht="14.5">
      <c r="A494" s="697"/>
      <c r="B494" s="698" t="s">
        <v>715</v>
      </c>
      <c r="C494" s="698" t="s">
        <v>716</v>
      </c>
      <c r="D494" s="707" t="s">
        <v>1172</v>
      </c>
      <c r="E494" s="698" t="s">
        <v>190</v>
      </c>
      <c r="F494" s="700">
        <v>0.33333333333333298</v>
      </c>
      <c r="G494" s="700">
        <v>0.25</v>
      </c>
      <c r="H494" s="700">
        <v>0.9590277777777777</v>
      </c>
      <c r="I494" s="701">
        <v>540</v>
      </c>
      <c r="J494" s="698">
        <v>1020.9999999999999</v>
      </c>
      <c r="K494" s="702">
        <v>8.0166666666666639</v>
      </c>
      <c r="L494" s="703">
        <v>17.016666666666666</v>
      </c>
      <c r="M494" s="698" t="s">
        <v>1173</v>
      </c>
      <c r="N494" s="698" t="s">
        <v>717</v>
      </c>
      <c r="O494" s="706">
        <v>41596</v>
      </c>
      <c r="P494" s="706">
        <v>41817</v>
      </c>
      <c r="Q494" s="704">
        <v>221</v>
      </c>
      <c r="R494" s="698" t="s">
        <v>695</v>
      </c>
      <c r="S494" s="705">
        <v>20</v>
      </c>
      <c r="T494" s="698" t="s">
        <v>728</v>
      </c>
      <c r="U494" s="698" t="s">
        <v>759</v>
      </c>
    </row>
    <row r="495" spans="1:21" ht="14.5">
      <c r="A495" s="697"/>
      <c r="B495" s="707" t="s">
        <v>718</v>
      </c>
      <c r="C495" s="707" t="s">
        <v>719</v>
      </c>
      <c r="D495" s="707" t="s">
        <v>1174</v>
      </c>
      <c r="E495" s="707" t="s">
        <v>720</v>
      </c>
      <c r="F495" s="700">
        <v>0.33333333333333298</v>
      </c>
      <c r="G495" s="700">
        <v>0.375</v>
      </c>
      <c r="H495" s="700">
        <v>0.71180555555555547</v>
      </c>
      <c r="I495" s="701">
        <v>540</v>
      </c>
      <c r="J495" s="698">
        <v>484.99999999999989</v>
      </c>
      <c r="K495" s="702">
        <v>-0.91666666666666852</v>
      </c>
      <c r="L495" s="703">
        <v>8.0833333333333321</v>
      </c>
      <c r="M495" s="698" t="s">
        <v>795</v>
      </c>
      <c r="N495" s="707" t="s">
        <v>721</v>
      </c>
      <c r="O495" s="708">
        <v>19212</v>
      </c>
      <c r="P495" s="708">
        <v>19228</v>
      </c>
      <c r="Q495" s="704">
        <v>16</v>
      </c>
      <c r="R495" s="707" t="s">
        <v>701</v>
      </c>
      <c r="S495" s="709">
        <v>3</v>
      </c>
      <c r="T495" s="707" t="s">
        <v>806</v>
      </c>
      <c r="U495" s="707" t="s">
        <v>1122</v>
      </c>
    </row>
    <row r="496" spans="1:21" ht="14.5">
      <c r="A496" s="697"/>
      <c r="B496" s="707" t="s">
        <v>722</v>
      </c>
      <c r="C496" s="707" t="s">
        <v>723</v>
      </c>
      <c r="D496" s="707" t="s">
        <v>1079</v>
      </c>
      <c r="E496" s="707" t="s">
        <v>725</v>
      </c>
      <c r="F496" s="700">
        <v>0.33333333333333298</v>
      </c>
      <c r="G496" s="700">
        <v>0.60416666666666663</v>
      </c>
      <c r="H496" s="700">
        <v>0.88194444444444453</v>
      </c>
      <c r="I496" s="701">
        <v>540</v>
      </c>
      <c r="J496" s="698">
        <v>400.00000000000017</v>
      </c>
      <c r="K496" s="702">
        <v>-2.3333333333333304</v>
      </c>
      <c r="L496" s="703">
        <v>6.6666666666666696</v>
      </c>
      <c r="M496" s="698" t="s">
        <v>1175</v>
      </c>
      <c r="N496" s="707" t="s">
        <v>727</v>
      </c>
      <c r="O496" s="708">
        <v>30459</v>
      </c>
      <c r="P496" s="708">
        <v>30642</v>
      </c>
      <c r="Q496" s="704">
        <v>183</v>
      </c>
      <c r="R496" s="707" t="s">
        <v>695</v>
      </c>
      <c r="S496" s="709">
        <v>22</v>
      </c>
      <c r="T496" s="707" t="s">
        <v>763</v>
      </c>
      <c r="U496" s="707" t="s">
        <v>855</v>
      </c>
    </row>
    <row r="497" spans="1:21" ht="14.5">
      <c r="A497" s="697"/>
      <c r="B497" s="707" t="s">
        <v>730</v>
      </c>
      <c r="C497" s="707" t="s">
        <v>731</v>
      </c>
      <c r="D497" s="711" t="s">
        <v>1176</v>
      </c>
      <c r="E497" s="707" t="s">
        <v>732</v>
      </c>
      <c r="F497" s="700">
        <v>0.33333333333333298</v>
      </c>
      <c r="G497" s="700">
        <v>0.33333333333333331</v>
      </c>
      <c r="H497" s="700">
        <v>0.79166666666666663</v>
      </c>
      <c r="I497" s="701">
        <v>540</v>
      </c>
      <c r="J497" s="698">
        <v>660</v>
      </c>
      <c r="K497" s="702">
        <v>2</v>
      </c>
      <c r="L497" s="703">
        <v>11</v>
      </c>
      <c r="M497" s="698" t="s">
        <v>801</v>
      </c>
      <c r="N497" s="707" t="s">
        <v>733</v>
      </c>
      <c r="O497" s="708">
        <v>25973</v>
      </c>
      <c r="P497" s="708">
        <v>26032</v>
      </c>
      <c r="Q497" s="704">
        <v>59</v>
      </c>
      <c r="R497" s="707" t="s">
        <v>701</v>
      </c>
      <c r="S497" s="709"/>
      <c r="T497" s="707" t="s">
        <v>763</v>
      </c>
      <c r="U497" s="707" t="s">
        <v>1177</v>
      </c>
    </row>
    <row r="498" spans="1:21" ht="14.5">
      <c r="A498" s="697"/>
      <c r="B498" s="710" t="s">
        <v>734</v>
      </c>
      <c r="C498" s="711" t="s">
        <v>735</v>
      </c>
      <c r="D498" s="714" t="s">
        <v>788</v>
      </c>
      <c r="E498" s="711" t="s">
        <v>89</v>
      </c>
      <c r="F498" s="712">
        <v>0.33333333333333298</v>
      </c>
      <c r="G498" s="712"/>
      <c r="H498" s="712"/>
      <c r="I498" s="713">
        <v>540</v>
      </c>
      <c r="J498" s="714">
        <v>0</v>
      </c>
      <c r="K498" s="715">
        <v>-9</v>
      </c>
      <c r="L498" s="716">
        <v>0</v>
      </c>
      <c r="M498" s="714" t="s">
        <v>694</v>
      </c>
      <c r="N498" s="711" t="s">
        <v>736</v>
      </c>
      <c r="O498" s="717"/>
      <c r="P498" s="717"/>
      <c r="Q498" s="704">
        <v>0</v>
      </c>
      <c r="R498" s="711" t="s">
        <v>701</v>
      </c>
      <c r="S498" s="718"/>
      <c r="T498" s="711"/>
      <c r="U498" s="711"/>
    </row>
    <row r="499" spans="1:21" ht="14.5">
      <c r="A499" s="697"/>
      <c r="B499" s="714" t="s">
        <v>737</v>
      </c>
      <c r="C499" s="714" t="s">
        <v>738</v>
      </c>
      <c r="D499" s="707" t="s">
        <v>1129</v>
      </c>
      <c r="E499" s="714" t="s">
        <v>1130</v>
      </c>
      <c r="F499" s="712">
        <v>0.33333333333333298</v>
      </c>
      <c r="G499" s="712">
        <v>0.39583333333333331</v>
      </c>
      <c r="H499" s="712">
        <v>0.70833333333333337</v>
      </c>
      <c r="I499" s="713">
        <v>540</v>
      </c>
      <c r="J499" s="714">
        <v>450.00000000000006</v>
      </c>
      <c r="K499" s="715">
        <v>-1.4999999999999991</v>
      </c>
      <c r="L499" s="716">
        <v>7.5000000000000009</v>
      </c>
      <c r="M499" s="714" t="s">
        <v>827</v>
      </c>
      <c r="N499" s="714" t="s">
        <v>977</v>
      </c>
      <c r="O499" s="719">
        <v>6947</v>
      </c>
      <c r="P499" s="719">
        <v>6977</v>
      </c>
      <c r="Q499" s="704">
        <v>30</v>
      </c>
      <c r="R499" s="714" t="s">
        <v>695</v>
      </c>
      <c r="S499" s="720">
        <v>10</v>
      </c>
      <c r="T499" s="714" t="s">
        <v>763</v>
      </c>
      <c r="U499" s="714" t="s">
        <v>739</v>
      </c>
    </row>
    <row r="500" spans="1:21" ht="14.5">
      <c r="A500" s="697"/>
      <c r="B500" s="707"/>
      <c r="C500" s="707" t="s">
        <v>740</v>
      </c>
      <c r="D500" s="707" t="s">
        <v>54</v>
      </c>
      <c r="E500" s="707" t="s">
        <v>741</v>
      </c>
      <c r="F500" s="700">
        <v>0.33333333333333298</v>
      </c>
      <c r="G500" s="700"/>
      <c r="H500" s="700"/>
      <c r="I500" s="701">
        <v>540</v>
      </c>
      <c r="J500" s="698">
        <v>0</v>
      </c>
      <c r="K500" s="702">
        <v>-9</v>
      </c>
      <c r="L500" s="703">
        <v>0</v>
      </c>
      <c r="M500" s="698" t="s">
        <v>694</v>
      </c>
      <c r="N500" s="707"/>
      <c r="O500" s="708"/>
      <c r="P500" s="708"/>
      <c r="Q500" s="704">
        <v>0</v>
      </c>
      <c r="R500" s="707" t="s">
        <v>742</v>
      </c>
      <c r="S500" s="709"/>
      <c r="T500" s="707"/>
      <c r="U500" s="707"/>
    </row>
    <row r="501" spans="1:21" ht="14.5">
      <c r="A501" s="697"/>
      <c r="B501" s="707" t="s">
        <v>54</v>
      </c>
      <c r="C501" s="707" t="s">
        <v>743</v>
      </c>
      <c r="D501" s="698"/>
      <c r="E501" s="707" t="s">
        <v>744</v>
      </c>
      <c r="F501" s="700">
        <v>0.33333333333333298</v>
      </c>
      <c r="G501" s="700"/>
      <c r="H501" s="700"/>
      <c r="I501" s="701">
        <v>540</v>
      </c>
      <c r="J501" s="698">
        <v>0</v>
      </c>
      <c r="K501" s="702">
        <v>-9</v>
      </c>
      <c r="L501" s="703">
        <v>0</v>
      </c>
      <c r="M501" s="698" t="s">
        <v>694</v>
      </c>
      <c r="N501" s="707"/>
      <c r="O501" s="708"/>
      <c r="P501" s="708"/>
      <c r="Q501" s="704">
        <v>0</v>
      </c>
      <c r="R501" s="707" t="s">
        <v>742</v>
      </c>
      <c r="S501" s="709"/>
      <c r="T501" s="707"/>
      <c r="U501" s="707"/>
    </row>
    <row r="502" spans="1:21" ht="14.5">
      <c r="A502" s="697"/>
      <c r="B502" s="698" t="s">
        <v>745</v>
      </c>
      <c r="C502" s="698"/>
      <c r="D502" s="698"/>
      <c r="E502" s="698"/>
      <c r="F502" s="700">
        <v>0.33333333333333298</v>
      </c>
      <c r="G502" s="700"/>
      <c r="H502" s="700"/>
      <c r="I502" s="701">
        <v>540</v>
      </c>
      <c r="J502" s="698">
        <v>0</v>
      </c>
      <c r="K502" s="702">
        <v>-9</v>
      </c>
      <c r="L502" s="703">
        <v>0</v>
      </c>
      <c r="M502" s="698" t="s">
        <v>694</v>
      </c>
      <c r="N502" s="698"/>
      <c r="O502" s="706"/>
      <c r="P502" s="706"/>
      <c r="Q502" s="704">
        <v>0</v>
      </c>
      <c r="R502" s="698"/>
      <c r="S502" s="705"/>
      <c r="T502" s="698"/>
      <c r="U502" s="698"/>
    </row>
    <row r="503" spans="1:21" ht="14.5">
      <c r="A503" s="697"/>
      <c r="B503" s="698" t="s">
        <v>746</v>
      </c>
      <c r="C503" s="698" t="s">
        <v>747</v>
      </c>
      <c r="D503" s="707" t="s">
        <v>1178</v>
      </c>
      <c r="E503" s="698" t="s">
        <v>190</v>
      </c>
      <c r="F503" s="700">
        <v>0.33333333333333298</v>
      </c>
      <c r="G503" s="700">
        <v>0.2986111111111111</v>
      </c>
      <c r="H503" s="700">
        <v>0.80208333333333337</v>
      </c>
      <c r="I503" s="701">
        <v>540</v>
      </c>
      <c r="J503" s="698">
        <v>725.00000000000011</v>
      </c>
      <c r="K503" s="702">
        <v>3.0833333333333353</v>
      </c>
      <c r="L503" s="703">
        <v>12.083333333333336</v>
      </c>
      <c r="M503" s="698" t="s">
        <v>1179</v>
      </c>
      <c r="N503" s="698" t="s">
        <v>979</v>
      </c>
      <c r="O503" s="706">
        <v>39969</v>
      </c>
      <c r="P503" s="706">
        <v>40065</v>
      </c>
      <c r="Q503" s="704">
        <v>96</v>
      </c>
      <c r="R503" s="698" t="s">
        <v>701</v>
      </c>
      <c r="S503" s="705">
        <v>10</v>
      </c>
      <c r="T503" s="698" t="s">
        <v>806</v>
      </c>
      <c r="U503" s="698"/>
    </row>
    <row r="504" spans="1:21" ht="14.5">
      <c r="A504" s="697"/>
      <c r="B504" s="707" t="s">
        <v>748</v>
      </c>
      <c r="C504" s="707" t="s">
        <v>749</v>
      </c>
      <c r="D504" s="707" t="s">
        <v>788</v>
      </c>
      <c r="E504" s="707" t="s">
        <v>278</v>
      </c>
      <c r="F504" s="700">
        <v>0.33333333333333298</v>
      </c>
      <c r="G504" s="700"/>
      <c r="H504" s="700"/>
      <c r="I504" s="701">
        <v>540</v>
      </c>
      <c r="J504" s="698">
        <v>0</v>
      </c>
      <c r="K504" s="702">
        <v>-9</v>
      </c>
      <c r="L504" s="703">
        <v>0</v>
      </c>
      <c r="M504" s="698" t="s">
        <v>694</v>
      </c>
      <c r="N504" s="707"/>
      <c r="O504" s="708"/>
      <c r="P504" s="708"/>
      <c r="Q504" s="704">
        <v>0</v>
      </c>
      <c r="R504" s="707" t="s">
        <v>695</v>
      </c>
      <c r="S504" s="709"/>
      <c r="T504" s="707"/>
      <c r="U504" s="707"/>
    </row>
    <row r="505" spans="1:21" ht="14.5">
      <c r="A505" s="697"/>
      <c r="B505" s="707" t="s">
        <v>750</v>
      </c>
      <c r="C505" s="707"/>
      <c r="D505" s="707"/>
      <c r="E505" s="707"/>
      <c r="F505" s="700">
        <v>0.33333333333333298</v>
      </c>
      <c r="G505" s="700"/>
      <c r="H505" s="700"/>
      <c r="I505" s="701">
        <v>540</v>
      </c>
      <c r="J505" s="698">
        <v>0</v>
      </c>
      <c r="K505" s="702">
        <v>-9</v>
      </c>
      <c r="L505" s="703">
        <v>0</v>
      </c>
      <c r="M505" s="698" t="s">
        <v>694</v>
      </c>
      <c r="N505" s="707"/>
      <c r="O505" s="708"/>
      <c r="P505" s="708"/>
      <c r="Q505" s="704">
        <v>0</v>
      </c>
      <c r="R505" s="707"/>
      <c r="S505" s="709"/>
      <c r="T505" s="707"/>
      <c r="U505" s="707"/>
    </row>
    <row r="506" spans="1:21" ht="14.5">
      <c r="A506" s="697"/>
      <c r="B506" s="707" t="s">
        <v>751</v>
      </c>
      <c r="C506" s="707" t="s">
        <v>752</v>
      </c>
      <c r="D506" s="711" t="s">
        <v>1180</v>
      </c>
      <c r="E506" s="707" t="s">
        <v>725</v>
      </c>
      <c r="F506" s="700">
        <v>0.33333333333333298</v>
      </c>
      <c r="G506" s="700">
        <v>0.27638888888888885</v>
      </c>
      <c r="H506" s="700">
        <v>0.75</v>
      </c>
      <c r="I506" s="701">
        <v>540</v>
      </c>
      <c r="J506" s="698">
        <v>682</v>
      </c>
      <c r="K506" s="702">
        <v>2.3666666666666667</v>
      </c>
      <c r="L506" s="703">
        <v>11.366666666666667</v>
      </c>
      <c r="M506" s="698" t="s">
        <v>1181</v>
      </c>
      <c r="N506" s="707" t="s">
        <v>729</v>
      </c>
      <c r="O506" s="708">
        <v>9531</v>
      </c>
      <c r="P506" s="708">
        <v>9601</v>
      </c>
      <c r="Q506" s="704">
        <v>70</v>
      </c>
      <c r="R506" s="707" t="s">
        <v>701</v>
      </c>
      <c r="S506" s="709"/>
      <c r="T506" s="707" t="s">
        <v>846</v>
      </c>
      <c r="U506" s="707"/>
    </row>
    <row r="507" spans="1:21">
      <c r="A507" s="697"/>
      <c r="B507" s="710" t="s">
        <v>754</v>
      </c>
      <c r="C507" s="711" t="s">
        <v>755</v>
      </c>
      <c r="D507" s="721" t="s">
        <v>1182</v>
      </c>
      <c r="E507" s="711" t="s">
        <v>190</v>
      </c>
      <c r="F507" s="712">
        <v>0.33333333333333298</v>
      </c>
      <c r="G507" s="712">
        <v>0.33333333333333331</v>
      </c>
      <c r="H507" s="712">
        <v>0.79861111111111116</v>
      </c>
      <c r="I507" s="713">
        <v>540</v>
      </c>
      <c r="J507" s="714">
        <v>670.00000000000011</v>
      </c>
      <c r="K507" s="715">
        <v>2.1666666666666687</v>
      </c>
      <c r="L507" s="716">
        <v>11.166666666666668</v>
      </c>
      <c r="M507" s="714" t="s">
        <v>1183</v>
      </c>
      <c r="N507" s="711" t="s">
        <v>1184</v>
      </c>
      <c r="O507" s="717">
        <v>22708</v>
      </c>
      <c r="P507" s="717">
        <v>22763</v>
      </c>
      <c r="Q507" s="704">
        <v>55</v>
      </c>
      <c r="R507" s="711" t="s">
        <v>701</v>
      </c>
      <c r="S507" s="718">
        <v>10</v>
      </c>
      <c r="T507" s="711" t="s">
        <v>806</v>
      </c>
      <c r="U507" s="711"/>
    </row>
    <row r="508" spans="1:21" ht="14.5">
      <c r="A508" s="697"/>
      <c r="B508" s="698" t="s">
        <v>54</v>
      </c>
      <c r="C508" s="698" t="s">
        <v>54</v>
      </c>
      <c r="D508" s="699" t="s">
        <v>54</v>
      </c>
      <c r="E508" s="698"/>
      <c r="F508" s="700"/>
      <c r="G508" s="700"/>
      <c r="H508" s="700"/>
      <c r="I508" s="701"/>
      <c r="J508" s="698"/>
      <c r="K508" s="702"/>
      <c r="L508" s="703"/>
      <c r="M508" s="698"/>
      <c r="N508" s="698"/>
      <c r="O508" s="706"/>
      <c r="P508" s="706"/>
      <c r="Q508" s="704"/>
      <c r="R508" s="698"/>
      <c r="S508" s="705"/>
      <c r="T508" s="698"/>
      <c r="U508" s="698"/>
    </row>
    <row r="509" spans="1:21" ht="14.5">
      <c r="A509" s="697">
        <v>46260</v>
      </c>
      <c r="B509" s="698" t="s">
        <v>691</v>
      </c>
      <c r="C509" s="698" t="s">
        <v>692</v>
      </c>
      <c r="D509" s="698" t="s">
        <v>1185</v>
      </c>
      <c r="E509" s="698" t="s">
        <v>693</v>
      </c>
      <c r="F509" s="700">
        <v>0.33333333333333298</v>
      </c>
      <c r="G509" s="700">
        <v>0.47847222222222219</v>
      </c>
      <c r="H509" s="700">
        <v>0.80347222222222225</v>
      </c>
      <c r="I509" s="701">
        <v>540</v>
      </c>
      <c r="J509" s="698">
        <v>468.00000000000011</v>
      </c>
      <c r="K509" s="702">
        <v>-1.1999999999999982</v>
      </c>
      <c r="L509" s="703">
        <v>7.8000000000000016</v>
      </c>
      <c r="M509" s="698" t="s">
        <v>1186</v>
      </c>
      <c r="N509" s="698" t="s">
        <v>767</v>
      </c>
      <c r="O509" s="706">
        <v>34192</v>
      </c>
      <c r="P509" s="706">
        <v>34265</v>
      </c>
      <c r="Q509" s="704">
        <v>73</v>
      </c>
      <c r="R509" s="698" t="s">
        <v>695</v>
      </c>
      <c r="S509" s="705">
        <v>10</v>
      </c>
      <c r="T509" s="698" t="s">
        <v>763</v>
      </c>
      <c r="U509" s="698"/>
    </row>
    <row r="510" spans="1:21" ht="14.5">
      <c r="A510" s="697"/>
      <c r="B510" s="698" t="s">
        <v>696</v>
      </c>
      <c r="C510" s="698" t="s">
        <v>697</v>
      </c>
      <c r="D510" s="698" t="s">
        <v>1187</v>
      </c>
      <c r="E510" s="698" t="s">
        <v>1188</v>
      </c>
      <c r="F510" s="700">
        <v>0.33333333333333298</v>
      </c>
      <c r="G510" s="700">
        <v>0.4375</v>
      </c>
      <c r="H510" s="700">
        <v>0.71527777777777779</v>
      </c>
      <c r="I510" s="701">
        <v>540</v>
      </c>
      <c r="J510" s="698">
        <v>400</v>
      </c>
      <c r="K510" s="702">
        <v>-2.3333333333333335</v>
      </c>
      <c r="L510" s="703">
        <v>6.666666666666667</v>
      </c>
      <c r="M510" s="698" t="s">
        <v>1175</v>
      </c>
      <c r="N510" s="698" t="s">
        <v>1189</v>
      </c>
      <c r="O510" s="706">
        <v>28804</v>
      </c>
      <c r="P510" s="706">
        <v>28891</v>
      </c>
      <c r="Q510" s="704">
        <v>87</v>
      </c>
      <c r="R510" s="698" t="s">
        <v>695</v>
      </c>
      <c r="S510" s="705">
        <v>7</v>
      </c>
      <c r="T510" s="698" t="s">
        <v>763</v>
      </c>
      <c r="U510" s="698"/>
    </row>
    <row r="511" spans="1:21" ht="14.5">
      <c r="A511" s="697"/>
      <c r="B511" s="698" t="s">
        <v>698</v>
      </c>
      <c r="C511" s="698" t="s">
        <v>699</v>
      </c>
      <c r="D511" s="698" t="s">
        <v>1190</v>
      </c>
      <c r="E511" s="698" t="s">
        <v>700</v>
      </c>
      <c r="F511" s="700">
        <v>0.33333333333333298</v>
      </c>
      <c r="G511" s="700">
        <v>0.375</v>
      </c>
      <c r="H511" s="700">
        <v>0.70833333333333337</v>
      </c>
      <c r="I511" s="701">
        <v>540</v>
      </c>
      <c r="J511" s="698">
        <v>480.00000000000006</v>
      </c>
      <c r="K511" s="702">
        <v>-0.999999999999999</v>
      </c>
      <c r="L511" s="703">
        <v>8.0000000000000018</v>
      </c>
      <c r="M511" s="698" t="s">
        <v>808</v>
      </c>
      <c r="N511" s="698" t="s">
        <v>894</v>
      </c>
      <c r="O511" s="706">
        <v>32525</v>
      </c>
      <c r="P511" s="706">
        <v>32552</v>
      </c>
      <c r="Q511" s="704">
        <v>27</v>
      </c>
      <c r="R511" s="698" t="s">
        <v>701</v>
      </c>
      <c r="S511" s="705"/>
      <c r="T511" s="698" t="s">
        <v>728</v>
      </c>
      <c r="U511" s="698"/>
    </row>
    <row r="512" spans="1:21" ht="14.5">
      <c r="A512" s="697"/>
      <c r="B512" s="698" t="s">
        <v>702</v>
      </c>
      <c r="C512" s="698" t="s">
        <v>703</v>
      </c>
      <c r="D512" s="698" t="s">
        <v>1191</v>
      </c>
      <c r="E512" s="698" t="s">
        <v>700</v>
      </c>
      <c r="F512" s="700">
        <v>0.33333333333333298</v>
      </c>
      <c r="G512" s="700"/>
      <c r="H512" s="700"/>
      <c r="I512" s="701">
        <v>540</v>
      </c>
      <c r="J512" s="698">
        <v>0</v>
      </c>
      <c r="K512" s="702">
        <v>-9</v>
      </c>
      <c r="L512" s="703">
        <v>0</v>
      </c>
      <c r="M512" s="698" t="s">
        <v>694</v>
      </c>
      <c r="N512" s="698"/>
      <c r="O512" s="706"/>
      <c r="P512" s="706"/>
      <c r="Q512" s="704">
        <v>0</v>
      </c>
      <c r="R512" s="698" t="s">
        <v>701</v>
      </c>
      <c r="S512" s="705"/>
      <c r="T512" s="698"/>
      <c r="U512" s="698"/>
    </row>
    <row r="513" spans="1:21" ht="14.5">
      <c r="A513" s="697"/>
      <c r="B513" s="698" t="s">
        <v>704</v>
      </c>
      <c r="C513" s="698" t="s">
        <v>705</v>
      </c>
      <c r="D513" s="698" t="s">
        <v>1192</v>
      </c>
      <c r="E513" s="698" t="s">
        <v>700</v>
      </c>
      <c r="F513" s="700">
        <v>0.33333333333333298</v>
      </c>
      <c r="G513" s="700">
        <v>0.41666666666666669</v>
      </c>
      <c r="H513" s="700">
        <v>0.83333333333333337</v>
      </c>
      <c r="I513" s="701">
        <v>540</v>
      </c>
      <c r="J513" s="698">
        <v>600</v>
      </c>
      <c r="K513" s="702">
        <v>1</v>
      </c>
      <c r="L513" s="703">
        <v>10</v>
      </c>
      <c r="M513" s="698" t="s">
        <v>823</v>
      </c>
      <c r="N513" s="698" t="s">
        <v>1193</v>
      </c>
      <c r="O513" s="706">
        <v>42475</v>
      </c>
      <c r="P513" s="706">
        <v>42500</v>
      </c>
      <c r="Q513" s="704">
        <v>25</v>
      </c>
      <c r="R513" s="698" t="s">
        <v>701</v>
      </c>
      <c r="S513" s="705">
        <v>5</v>
      </c>
      <c r="T513" s="698" t="s">
        <v>728</v>
      </c>
      <c r="U513" s="698"/>
    </row>
    <row r="514" spans="1:21" ht="14.5">
      <c r="A514" s="697"/>
      <c r="B514" s="698" t="s">
        <v>706</v>
      </c>
      <c r="C514" s="698" t="s">
        <v>707</v>
      </c>
      <c r="D514" s="698" t="s">
        <v>1194</v>
      </c>
      <c r="E514" s="698" t="s">
        <v>843</v>
      </c>
      <c r="F514" s="700">
        <v>0.33333333333333298</v>
      </c>
      <c r="G514" s="700">
        <v>0.54166666666666663</v>
      </c>
      <c r="H514" s="700">
        <v>0.79166666666666663</v>
      </c>
      <c r="I514" s="701">
        <v>540</v>
      </c>
      <c r="J514" s="698">
        <v>360</v>
      </c>
      <c r="K514" s="702">
        <v>-3</v>
      </c>
      <c r="L514" s="703">
        <v>6</v>
      </c>
      <c r="M514" s="698" t="s">
        <v>1022</v>
      </c>
      <c r="N514" s="698" t="s">
        <v>845</v>
      </c>
      <c r="O514" s="706">
        <v>22914</v>
      </c>
      <c r="P514" s="706">
        <v>22962</v>
      </c>
      <c r="Q514" s="704">
        <v>48</v>
      </c>
      <c r="R514" s="698" t="s">
        <v>701</v>
      </c>
      <c r="S514" s="705">
        <v>10</v>
      </c>
      <c r="T514" s="698" t="s">
        <v>781</v>
      </c>
      <c r="U514" s="698"/>
    </row>
    <row r="515" spans="1:21" ht="14.5">
      <c r="A515" s="697"/>
      <c r="B515" s="698" t="s">
        <v>708</v>
      </c>
      <c r="C515" s="698" t="s">
        <v>709</v>
      </c>
      <c r="D515" s="698" t="s">
        <v>788</v>
      </c>
      <c r="E515" s="698" t="s">
        <v>928</v>
      </c>
      <c r="F515" s="700">
        <v>0.33333333333333298</v>
      </c>
      <c r="G515" s="700"/>
      <c r="H515" s="700"/>
      <c r="I515" s="701">
        <v>540</v>
      </c>
      <c r="J515" s="698">
        <v>0</v>
      </c>
      <c r="K515" s="702">
        <v>-9</v>
      </c>
      <c r="L515" s="703">
        <v>0</v>
      </c>
      <c r="M515" s="698" t="s">
        <v>694</v>
      </c>
      <c r="N515" s="698" t="s">
        <v>711</v>
      </c>
      <c r="O515" s="706"/>
      <c r="P515" s="706"/>
      <c r="Q515" s="704">
        <v>0</v>
      </c>
      <c r="R515" s="698" t="s">
        <v>695</v>
      </c>
      <c r="S515" s="705"/>
      <c r="T515" s="698"/>
      <c r="U515" s="698"/>
    </row>
    <row r="516" spans="1:21" ht="14.5">
      <c r="A516" s="697"/>
      <c r="B516" s="698" t="s">
        <v>712</v>
      </c>
      <c r="C516" s="698" t="s">
        <v>713</v>
      </c>
      <c r="D516" s="698" t="s">
        <v>1195</v>
      </c>
      <c r="E516" s="698" t="s">
        <v>930</v>
      </c>
      <c r="F516" s="700">
        <v>0.33333333333333298</v>
      </c>
      <c r="G516" s="700">
        <v>0.5</v>
      </c>
      <c r="H516" s="700">
        <v>0.83333333333333337</v>
      </c>
      <c r="I516" s="701">
        <v>540</v>
      </c>
      <c r="J516" s="698">
        <v>480.00000000000006</v>
      </c>
      <c r="K516" s="702">
        <v>-0.999999999999999</v>
      </c>
      <c r="L516" s="703">
        <v>8.0000000000000018</v>
      </c>
      <c r="M516" s="698" t="s">
        <v>808</v>
      </c>
      <c r="N516" s="698" t="s">
        <v>714</v>
      </c>
      <c r="O516" s="706">
        <v>45579</v>
      </c>
      <c r="P516" s="706">
        <v>45623</v>
      </c>
      <c r="Q516" s="704">
        <v>44</v>
      </c>
      <c r="R516" s="698" t="s">
        <v>695</v>
      </c>
      <c r="S516" s="705"/>
      <c r="T516" s="698" t="s">
        <v>774</v>
      </c>
      <c r="U516" s="698" t="s">
        <v>785</v>
      </c>
    </row>
    <row r="517" spans="1:21" ht="14.5">
      <c r="A517" s="697"/>
      <c r="B517" s="698" t="s">
        <v>715</v>
      </c>
      <c r="C517" s="698" t="s">
        <v>716</v>
      </c>
      <c r="D517" s="707" t="s">
        <v>853</v>
      </c>
      <c r="E517" s="698" t="s">
        <v>190</v>
      </c>
      <c r="F517" s="700">
        <v>0.33333333333333298</v>
      </c>
      <c r="G517" s="700">
        <v>0.25069444444444444</v>
      </c>
      <c r="H517" s="700">
        <v>0.92152777777777783</v>
      </c>
      <c r="I517" s="701">
        <v>540</v>
      </c>
      <c r="J517" s="698">
        <v>966.00000000000011</v>
      </c>
      <c r="K517" s="702">
        <v>7.1000000000000023</v>
      </c>
      <c r="L517" s="703">
        <v>16.100000000000001</v>
      </c>
      <c r="M517" s="698" t="s">
        <v>1196</v>
      </c>
      <c r="N517" s="698" t="s">
        <v>717</v>
      </c>
      <c r="O517" s="706">
        <v>41817</v>
      </c>
      <c r="P517" s="706">
        <v>41985</v>
      </c>
      <c r="Q517" s="704">
        <v>168</v>
      </c>
      <c r="R517" s="698" t="s">
        <v>695</v>
      </c>
      <c r="S517" s="705">
        <v>15</v>
      </c>
      <c r="T517" s="698" t="s">
        <v>806</v>
      </c>
      <c r="U517" s="698" t="s">
        <v>759</v>
      </c>
    </row>
    <row r="518" spans="1:21" ht="14.5">
      <c r="A518" s="697"/>
      <c r="B518" s="707" t="s">
        <v>718</v>
      </c>
      <c r="C518" s="707" t="s">
        <v>719</v>
      </c>
      <c r="D518" s="707" t="s">
        <v>788</v>
      </c>
      <c r="E518" s="707" t="s">
        <v>720</v>
      </c>
      <c r="F518" s="700">
        <v>0.33333333333333298</v>
      </c>
      <c r="G518" s="700"/>
      <c r="H518" s="700"/>
      <c r="I518" s="701">
        <v>540</v>
      </c>
      <c r="J518" s="698">
        <v>0</v>
      </c>
      <c r="K518" s="702">
        <v>-9</v>
      </c>
      <c r="L518" s="703">
        <v>0</v>
      </c>
      <c r="M518" s="698" t="s">
        <v>694</v>
      </c>
      <c r="N518" s="707" t="s">
        <v>721</v>
      </c>
      <c r="O518" s="708"/>
      <c r="P518" s="708"/>
      <c r="Q518" s="704">
        <v>0</v>
      </c>
      <c r="R518" s="707" t="s">
        <v>701</v>
      </c>
      <c r="S518" s="709"/>
      <c r="T518" s="707"/>
      <c r="U518" s="707"/>
    </row>
    <row r="519" spans="1:21" ht="14.5">
      <c r="A519" s="697"/>
      <c r="B519" s="707" t="s">
        <v>722</v>
      </c>
      <c r="C519" s="707" t="s">
        <v>723</v>
      </c>
      <c r="D519" s="707" t="s">
        <v>1197</v>
      </c>
      <c r="E519" s="707" t="s">
        <v>725</v>
      </c>
      <c r="F519" s="700">
        <v>0.33333333333333298</v>
      </c>
      <c r="G519" s="700">
        <v>0.4375</v>
      </c>
      <c r="H519" s="700">
        <v>0.92361111111111116</v>
      </c>
      <c r="I519" s="701">
        <v>540</v>
      </c>
      <c r="J519" s="698">
        <v>700.00000000000011</v>
      </c>
      <c r="K519" s="702">
        <v>2.6666666666666687</v>
      </c>
      <c r="L519" s="703">
        <v>11.666666666666668</v>
      </c>
      <c r="M519" s="698" t="s">
        <v>1198</v>
      </c>
      <c r="N519" s="707" t="s">
        <v>727</v>
      </c>
      <c r="O519" s="708">
        <v>30649</v>
      </c>
      <c r="P519" s="708">
        <v>30694</v>
      </c>
      <c r="Q519" s="704">
        <v>45</v>
      </c>
      <c r="R519" s="707" t="s">
        <v>695</v>
      </c>
      <c r="S519" s="709"/>
      <c r="T519" s="707" t="s">
        <v>728</v>
      </c>
      <c r="U519" s="707" t="s">
        <v>1151</v>
      </c>
    </row>
    <row r="520" spans="1:21" ht="14.5">
      <c r="A520" s="697"/>
      <c r="B520" s="707" t="s">
        <v>730</v>
      </c>
      <c r="C520" s="707" t="s">
        <v>731</v>
      </c>
      <c r="D520" s="711" t="s">
        <v>788</v>
      </c>
      <c r="E520" s="707" t="s">
        <v>732</v>
      </c>
      <c r="F520" s="700">
        <v>0.33333333333333298</v>
      </c>
      <c r="G520" s="700"/>
      <c r="H520" s="700"/>
      <c r="I520" s="701">
        <v>540</v>
      </c>
      <c r="J520" s="698">
        <v>0</v>
      </c>
      <c r="K520" s="702">
        <v>-9</v>
      </c>
      <c r="L520" s="703">
        <v>0</v>
      </c>
      <c r="M520" s="698" t="s">
        <v>694</v>
      </c>
      <c r="N520" s="707" t="s">
        <v>733</v>
      </c>
      <c r="O520" s="708"/>
      <c r="P520" s="708"/>
      <c r="Q520" s="704">
        <v>0</v>
      </c>
      <c r="R520" s="707" t="s">
        <v>701</v>
      </c>
      <c r="S520" s="709"/>
      <c r="T520" s="707"/>
      <c r="U520" s="707"/>
    </row>
    <row r="521" spans="1:21" ht="14.5">
      <c r="A521" s="697"/>
      <c r="B521" s="710" t="s">
        <v>734</v>
      </c>
      <c r="C521" s="711" t="s">
        <v>735</v>
      </c>
      <c r="D521" s="714" t="s">
        <v>936</v>
      </c>
      <c r="E521" s="711" t="s">
        <v>89</v>
      </c>
      <c r="F521" s="712">
        <v>0.33333333333333298</v>
      </c>
      <c r="G521" s="712">
        <v>0.33333333333333331</v>
      </c>
      <c r="H521" s="712">
        <v>0.875</v>
      </c>
      <c r="I521" s="713">
        <v>540</v>
      </c>
      <c r="J521" s="714">
        <v>780.00000000000011</v>
      </c>
      <c r="K521" s="715">
        <v>4.0000000000000018</v>
      </c>
      <c r="L521" s="716">
        <v>13.000000000000002</v>
      </c>
      <c r="M521" s="714" t="s">
        <v>987</v>
      </c>
      <c r="N521" s="711" t="s">
        <v>736</v>
      </c>
      <c r="O521" s="717">
        <v>33500</v>
      </c>
      <c r="P521" s="717">
        <v>33570</v>
      </c>
      <c r="Q521" s="704">
        <v>70</v>
      </c>
      <c r="R521" s="711" t="s">
        <v>701</v>
      </c>
      <c r="S521" s="718">
        <v>10</v>
      </c>
      <c r="T521" s="711" t="s">
        <v>806</v>
      </c>
      <c r="U521" s="711" t="s">
        <v>1199</v>
      </c>
    </row>
    <row r="522" spans="1:21" ht="14.5">
      <c r="A522" s="697"/>
      <c r="B522" s="714" t="s">
        <v>737</v>
      </c>
      <c r="C522" s="714" t="s">
        <v>738</v>
      </c>
      <c r="D522" s="707" t="s">
        <v>788</v>
      </c>
      <c r="E522" s="714"/>
      <c r="F522" s="712">
        <v>0.33333333333333298</v>
      </c>
      <c r="G522" s="712"/>
      <c r="H522" s="712"/>
      <c r="I522" s="713">
        <v>540</v>
      </c>
      <c r="J522" s="714">
        <v>0</v>
      </c>
      <c r="K522" s="715">
        <v>-9</v>
      </c>
      <c r="L522" s="716">
        <v>0</v>
      </c>
      <c r="M522" s="714" t="s">
        <v>694</v>
      </c>
      <c r="N522" s="714"/>
      <c r="O522" s="719"/>
      <c r="P522" s="719"/>
      <c r="Q522" s="704">
        <v>0</v>
      </c>
      <c r="R522" s="714" t="s">
        <v>695</v>
      </c>
      <c r="S522" s="720"/>
      <c r="T522" s="714"/>
      <c r="U522" s="714" t="s">
        <v>739</v>
      </c>
    </row>
    <row r="523" spans="1:21" ht="14.5">
      <c r="A523" s="697"/>
      <c r="B523" s="707"/>
      <c r="C523" s="707" t="s">
        <v>740</v>
      </c>
      <c r="D523" s="707" t="s">
        <v>54</v>
      </c>
      <c r="E523" s="707" t="s">
        <v>741</v>
      </c>
      <c r="F523" s="700">
        <v>0.33333333333333298</v>
      </c>
      <c r="G523" s="700"/>
      <c r="H523" s="700"/>
      <c r="I523" s="701">
        <v>540</v>
      </c>
      <c r="J523" s="698">
        <v>0</v>
      </c>
      <c r="K523" s="702">
        <v>-9</v>
      </c>
      <c r="L523" s="703">
        <v>0</v>
      </c>
      <c r="M523" s="698" t="s">
        <v>694</v>
      </c>
      <c r="N523" s="707"/>
      <c r="O523" s="708"/>
      <c r="P523" s="708"/>
      <c r="Q523" s="704">
        <v>0</v>
      </c>
      <c r="R523" s="707" t="s">
        <v>742</v>
      </c>
      <c r="S523" s="709"/>
      <c r="T523" s="707"/>
      <c r="U523" s="707"/>
    </row>
    <row r="524" spans="1:21" ht="14.5">
      <c r="A524" s="697"/>
      <c r="B524" s="707" t="s">
        <v>54</v>
      </c>
      <c r="C524" s="707" t="s">
        <v>743</v>
      </c>
      <c r="D524" s="698"/>
      <c r="E524" s="707" t="s">
        <v>744</v>
      </c>
      <c r="F524" s="700">
        <v>0.33333333333333298</v>
      </c>
      <c r="G524" s="700"/>
      <c r="H524" s="700"/>
      <c r="I524" s="701">
        <v>540</v>
      </c>
      <c r="J524" s="698">
        <v>0</v>
      </c>
      <c r="K524" s="702">
        <v>-9</v>
      </c>
      <c r="L524" s="703">
        <v>0</v>
      </c>
      <c r="M524" s="698" t="s">
        <v>694</v>
      </c>
      <c r="N524" s="707"/>
      <c r="O524" s="708"/>
      <c r="P524" s="708"/>
      <c r="Q524" s="704">
        <v>0</v>
      </c>
      <c r="R524" s="707" t="s">
        <v>742</v>
      </c>
      <c r="S524" s="709"/>
      <c r="T524" s="707"/>
      <c r="U524" s="707"/>
    </row>
    <row r="525" spans="1:21" ht="14.5">
      <c r="A525" s="697"/>
      <c r="B525" s="698" t="s">
        <v>745</v>
      </c>
      <c r="C525" s="698"/>
      <c r="D525" s="698"/>
      <c r="E525" s="698"/>
      <c r="F525" s="700">
        <v>0.33333333333333298</v>
      </c>
      <c r="G525" s="700"/>
      <c r="H525" s="700"/>
      <c r="I525" s="701">
        <v>540</v>
      </c>
      <c r="J525" s="698">
        <v>0</v>
      </c>
      <c r="K525" s="702">
        <v>-9</v>
      </c>
      <c r="L525" s="703">
        <v>0</v>
      </c>
      <c r="M525" s="698" t="s">
        <v>694</v>
      </c>
      <c r="N525" s="698"/>
      <c r="O525" s="706"/>
      <c r="P525" s="706"/>
      <c r="Q525" s="704">
        <v>0</v>
      </c>
      <c r="R525" s="698"/>
      <c r="S525" s="705"/>
      <c r="T525" s="698"/>
      <c r="U525" s="698"/>
    </row>
    <row r="526" spans="1:21" ht="14.5">
      <c r="A526" s="697"/>
      <c r="B526" s="698" t="s">
        <v>746</v>
      </c>
      <c r="C526" s="698" t="s">
        <v>747</v>
      </c>
      <c r="D526" s="707" t="s">
        <v>788</v>
      </c>
      <c r="E526" s="698" t="s">
        <v>190</v>
      </c>
      <c r="F526" s="700">
        <v>0.33333333333333298</v>
      </c>
      <c r="G526" s="700"/>
      <c r="H526" s="700"/>
      <c r="I526" s="701">
        <v>540</v>
      </c>
      <c r="J526" s="698">
        <v>0</v>
      </c>
      <c r="K526" s="702">
        <v>-9</v>
      </c>
      <c r="L526" s="703">
        <v>0</v>
      </c>
      <c r="M526" s="698" t="s">
        <v>694</v>
      </c>
      <c r="N526" s="698"/>
      <c r="O526" s="706"/>
      <c r="P526" s="706"/>
      <c r="Q526" s="704">
        <v>0</v>
      </c>
      <c r="R526" s="698" t="s">
        <v>701</v>
      </c>
      <c r="S526" s="705"/>
      <c r="T526" s="698"/>
      <c r="U526" s="698"/>
    </row>
    <row r="527" spans="1:21" ht="14.5">
      <c r="A527" s="697"/>
      <c r="B527" s="707" t="s">
        <v>748</v>
      </c>
      <c r="C527" s="707" t="s">
        <v>749</v>
      </c>
      <c r="D527" s="707" t="s">
        <v>788</v>
      </c>
      <c r="E527" s="707" t="s">
        <v>278</v>
      </c>
      <c r="F527" s="700">
        <v>0.33333333333333298</v>
      </c>
      <c r="G527" s="700"/>
      <c r="H527" s="700"/>
      <c r="I527" s="701">
        <v>540</v>
      </c>
      <c r="J527" s="698">
        <v>0</v>
      </c>
      <c r="K527" s="702">
        <v>-9</v>
      </c>
      <c r="L527" s="703">
        <v>0</v>
      </c>
      <c r="M527" s="698" t="s">
        <v>694</v>
      </c>
      <c r="N527" s="707"/>
      <c r="O527" s="708"/>
      <c r="P527" s="708"/>
      <c r="Q527" s="704">
        <v>0</v>
      </c>
      <c r="R527" s="707" t="s">
        <v>695</v>
      </c>
      <c r="S527" s="709"/>
      <c r="T527" s="707"/>
      <c r="U527" s="707"/>
    </row>
    <row r="528" spans="1:21" ht="14.5">
      <c r="A528" s="697"/>
      <c r="B528" s="707" t="s">
        <v>750</v>
      </c>
      <c r="C528" s="707"/>
      <c r="D528" s="707"/>
      <c r="E528" s="707"/>
      <c r="F528" s="700">
        <v>0.33333333333333298</v>
      </c>
      <c r="G528" s="700"/>
      <c r="H528" s="700"/>
      <c r="I528" s="701">
        <v>540</v>
      </c>
      <c r="J528" s="698">
        <v>0</v>
      </c>
      <c r="K528" s="702">
        <v>-9</v>
      </c>
      <c r="L528" s="703">
        <v>0</v>
      </c>
      <c r="M528" s="698" t="s">
        <v>694</v>
      </c>
      <c r="N528" s="707"/>
      <c r="O528" s="708"/>
      <c r="P528" s="708"/>
      <c r="Q528" s="704">
        <v>0</v>
      </c>
      <c r="R528" s="707"/>
      <c r="S528" s="709"/>
      <c r="T528" s="707"/>
      <c r="U528" s="707"/>
    </row>
    <row r="529" spans="1:21" ht="14.5">
      <c r="A529" s="697"/>
      <c r="B529" s="707" t="s">
        <v>751</v>
      </c>
      <c r="C529" s="707" t="s">
        <v>752</v>
      </c>
      <c r="D529" s="711" t="s">
        <v>1200</v>
      </c>
      <c r="E529" s="707" t="s">
        <v>725</v>
      </c>
      <c r="F529" s="700">
        <v>0.33333333333333298</v>
      </c>
      <c r="G529" s="700">
        <v>0.5625</v>
      </c>
      <c r="H529" s="700">
        <v>0.58333333333333337</v>
      </c>
      <c r="I529" s="701">
        <v>540</v>
      </c>
      <c r="J529" s="698">
        <v>30.000000000000053</v>
      </c>
      <c r="K529" s="702">
        <v>-8.4999999999999982</v>
      </c>
      <c r="L529" s="703">
        <v>0.50000000000000089</v>
      </c>
      <c r="M529" s="698" t="s">
        <v>1201</v>
      </c>
      <c r="N529" s="707" t="s">
        <v>1202</v>
      </c>
      <c r="O529" s="708">
        <v>9601</v>
      </c>
      <c r="P529" s="708">
        <v>9604</v>
      </c>
      <c r="Q529" s="704">
        <v>3</v>
      </c>
      <c r="R529" s="707" t="s">
        <v>701</v>
      </c>
      <c r="S529" s="709"/>
      <c r="T529" s="707" t="s">
        <v>763</v>
      </c>
      <c r="U529" s="707"/>
    </row>
    <row r="530" spans="1:21">
      <c r="A530" s="697"/>
      <c r="B530" s="710" t="s">
        <v>754</v>
      </c>
      <c r="C530" s="711" t="s">
        <v>755</v>
      </c>
      <c r="D530" s="721" t="s">
        <v>1203</v>
      </c>
      <c r="E530" s="711" t="s">
        <v>190</v>
      </c>
      <c r="F530" s="712">
        <v>0.33333333333333298</v>
      </c>
      <c r="G530" s="712">
        <v>0.41666666666666669</v>
      </c>
      <c r="H530" s="712">
        <v>0.79861111111111116</v>
      </c>
      <c r="I530" s="713">
        <v>540</v>
      </c>
      <c r="J530" s="714">
        <v>550</v>
      </c>
      <c r="K530" s="715">
        <v>0.16666666666666666</v>
      </c>
      <c r="L530" s="716">
        <v>9.1666666666666661</v>
      </c>
      <c r="M530" s="714" t="s">
        <v>1168</v>
      </c>
      <c r="N530" s="711" t="s">
        <v>916</v>
      </c>
      <c r="O530" s="717">
        <v>22763</v>
      </c>
      <c r="P530" s="717">
        <v>22788</v>
      </c>
      <c r="Q530" s="704">
        <v>25</v>
      </c>
      <c r="R530" s="711" t="s">
        <v>701</v>
      </c>
      <c r="S530" s="718">
        <v>15</v>
      </c>
      <c r="T530" s="711" t="s">
        <v>728</v>
      </c>
      <c r="U530" s="711"/>
    </row>
    <row r="531" spans="1:21">
      <c r="A531" s="697"/>
      <c r="B531" s="721" t="s">
        <v>54</v>
      </c>
      <c r="C531" s="721"/>
      <c r="D531" s="699" t="s">
        <v>54</v>
      </c>
      <c r="E531" s="721"/>
      <c r="F531" s="721"/>
      <c r="G531" s="721"/>
      <c r="H531" s="721"/>
      <c r="I531" s="721"/>
      <c r="J531" s="721"/>
      <c r="K531" s="721"/>
      <c r="L531" s="721"/>
      <c r="M531" s="721" t="s">
        <v>54</v>
      </c>
      <c r="N531" s="721"/>
      <c r="O531" s="722"/>
      <c r="P531" s="722"/>
      <c r="Q531" s="704"/>
      <c r="R531" s="721"/>
      <c r="S531" s="723"/>
      <c r="T531" s="721"/>
      <c r="U531" s="721"/>
    </row>
    <row r="532" spans="1:21" ht="14.5">
      <c r="A532" s="697">
        <v>46261</v>
      </c>
      <c r="B532" s="698" t="s">
        <v>691</v>
      </c>
      <c r="C532" s="698" t="s">
        <v>692</v>
      </c>
      <c r="D532" s="698" t="s">
        <v>1204</v>
      </c>
      <c r="E532" s="698" t="s">
        <v>693</v>
      </c>
      <c r="F532" s="700">
        <v>0.33333333333333298</v>
      </c>
      <c r="G532" s="700">
        <v>0.36736111111111108</v>
      </c>
      <c r="H532" s="700">
        <v>0.89027777777777783</v>
      </c>
      <c r="I532" s="701">
        <v>540</v>
      </c>
      <c r="J532" s="698">
        <v>753</v>
      </c>
      <c r="K532" s="702">
        <v>3.55</v>
      </c>
      <c r="L532" s="703">
        <v>12.55</v>
      </c>
      <c r="M532" s="698" t="s">
        <v>1205</v>
      </c>
      <c r="N532" s="698" t="s">
        <v>767</v>
      </c>
      <c r="O532" s="706"/>
      <c r="P532" s="706"/>
      <c r="Q532" s="704">
        <v>0</v>
      </c>
      <c r="R532" s="698" t="s">
        <v>695</v>
      </c>
      <c r="S532" s="705"/>
      <c r="T532" s="698"/>
      <c r="U532" s="698"/>
    </row>
    <row r="533" spans="1:21" ht="14.5">
      <c r="A533" s="697"/>
      <c r="B533" s="698" t="s">
        <v>696</v>
      </c>
      <c r="C533" s="698" t="s">
        <v>697</v>
      </c>
      <c r="D533" s="698" t="s">
        <v>1206</v>
      </c>
      <c r="E533" s="698" t="s">
        <v>1207</v>
      </c>
      <c r="F533" s="700">
        <v>0.33333333333333298</v>
      </c>
      <c r="G533" s="700">
        <v>0.43055555555555558</v>
      </c>
      <c r="H533" s="700">
        <v>0.76388888888888884</v>
      </c>
      <c r="I533" s="701">
        <v>540</v>
      </c>
      <c r="J533" s="698">
        <v>479.99999999999989</v>
      </c>
      <c r="K533" s="702">
        <v>-1.000000000000002</v>
      </c>
      <c r="L533" s="703">
        <v>7.9999999999999982</v>
      </c>
      <c r="M533" s="698" t="s">
        <v>808</v>
      </c>
      <c r="N533" s="698" t="s">
        <v>1208</v>
      </c>
      <c r="O533" s="706">
        <v>28891</v>
      </c>
      <c r="P533" s="706">
        <v>28955</v>
      </c>
      <c r="Q533" s="704">
        <v>64</v>
      </c>
      <c r="R533" s="698" t="s">
        <v>695</v>
      </c>
      <c r="S533" s="705">
        <v>6</v>
      </c>
      <c r="T533" s="698" t="s">
        <v>763</v>
      </c>
      <c r="U533" s="698"/>
    </row>
    <row r="534" spans="1:21" ht="14.5">
      <c r="A534" s="697"/>
      <c r="B534" s="698" t="s">
        <v>698</v>
      </c>
      <c r="C534" s="698" t="s">
        <v>699</v>
      </c>
      <c r="D534" s="698" t="s">
        <v>975</v>
      </c>
      <c r="E534" s="698" t="s">
        <v>777</v>
      </c>
      <c r="F534" s="700">
        <v>0.33333333333333298</v>
      </c>
      <c r="G534" s="700">
        <v>0.45833333333333331</v>
      </c>
      <c r="H534" s="700">
        <v>0.79513888888888884</v>
      </c>
      <c r="I534" s="701">
        <v>540</v>
      </c>
      <c r="J534" s="698">
        <v>484.99999999999994</v>
      </c>
      <c r="K534" s="702">
        <v>-0.91666666666666763</v>
      </c>
      <c r="L534" s="703">
        <v>8.0833333333333321</v>
      </c>
      <c r="M534" s="698" t="s">
        <v>795</v>
      </c>
      <c r="N534" s="698" t="s">
        <v>1209</v>
      </c>
      <c r="O534" s="706">
        <v>32552</v>
      </c>
      <c r="P534" s="706">
        <v>32674</v>
      </c>
      <c r="Q534" s="704">
        <v>122</v>
      </c>
      <c r="R534" s="698" t="s">
        <v>701</v>
      </c>
      <c r="S534" s="705">
        <v>15</v>
      </c>
      <c r="T534" s="698" t="s">
        <v>763</v>
      </c>
      <c r="U534" s="698"/>
    </row>
    <row r="535" spans="1:21" ht="14.5">
      <c r="A535" s="697"/>
      <c r="B535" s="698" t="s">
        <v>702</v>
      </c>
      <c r="C535" s="698" t="s">
        <v>703</v>
      </c>
      <c r="D535" s="698" t="s">
        <v>1191</v>
      </c>
      <c r="E535" s="698" t="s">
        <v>700</v>
      </c>
      <c r="F535" s="700">
        <v>0.33333333333333298</v>
      </c>
      <c r="G535" s="700"/>
      <c r="H535" s="700"/>
      <c r="I535" s="701">
        <v>540</v>
      </c>
      <c r="J535" s="698">
        <v>0</v>
      </c>
      <c r="K535" s="702">
        <v>-9</v>
      </c>
      <c r="L535" s="703">
        <v>0</v>
      </c>
      <c r="M535" s="698" t="s">
        <v>694</v>
      </c>
      <c r="N535" s="698"/>
      <c r="O535" s="706"/>
      <c r="P535" s="706"/>
      <c r="Q535" s="704">
        <v>0</v>
      </c>
      <c r="R535" s="698" t="s">
        <v>701</v>
      </c>
      <c r="S535" s="705"/>
      <c r="T535" s="698"/>
      <c r="U535" s="698"/>
    </row>
    <row r="536" spans="1:21" ht="14.5">
      <c r="A536" s="697"/>
      <c r="B536" s="698" t="s">
        <v>704</v>
      </c>
      <c r="C536" s="698" t="s">
        <v>705</v>
      </c>
      <c r="D536" s="698" t="s">
        <v>788</v>
      </c>
      <c r="E536" s="698" t="s">
        <v>1060</v>
      </c>
      <c r="F536" s="700">
        <v>0.33333333333333298</v>
      </c>
      <c r="G536" s="700"/>
      <c r="H536" s="700"/>
      <c r="I536" s="701">
        <v>540</v>
      </c>
      <c r="J536" s="698">
        <v>0</v>
      </c>
      <c r="K536" s="702">
        <v>-9</v>
      </c>
      <c r="L536" s="703">
        <v>0</v>
      </c>
      <c r="M536" s="698" t="s">
        <v>694</v>
      </c>
      <c r="N536" s="698"/>
      <c r="O536" s="706"/>
      <c r="P536" s="706"/>
      <c r="Q536" s="704">
        <v>0</v>
      </c>
      <c r="R536" s="698" t="s">
        <v>701</v>
      </c>
      <c r="S536" s="705"/>
      <c r="T536" s="698"/>
      <c r="U536" s="698"/>
    </row>
    <row r="537" spans="1:21" ht="14.5">
      <c r="A537" s="697"/>
      <c r="B537" s="698" t="s">
        <v>706</v>
      </c>
      <c r="C537" s="698" t="s">
        <v>707</v>
      </c>
      <c r="D537" s="698" t="s">
        <v>1210</v>
      </c>
      <c r="E537" s="698" t="s">
        <v>843</v>
      </c>
      <c r="F537" s="700">
        <v>0.33333333333333298</v>
      </c>
      <c r="G537" s="700">
        <v>0.54166666666666663</v>
      </c>
      <c r="H537" s="700">
        <v>0.95833333333333337</v>
      </c>
      <c r="I537" s="701">
        <v>540</v>
      </c>
      <c r="J537" s="698">
        <v>600.00000000000011</v>
      </c>
      <c r="K537" s="702">
        <v>1.000000000000002</v>
      </c>
      <c r="L537" s="703">
        <v>10.000000000000002</v>
      </c>
      <c r="M537" s="698" t="s">
        <v>823</v>
      </c>
      <c r="N537" s="698" t="s">
        <v>845</v>
      </c>
      <c r="O537" s="706">
        <v>22962</v>
      </c>
      <c r="P537" s="706">
        <v>23126</v>
      </c>
      <c r="Q537" s="704">
        <v>164</v>
      </c>
      <c r="R537" s="698" t="s">
        <v>701</v>
      </c>
      <c r="S537" s="705">
        <v>15</v>
      </c>
      <c r="T537" s="698" t="s">
        <v>781</v>
      </c>
      <c r="U537" s="698"/>
    </row>
    <row r="538" spans="1:21" ht="14.5">
      <c r="A538" s="697"/>
      <c r="B538" s="698" t="s">
        <v>708</v>
      </c>
      <c r="C538" s="698" t="s">
        <v>709</v>
      </c>
      <c r="D538" s="698" t="s">
        <v>788</v>
      </c>
      <c r="E538" s="698" t="s">
        <v>928</v>
      </c>
      <c r="F538" s="700">
        <v>0.33333333333333298</v>
      </c>
      <c r="G538" s="700"/>
      <c r="H538" s="700"/>
      <c r="I538" s="701">
        <v>540</v>
      </c>
      <c r="J538" s="698">
        <v>0</v>
      </c>
      <c r="K538" s="702">
        <v>-9</v>
      </c>
      <c r="L538" s="703">
        <v>0</v>
      </c>
      <c r="M538" s="698" t="s">
        <v>694</v>
      </c>
      <c r="N538" s="698" t="s">
        <v>711</v>
      </c>
      <c r="O538" s="706"/>
      <c r="P538" s="706"/>
      <c r="Q538" s="704">
        <v>0</v>
      </c>
      <c r="R538" s="698" t="s">
        <v>695</v>
      </c>
      <c r="S538" s="705"/>
      <c r="T538" s="698"/>
      <c r="U538" s="698"/>
    </row>
    <row r="539" spans="1:21" ht="14.5">
      <c r="A539" s="697"/>
      <c r="B539" s="698" t="s">
        <v>712</v>
      </c>
      <c r="C539" s="698" t="s">
        <v>713</v>
      </c>
      <c r="D539" s="698" t="s">
        <v>788</v>
      </c>
      <c r="E539" s="698" t="s">
        <v>930</v>
      </c>
      <c r="F539" s="700">
        <v>0.33333333333333298</v>
      </c>
      <c r="G539" s="700"/>
      <c r="H539" s="700"/>
      <c r="I539" s="701">
        <v>540</v>
      </c>
      <c r="J539" s="698">
        <v>0</v>
      </c>
      <c r="K539" s="702">
        <v>-9</v>
      </c>
      <c r="L539" s="703">
        <v>0</v>
      </c>
      <c r="M539" s="698" t="s">
        <v>694</v>
      </c>
      <c r="N539" s="698" t="s">
        <v>714</v>
      </c>
      <c r="O539" s="706"/>
      <c r="P539" s="706"/>
      <c r="Q539" s="704">
        <v>0</v>
      </c>
      <c r="R539" s="698" t="s">
        <v>695</v>
      </c>
      <c r="S539" s="705"/>
      <c r="T539" s="698"/>
      <c r="U539" s="698"/>
    </row>
    <row r="540" spans="1:21" ht="14.5">
      <c r="A540" s="697"/>
      <c r="B540" s="698" t="s">
        <v>715</v>
      </c>
      <c r="C540" s="698" t="s">
        <v>716</v>
      </c>
      <c r="D540" s="707" t="s">
        <v>1172</v>
      </c>
      <c r="E540" s="698" t="s">
        <v>190</v>
      </c>
      <c r="F540" s="700">
        <v>0.33333333333333298</v>
      </c>
      <c r="G540" s="700">
        <v>0.33333333333333331</v>
      </c>
      <c r="H540" s="700">
        <v>1.0173611111111112</v>
      </c>
      <c r="I540" s="701">
        <v>540</v>
      </c>
      <c r="J540" s="698">
        <v>985.00000000000023</v>
      </c>
      <c r="K540" s="702">
        <v>7.4166666666666705</v>
      </c>
      <c r="L540" s="703">
        <v>16.416666666666671</v>
      </c>
      <c r="M540" s="698" t="s">
        <v>1103</v>
      </c>
      <c r="N540" s="698" t="s">
        <v>717</v>
      </c>
      <c r="O540" s="706">
        <v>41985</v>
      </c>
      <c r="P540" s="706">
        <v>42082</v>
      </c>
      <c r="Q540" s="704">
        <v>97</v>
      </c>
      <c r="R540" s="698" t="s">
        <v>695</v>
      </c>
      <c r="S540" s="705">
        <v>10</v>
      </c>
      <c r="T540" s="698" t="s">
        <v>806</v>
      </c>
      <c r="U540" s="698" t="s">
        <v>1211</v>
      </c>
    </row>
    <row r="541" spans="1:21" ht="14.5">
      <c r="A541" s="697"/>
      <c r="B541" s="707" t="s">
        <v>718</v>
      </c>
      <c r="C541" s="707" t="s">
        <v>719</v>
      </c>
      <c r="D541" s="707" t="s">
        <v>1212</v>
      </c>
      <c r="E541" s="707" t="s">
        <v>720</v>
      </c>
      <c r="F541" s="700">
        <v>0.33333333333333298</v>
      </c>
      <c r="G541" s="700">
        <v>0.25</v>
      </c>
      <c r="H541" s="700">
        <v>0.88541666666666663</v>
      </c>
      <c r="I541" s="701">
        <v>540</v>
      </c>
      <c r="J541" s="698">
        <v>915</v>
      </c>
      <c r="K541" s="702">
        <v>6.25</v>
      </c>
      <c r="L541" s="703">
        <v>15.25</v>
      </c>
      <c r="M541" s="698" t="s">
        <v>840</v>
      </c>
      <c r="N541" s="707" t="s">
        <v>721</v>
      </c>
      <c r="O541" s="708">
        <v>19228</v>
      </c>
      <c r="P541" s="708">
        <v>19396</v>
      </c>
      <c r="Q541" s="704">
        <v>168</v>
      </c>
      <c r="R541" s="707" t="s">
        <v>701</v>
      </c>
      <c r="S541" s="709">
        <v>20</v>
      </c>
      <c r="T541" s="707" t="s">
        <v>846</v>
      </c>
      <c r="U541" s="707" t="s">
        <v>1122</v>
      </c>
    </row>
    <row r="542" spans="1:21" ht="14.5">
      <c r="A542" s="697"/>
      <c r="B542" s="707" t="s">
        <v>722</v>
      </c>
      <c r="C542" s="707" t="s">
        <v>723</v>
      </c>
      <c r="D542" s="707" t="s">
        <v>1213</v>
      </c>
      <c r="E542" s="707" t="s">
        <v>725</v>
      </c>
      <c r="F542" s="700">
        <v>0.33333333333333298</v>
      </c>
      <c r="G542" s="700">
        <v>0.27083333333333331</v>
      </c>
      <c r="H542" s="700">
        <v>0.79513888888888884</v>
      </c>
      <c r="I542" s="701">
        <v>540</v>
      </c>
      <c r="J542" s="698">
        <v>755</v>
      </c>
      <c r="K542" s="702">
        <v>3.5833333333333335</v>
      </c>
      <c r="L542" s="703">
        <v>12.583333333333334</v>
      </c>
      <c r="M542" s="698" t="s">
        <v>1214</v>
      </c>
      <c r="N542" s="707" t="s">
        <v>727</v>
      </c>
      <c r="O542" s="708">
        <v>30694</v>
      </c>
      <c r="P542" s="708">
        <v>30774</v>
      </c>
      <c r="Q542" s="704">
        <v>80</v>
      </c>
      <c r="R542" s="707" t="s">
        <v>695</v>
      </c>
      <c r="S542" s="709">
        <v>15</v>
      </c>
      <c r="T542" s="707" t="s">
        <v>728</v>
      </c>
      <c r="U542" s="707" t="s">
        <v>1215</v>
      </c>
    </row>
    <row r="543" spans="1:21" ht="14.5">
      <c r="A543" s="697"/>
      <c r="B543" s="707" t="s">
        <v>730</v>
      </c>
      <c r="C543" s="707" t="s">
        <v>731</v>
      </c>
      <c r="D543" s="711" t="s">
        <v>788</v>
      </c>
      <c r="E543" s="707" t="s">
        <v>732</v>
      </c>
      <c r="F543" s="700">
        <v>0.33333333333333298</v>
      </c>
      <c r="G543" s="700"/>
      <c r="H543" s="700"/>
      <c r="I543" s="701">
        <v>540</v>
      </c>
      <c r="J543" s="698">
        <v>0</v>
      </c>
      <c r="K543" s="702">
        <v>-9</v>
      </c>
      <c r="L543" s="703">
        <v>0</v>
      </c>
      <c r="M543" s="698" t="s">
        <v>694</v>
      </c>
      <c r="N543" s="707" t="s">
        <v>733</v>
      </c>
      <c r="O543" s="708"/>
      <c r="P543" s="708"/>
      <c r="Q543" s="704">
        <v>0</v>
      </c>
      <c r="R543" s="707" t="s">
        <v>701</v>
      </c>
      <c r="S543" s="709"/>
      <c r="T543" s="707"/>
      <c r="U543" s="707"/>
    </row>
    <row r="544" spans="1:21" ht="14.5">
      <c r="A544" s="697"/>
      <c r="B544" s="710" t="s">
        <v>734</v>
      </c>
      <c r="C544" s="711" t="s">
        <v>735</v>
      </c>
      <c r="D544" s="714" t="s">
        <v>788</v>
      </c>
      <c r="E544" s="711" t="s">
        <v>89</v>
      </c>
      <c r="F544" s="712">
        <v>0.33333333333333298</v>
      </c>
      <c r="G544" s="712"/>
      <c r="H544" s="712"/>
      <c r="I544" s="713">
        <v>540</v>
      </c>
      <c r="J544" s="714">
        <v>0</v>
      </c>
      <c r="K544" s="715">
        <v>-9</v>
      </c>
      <c r="L544" s="716">
        <v>0</v>
      </c>
      <c r="M544" s="714" t="s">
        <v>694</v>
      </c>
      <c r="N544" s="711" t="s">
        <v>736</v>
      </c>
      <c r="O544" s="717"/>
      <c r="P544" s="717"/>
      <c r="Q544" s="704">
        <v>0</v>
      </c>
      <c r="R544" s="711" t="s">
        <v>701</v>
      </c>
      <c r="S544" s="718"/>
      <c r="T544" s="711"/>
      <c r="U544" s="711"/>
    </row>
    <row r="545" spans="1:21" ht="14.5">
      <c r="A545" s="697"/>
      <c r="B545" s="714" t="s">
        <v>737</v>
      </c>
      <c r="C545" s="714" t="s">
        <v>738</v>
      </c>
      <c r="D545" s="707" t="s">
        <v>788</v>
      </c>
      <c r="E545" s="714"/>
      <c r="F545" s="712">
        <v>0.33333333333333298</v>
      </c>
      <c r="G545" s="712"/>
      <c r="H545" s="712"/>
      <c r="I545" s="713">
        <v>540</v>
      </c>
      <c r="J545" s="714">
        <v>0</v>
      </c>
      <c r="K545" s="715">
        <v>-9</v>
      </c>
      <c r="L545" s="716">
        <v>0</v>
      </c>
      <c r="M545" s="714" t="s">
        <v>694</v>
      </c>
      <c r="N545" s="714"/>
      <c r="O545" s="719"/>
      <c r="P545" s="719"/>
      <c r="Q545" s="704">
        <v>0</v>
      </c>
      <c r="R545" s="714" t="s">
        <v>695</v>
      </c>
      <c r="S545" s="720"/>
      <c r="T545" s="714"/>
      <c r="U545" s="714" t="s">
        <v>739</v>
      </c>
    </row>
    <row r="546" spans="1:21" ht="14.5">
      <c r="A546" s="697"/>
      <c r="B546" s="707"/>
      <c r="C546" s="707" t="s">
        <v>740</v>
      </c>
      <c r="D546" s="707" t="s">
        <v>54</v>
      </c>
      <c r="E546" s="707" t="s">
        <v>741</v>
      </c>
      <c r="F546" s="700">
        <v>0.33333333333333298</v>
      </c>
      <c r="G546" s="700"/>
      <c r="H546" s="700"/>
      <c r="I546" s="701">
        <v>540</v>
      </c>
      <c r="J546" s="698">
        <v>0</v>
      </c>
      <c r="K546" s="702">
        <v>-9</v>
      </c>
      <c r="L546" s="703">
        <v>0</v>
      </c>
      <c r="M546" s="698" t="s">
        <v>694</v>
      </c>
      <c r="N546" s="707"/>
      <c r="O546" s="708"/>
      <c r="P546" s="708"/>
      <c r="Q546" s="704">
        <v>0</v>
      </c>
      <c r="R546" s="707" t="s">
        <v>742</v>
      </c>
      <c r="S546" s="709"/>
      <c r="T546" s="707"/>
      <c r="U546" s="707"/>
    </row>
    <row r="547" spans="1:21" ht="14.5">
      <c r="A547" s="697"/>
      <c r="B547" s="707" t="s">
        <v>54</v>
      </c>
      <c r="C547" s="707" t="s">
        <v>743</v>
      </c>
      <c r="D547" s="698"/>
      <c r="E547" s="707" t="s">
        <v>744</v>
      </c>
      <c r="F547" s="700">
        <v>0.33333333333333298</v>
      </c>
      <c r="G547" s="700"/>
      <c r="H547" s="700"/>
      <c r="I547" s="701">
        <v>540</v>
      </c>
      <c r="J547" s="698">
        <v>0</v>
      </c>
      <c r="K547" s="702">
        <v>-9</v>
      </c>
      <c r="L547" s="703">
        <v>0</v>
      </c>
      <c r="M547" s="698" t="s">
        <v>694</v>
      </c>
      <c r="N547" s="707"/>
      <c r="O547" s="708"/>
      <c r="P547" s="708"/>
      <c r="Q547" s="704">
        <v>0</v>
      </c>
      <c r="R547" s="707" t="s">
        <v>742</v>
      </c>
      <c r="S547" s="709"/>
      <c r="T547" s="707"/>
      <c r="U547" s="707"/>
    </row>
    <row r="548" spans="1:21" ht="14.5">
      <c r="A548" s="697"/>
      <c r="B548" s="698" t="s">
        <v>745</v>
      </c>
      <c r="C548" s="698"/>
      <c r="D548" s="698"/>
      <c r="E548" s="698"/>
      <c r="F548" s="700">
        <v>0.33333333333333298</v>
      </c>
      <c r="G548" s="700"/>
      <c r="H548" s="700"/>
      <c r="I548" s="701">
        <v>540</v>
      </c>
      <c r="J548" s="698">
        <v>0</v>
      </c>
      <c r="K548" s="702">
        <v>-9</v>
      </c>
      <c r="L548" s="703">
        <v>0</v>
      </c>
      <c r="M548" s="698" t="s">
        <v>694</v>
      </c>
      <c r="N548" s="698"/>
      <c r="O548" s="706"/>
      <c r="P548" s="706"/>
      <c r="Q548" s="704">
        <v>0</v>
      </c>
      <c r="R548" s="698"/>
      <c r="S548" s="705"/>
      <c r="T548" s="698"/>
      <c r="U548" s="698"/>
    </row>
    <row r="549" spans="1:21" ht="14.5">
      <c r="A549" s="697"/>
      <c r="B549" s="698" t="s">
        <v>746</v>
      </c>
      <c r="C549" s="698" t="s">
        <v>747</v>
      </c>
      <c r="D549" s="707" t="s">
        <v>1216</v>
      </c>
      <c r="E549" s="698" t="s">
        <v>190</v>
      </c>
      <c r="F549" s="700">
        <v>0.33333333333333298</v>
      </c>
      <c r="G549" s="700">
        <v>0.20833333333333334</v>
      </c>
      <c r="H549" s="700">
        <v>0.75555555555555554</v>
      </c>
      <c r="I549" s="701">
        <v>540</v>
      </c>
      <c r="J549" s="698">
        <v>787.99999999999989</v>
      </c>
      <c r="K549" s="702">
        <v>4.1333333333333311</v>
      </c>
      <c r="L549" s="703">
        <v>13.133333333333331</v>
      </c>
      <c r="M549" s="698" t="s">
        <v>1217</v>
      </c>
      <c r="N549" s="698" t="s">
        <v>979</v>
      </c>
      <c r="O549" s="706">
        <v>40065</v>
      </c>
      <c r="P549" s="706">
        <v>40470</v>
      </c>
      <c r="Q549" s="704">
        <v>405</v>
      </c>
      <c r="R549" s="698" t="s">
        <v>701</v>
      </c>
      <c r="S549" s="705">
        <v>40</v>
      </c>
      <c r="T549" s="698" t="s">
        <v>806</v>
      </c>
      <c r="U549" s="698"/>
    </row>
    <row r="550" spans="1:21" ht="14.5">
      <c r="A550" s="697"/>
      <c r="B550" s="707" t="s">
        <v>748</v>
      </c>
      <c r="C550" s="707" t="s">
        <v>749</v>
      </c>
      <c r="D550" s="707" t="s">
        <v>1218</v>
      </c>
      <c r="E550" s="707" t="s">
        <v>278</v>
      </c>
      <c r="F550" s="700">
        <v>0.33333333333333298</v>
      </c>
      <c r="G550" s="700">
        <v>0.3263888888888889</v>
      </c>
      <c r="H550" s="700">
        <v>0.74305555555555547</v>
      </c>
      <c r="I550" s="701">
        <v>540</v>
      </c>
      <c r="J550" s="698">
        <v>599.99999999999989</v>
      </c>
      <c r="K550" s="702">
        <v>0.99999999999999811</v>
      </c>
      <c r="L550" s="703">
        <v>9.9999999999999982</v>
      </c>
      <c r="M550" s="698" t="s">
        <v>823</v>
      </c>
      <c r="N550" s="707" t="s">
        <v>859</v>
      </c>
      <c r="O550" s="708">
        <v>14248</v>
      </c>
      <c r="P550" s="708">
        <v>14317</v>
      </c>
      <c r="Q550" s="704">
        <v>69</v>
      </c>
      <c r="R550" s="707" t="s">
        <v>695</v>
      </c>
      <c r="S550" s="709">
        <v>10</v>
      </c>
      <c r="T550" s="707" t="s">
        <v>806</v>
      </c>
      <c r="U550" s="707"/>
    </row>
    <row r="551" spans="1:21" ht="14.5">
      <c r="A551" s="697"/>
      <c r="B551" s="707" t="s">
        <v>750</v>
      </c>
      <c r="C551" s="707"/>
      <c r="D551" s="707"/>
      <c r="E551" s="707"/>
      <c r="F551" s="700">
        <v>0.33333333333333298</v>
      </c>
      <c r="G551" s="700"/>
      <c r="H551" s="700"/>
      <c r="I551" s="701">
        <v>540</v>
      </c>
      <c r="J551" s="698">
        <v>0</v>
      </c>
      <c r="K551" s="702">
        <v>-9</v>
      </c>
      <c r="L551" s="703">
        <v>0</v>
      </c>
      <c r="M551" s="698" t="s">
        <v>694</v>
      </c>
      <c r="N551" s="707"/>
      <c r="O551" s="708"/>
      <c r="P551" s="708"/>
      <c r="Q551" s="704">
        <v>0</v>
      </c>
      <c r="R551" s="707"/>
      <c r="S551" s="709"/>
      <c r="T551" s="707"/>
      <c r="U551" s="707"/>
    </row>
    <row r="552" spans="1:21" ht="14.5">
      <c r="A552" s="697"/>
      <c r="B552" s="707" t="s">
        <v>751</v>
      </c>
      <c r="C552" s="707" t="s">
        <v>752</v>
      </c>
      <c r="D552" s="711" t="s">
        <v>1203</v>
      </c>
      <c r="E552" s="707" t="s">
        <v>725</v>
      </c>
      <c r="F552" s="700">
        <v>0.33333333333333298</v>
      </c>
      <c r="G552" s="700">
        <v>0.55902777777777779</v>
      </c>
      <c r="H552" s="700">
        <v>0.70833333333333337</v>
      </c>
      <c r="I552" s="701">
        <v>540</v>
      </c>
      <c r="J552" s="698">
        <v>215.00000000000003</v>
      </c>
      <c r="K552" s="702">
        <v>-5.416666666666667</v>
      </c>
      <c r="L552" s="703">
        <v>3.5833333333333339</v>
      </c>
      <c r="M552" s="698" t="s">
        <v>1219</v>
      </c>
      <c r="N552" s="707" t="s">
        <v>1055</v>
      </c>
      <c r="O552" s="708">
        <v>9604</v>
      </c>
      <c r="P552" s="708">
        <v>9624</v>
      </c>
      <c r="Q552" s="704">
        <v>20</v>
      </c>
      <c r="R552" s="707" t="s">
        <v>701</v>
      </c>
      <c r="S552" s="709"/>
      <c r="T552" s="707" t="s">
        <v>728</v>
      </c>
      <c r="U552" s="707"/>
    </row>
    <row r="553" spans="1:21">
      <c r="A553" s="697"/>
      <c r="B553" s="710" t="s">
        <v>754</v>
      </c>
      <c r="C553" s="711" t="s">
        <v>755</v>
      </c>
      <c r="D553" s="721" t="s">
        <v>1220</v>
      </c>
      <c r="E553" s="711" t="s">
        <v>190</v>
      </c>
      <c r="F553" s="712">
        <v>0.33333333333333298</v>
      </c>
      <c r="G553" s="712">
        <v>0.33333333333333331</v>
      </c>
      <c r="H553" s="712">
        <v>0.99305555555555547</v>
      </c>
      <c r="I553" s="713">
        <v>540</v>
      </c>
      <c r="J553" s="714">
        <v>949.99999999999977</v>
      </c>
      <c r="K553" s="715">
        <v>6.8333333333333295</v>
      </c>
      <c r="L553" s="716">
        <v>15.83333333333333</v>
      </c>
      <c r="M553" s="714" t="s">
        <v>1221</v>
      </c>
      <c r="N553" s="711" t="s">
        <v>916</v>
      </c>
      <c r="O553" s="717">
        <v>22788</v>
      </c>
      <c r="P553" s="717">
        <v>22901</v>
      </c>
      <c r="Q553" s="704">
        <v>113</v>
      </c>
      <c r="R553" s="711" t="s">
        <v>701</v>
      </c>
      <c r="S553" s="718">
        <v>15</v>
      </c>
      <c r="T553" s="711" t="s">
        <v>846</v>
      </c>
      <c r="U553" s="711"/>
    </row>
    <row r="554" spans="1:21">
      <c r="A554" s="697"/>
      <c r="B554" s="721" t="s">
        <v>54</v>
      </c>
      <c r="C554" s="721"/>
      <c r="D554" s="699" t="s">
        <v>54</v>
      </c>
      <c r="E554" s="721"/>
      <c r="F554" s="721"/>
      <c r="G554" s="721"/>
      <c r="H554" s="721"/>
      <c r="I554" s="721"/>
      <c r="J554" s="721"/>
      <c r="K554" s="721"/>
      <c r="L554" s="721"/>
      <c r="M554" s="721" t="s">
        <v>54</v>
      </c>
      <c r="N554" s="721"/>
      <c r="O554" s="722"/>
      <c r="P554" s="722"/>
      <c r="Q554" s="704"/>
      <c r="R554" s="721"/>
      <c r="S554" s="723"/>
      <c r="T554" s="721"/>
      <c r="U554" s="721"/>
    </row>
    <row r="555" spans="1:21" ht="14.5">
      <c r="A555" s="697">
        <v>46262</v>
      </c>
      <c r="B555" s="698" t="s">
        <v>691</v>
      </c>
      <c r="C555" s="698" t="s">
        <v>692</v>
      </c>
      <c r="D555" s="698" t="s">
        <v>1222</v>
      </c>
      <c r="E555" s="698" t="s">
        <v>843</v>
      </c>
      <c r="F555" s="700">
        <v>0.33333333333333298</v>
      </c>
      <c r="G555" s="700">
        <v>0.33333333333333331</v>
      </c>
      <c r="H555" s="700">
        <v>0.71250000000000002</v>
      </c>
      <c r="I555" s="701">
        <v>540</v>
      </c>
      <c r="J555" s="698">
        <v>546.00000000000011</v>
      </c>
      <c r="K555" s="702">
        <v>0.10000000000000189</v>
      </c>
      <c r="L555" s="703">
        <v>9.1000000000000014</v>
      </c>
      <c r="M555" s="698" t="s">
        <v>1223</v>
      </c>
      <c r="N555" s="698" t="s">
        <v>1224</v>
      </c>
      <c r="O555" s="706">
        <v>19231</v>
      </c>
      <c r="P555" s="706">
        <v>19273</v>
      </c>
      <c r="Q555" s="704">
        <v>42</v>
      </c>
      <c r="R555" s="698" t="s">
        <v>695</v>
      </c>
      <c r="S555" s="705">
        <v>15</v>
      </c>
      <c r="T555" s="698" t="s">
        <v>806</v>
      </c>
      <c r="U555" s="698"/>
    </row>
    <row r="556" spans="1:21" ht="14.5">
      <c r="A556" s="697"/>
      <c r="B556" s="698" t="s">
        <v>696</v>
      </c>
      <c r="C556" s="698" t="s">
        <v>697</v>
      </c>
      <c r="D556" s="698" t="s">
        <v>1225</v>
      </c>
      <c r="E556" s="698" t="s">
        <v>693</v>
      </c>
      <c r="F556" s="700">
        <v>0.33333333333333298</v>
      </c>
      <c r="G556" s="700">
        <v>0.52083333333333337</v>
      </c>
      <c r="H556" s="700">
        <v>0.85277777777777775</v>
      </c>
      <c r="I556" s="701">
        <v>540</v>
      </c>
      <c r="J556" s="698">
        <v>477.99999999999989</v>
      </c>
      <c r="K556" s="702">
        <v>-1.0333333333333352</v>
      </c>
      <c r="L556" s="703">
        <v>7.966666666666665</v>
      </c>
      <c r="M556" s="698" t="s">
        <v>1226</v>
      </c>
      <c r="N556" s="698" t="s">
        <v>1227</v>
      </c>
      <c r="O556" s="706">
        <v>28955</v>
      </c>
      <c r="P556" s="706">
        <v>28978</v>
      </c>
      <c r="Q556" s="704">
        <v>23</v>
      </c>
      <c r="R556" s="698" t="s">
        <v>695</v>
      </c>
      <c r="S556" s="705"/>
      <c r="T556" s="698" t="s">
        <v>728</v>
      </c>
      <c r="U556" s="698"/>
    </row>
    <row r="557" spans="1:21" ht="14.5">
      <c r="A557" s="697"/>
      <c r="B557" s="698" t="s">
        <v>698</v>
      </c>
      <c r="C557" s="698" t="s">
        <v>699</v>
      </c>
      <c r="D557" s="698" t="s">
        <v>788</v>
      </c>
      <c r="E557" s="698" t="s">
        <v>700</v>
      </c>
      <c r="F557" s="700">
        <v>0.33333333333333298</v>
      </c>
      <c r="G557" s="700"/>
      <c r="H557" s="700"/>
      <c r="I557" s="701">
        <v>540</v>
      </c>
      <c r="J557" s="698">
        <v>0</v>
      </c>
      <c r="K557" s="702">
        <v>-9</v>
      </c>
      <c r="L557" s="703">
        <v>0</v>
      </c>
      <c r="M557" s="698" t="s">
        <v>694</v>
      </c>
      <c r="N557" s="698"/>
      <c r="O557" s="706"/>
      <c r="P557" s="706"/>
      <c r="Q557" s="704">
        <v>0</v>
      </c>
      <c r="R557" s="698" t="s">
        <v>701</v>
      </c>
      <c r="S557" s="705"/>
      <c r="T557" s="698"/>
      <c r="U557" s="698"/>
    </row>
    <row r="558" spans="1:21" ht="14.5">
      <c r="A558" s="697"/>
      <c r="B558" s="698" t="s">
        <v>702</v>
      </c>
      <c r="C558" s="698" t="s">
        <v>703</v>
      </c>
      <c r="D558" s="698" t="s">
        <v>1191</v>
      </c>
      <c r="E558" s="698" t="s">
        <v>700</v>
      </c>
      <c r="F558" s="700">
        <v>0.33333333333333298</v>
      </c>
      <c r="G558" s="700"/>
      <c r="H558" s="700"/>
      <c r="I558" s="701">
        <v>540</v>
      </c>
      <c r="J558" s="698">
        <v>0</v>
      </c>
      <c r="K558" s="702">
        <v>-9</v>
      </c>
      <c r="L558" s="703">
        <v>0</v>
      </c>
      <c r="M558" s="698" t="s">
        <v>694</v>
      </c>
      <c r="N558" s="698"/>
      <c r="O558" s="706"/>
      <c r="P558" s="706"/>
      <c r="Q558" s="704">
        <v>0</v>
      </c>
      <c r="R558" s="698" t="s">
        <v>701</v>
      </c>
      <c r="S558" s="705"/>
      <c r="T558" s="698"/>
      <c r="U558" s="698"/>
    </row>
    <row r="559" spans="1:21" ht="14.5">
      <c r="A559" s="697"/>
      <c r="B559" s="698" t="s">
        <v>704</v>
      </c>
      <c r="C559" s="698" t="s">
        <v>705</v>
      </c>
      <c r="D559" s="698" t="s">
        <v>1228</v>
      </c>
      <c r="E559" s="698" t="s">
        <v>1229</v>
      </c>
      <c r="F559" s="700">
        <v>0.33333333333333298</v>
      </c>
      <c r="G559" s="700">
        <v>0.375</v>
      </c>
      <c r="H559" s="700">
        <v>0.875</v>
      </c>
      <c r="I559" s="701">
        <v>540</v>
      </c>
      <c r="J559" s="698">
        <v>720</v>
      </c>
      <c r="K559" s="702">
        <v>3</v>
      </c>
      <c r="L559" s="703">
        <v>12</v>
      </c>
      <c r="M559" s="698" t="s">
        <v>874</v>
      </c>
      <c r="N559" s="698" t="s">
        <v>1230</v>
      </c>
      <c r="O559" s="706">
        <v>42500</v>
      </c>
      <c r="P559" s="706">
        <v>42556</v>
      </c>
      <c r="Q559" s="704">
        <v>56</v>
      </c>
      <c r="R559" s="698" t="s">
        <v>701</v>
      </c>
      <c r="S559" s="705">
        <v>10</v>
      </c>
      <c r="T559" s="698" t="s">
        <v>846</v>
      </c>
      <c r="U559" s="698"/>
    </row>
    <row r="560" spans="1:21" ht="14.5">
      <c r="A560" s="697"/>
      <c r="B560" s="698" t="s">
        <v>706</v>
      </c>
      <c r="C560" s="698" t="s">
        <v>707</v>
      </c>
      <c r="D560" s="698" t="s">
        <v>1157</v>
      </c>
      <c r="E560" s="698" t="s">
        <v>843</v>
      </c>
      <c r="F560" s="700">
        <v>0.33333333333333298</v>
      </c>
      <c r="G560" s="700">
        <v>0.54166666666666663</v>
      </c>
      <c r="H560" s="700">
        <v>0.75</v>
      </c>
      <c r="I560" s="701">
        <v>540</v>
      </c>
      <c r="J560" s="698">
        <v>300.00000000000006</v>
      </c>
      <c r="K560" s="702">
        <v>-3.9999999999999991</v>
      </c>
      <c r="L560" s="703">
        <v>5.0000000000000009</v>
      </c>
      <c r="M560" s="698" t="s">
        <v>963</v>
      </c>
      <c r="N560" s="698" t="s">
        <v>845</v>
      </c>
      <c r="O560" s="706">
        <v>23126</v>
      </c>
      <c r="P560" s="706">
        <v>23299</v>
      </c>
      <c r="Q560" s="704">
        <v>173</v>
      </c>
      <c r="R560" s="698" t="s">
        <v>701</v>
      </c>
      <c r="S560" s="705">
        <v>15</v>
      </c>
      <c r="T560" s="698" t="s">
        <v>781</v>
      </c>
      <c r="U560" s="698"/>
    </row>
    <row r="561" spans="1:21" ht="14.5">
      <c r="A561" s="697"/>
      <c r="B561" s="698" t="s">
        <v>708</v>
      </c>
      <c r="C561" s="698" t="s">
        <v>709</v>
      </c>
      <c r="D561" s="698" t="s">
        <v>1231</v>
      </c>
      <c r="E561" s="698" t="s">
        <v>928</v>
      </c>
      <c r="F561" s="700">
        <v>0.33333333333333298</v>
      </c>
      <c r="G561" s="700">
        <v>0.31944444444444448</v>
      </c>
      <c r="H561" s="700">
        <v>0.90625</v>
      </c>
      <c r="I561" s="701">
        <v>540</v>
      </c>
      <c r="J561" s="698">
        <v>845</v>
      </c>
      <c r="K561" s="702">
        <v>5.083333333333333</v>
      </c>
      <c r="L561" s="703">
        <v>14.083333333333334</v>
      </c>
      <c r="M561" s="698" t="s">
        <v>1232</v>
      </c>
      <c r="N561" s="698" t="s">
        <v>711</v>
      </c>
      <c r="O561" s="706">
        <v>21717</v>
      </c>
      <c r="P561" s="706">
        <v>21972</v>
      </c>
      <c r="Q561" s="704">
        <v>255</v>
      </c>
      <c r="R561" s="698" t="s">
        <v>695</v>
      </c>
      <c r="S561" s="705">
        <v>30</v>
      </c>
      <c r="T561" s="698" t="s">
        <v>806</v>
      </c>
      <c r="U561" s="698" t="s">
        <v>1233</v>
      </c>
    </row>
    <row r="562" spans="1:21" ht="14.5">
      <c r="A562" s="697"/>
      <c r="B562" s="698" t="s">
        <v>712</v>
      </c>
      <c r="C562" s="698" t="s">
        <v>713</v>
      </c>
      <c r="D562" s="698" t="s">
        <v>788</v>
      </c>
      <c r="E562" s="698" t="s">
        <v>930</v>
      </c>
      <c r="F562" s="700">
        <v>0.33333333333333298</v>
      </c>
      <c r="G562" s="700"/>
      <c r="H562" s="700"/>
      <c r="I562" s="701">
        <v>540</v>
      </c>
      <c r="J562" s="698">
        <v>0</v>
      </c>
      <c r="K562" s="702">
        <v>-9</v>
      </c>
      <c r="L562" s="703">
        <v>0</v>
      </c>
      <c r="M562" s="698" t="s">
        <v>694</v>
      </c>
      <c r="N562" s="698" t="s">
        <v>714</v>
      </c>
      <c r="O562" s="706"/>
      <c r="P562" s="706"/>
      <c r="Q562" s="704">
        <v>0</v>
      </c>
      <c r="R562" s="698" t="s">
        <v>695</v>
      </c>
      <c r="S562" s="705"/>
      <c r="T562" s="698"/>
      <c r="U562" s="698"/>
    </row>
    <row r="563" spans="1:21" ht="14.5">
      <c r="A563" s="697"/>
      <c r="B563" s="698" t="s">
        <v>715</v>
      </c>
      <c r="C563" s="698" t="s">
        <v>716</v>
      </c>
      <c r="D563" s="707" t="s">
        <v>788</v>
      </c>
      <c r="E563" s="698" t="s">
        <v>190</v>
      </c>
      <c r="F563" s="700">
        <v>0.33333333333333298</v>
      </c>
      <c r="G563" s="700"/>
      <c r="H563" s="700"/>
      <c r="I563" s="701">
        <v>540</v>
      </c>
      <c r="J563" s="698">
        <v>0</v>
      </c>
      <c r="K563" s="702">
        <v>-9</v>
      </c>
      <c r="L563" s="703">
        <v>0</v>
      </c>
      <c r="M563" s="698" t="s">
        <v>694</v>
      </c>
      <c r="N563" s="698" t="s">
        <v>717</v>
      </c>
      <c r="O563" s="706"/>
      <c r="P563" s="706"/>
      <c r="Q563" s="704">
        <v>0</v>
      </c>
      <c r="R563" s="698" t="s">
        <v>695</v>
      </c>
      <c r="S563" s="705"/>
      <c r="T563" s="698"/>
      <c r="U563" s="698"/>
    </row>
    <row r="564" spans="1:21" ht="14.5">
      <c r="A564" s="697"/>
      <c r="B564" s="707" t="s">
        <v>718</v>
      </c>
      <c r="C564" s="707" t="s">
        <v>719</v>
      </c>
      <c r="D564" s="707" t="s">
        <v>1234</v>
      </c>
      <c r="E564" s="707" t="s">
        <v>720</v>
      </c>
      <c r="F564" s="700">
        <v>0.33333333333333298</v>
      </c>
      <c r="G564" s="700">
        <v>0.25</v>
      </c>
      <c r="H564" s="700">
        <v>0.79513888888888884</v>
      </c>
      <c r="I564" s="701">
        <v>540</v>
      </c>
      <c r="J564" s="698">
        <v>784.99999999999989</v>
      </c>
      <c r="K564" s="702">
        <v>4.0833333333333313</v>
      </c>
      <c r="L564" s="703">
        <v>13.083333333333332</v>
      </c>
      <c r="M564" s="698" t="s">
        <v>1149</v>
      </c>
      <c r="N564" s="707" t="s">
        <v>721</v>
      </c>
      <c r="O564" s="708">
        <v>19396</v>
      </c>
      <c r="P564" s="708">
        <v>19565</v>
      </c>
      <c r="Q564" s="704">
        <v>169</v>
      </c>
      <c r="R564" s="707" t="s">
        <v>701</v>
      </c>
      <c r="S564" s="709">
        <v>20</v>
      </c>
      <c r="T564" s="707" t="s">
        <v>774</v>
      </c>
      <c r="U564" s="707" t="s">
        <v>1122</v>
      </c>
    </row>
    <row r="565" spans="1:21" ht="14.5">
      <c r="A565" s="697"/>
      <c r="B565" s="707" t="s">
        <v>722</v>
      </c>
      <c r="C565" s="707" t="s">
        <v>723</v>
      </c>
      <c r="D565" s="707" t="s">
        <v>1235</v>
      </c>
      <c r="E565" s="707" t="s">
        <v>725</v>
      </c>
      <c r="F565" s="700">
        <v>0.33333333333333298</v>
      </c>
      <c r="G565" s="700">
        <v>0.41666666666666669</v>
      </c>
      <c r="H565" s="700">
        <v>0.70833333333333337</v>
      </c>
      <c r="I565" s="701">
        <v>540</v>
      </c>
      <c r="J565" s="698">
        <v>420</v>
      </c>
      <c r="K565" s="702">
        <v>-2</v>
      </c>
      <c r="L565" s="703">
        <v>7</v>
      </c>
      <c r="M565" s="698" t="s">
        <v>989</v>
      </c>
      <c r="N565" s="707" t="s">
        <v>727</v>
      </c>
      <c r="O565" s="708">
        <v>30774</v>
      </c>
      <c r="P565" s="708">
        <v>30793</v>
      </c>
      <c r="Q565" s="704">
        <v>19</v>
      </c>
      <c r="R565" s="707" t="s">
        <v>695</v>
      </c>
      <c r="S565" s="709"/>
      <c r="T565" s="707" t="s">
        <v>728</v>
      </c>
      <c r="U565" s="707" t="s">
        <v>1151</v>
      </c>
    </row>
    <row r="566" spans="1:21" ht="14.5">
      <c r="A566" s="697"/>
      <c r="B566" s="707" t="s">
        <v>730</v>
      </c>
      <c r="C566" s="707" t="s">
        <v>731</v>
      </c>
      <c r="D566" s="711" t="s">
        <v>1236</v>
      </c>
      <c r="E566" s="707" t="s">
        <v>732</v>
      </c>
      <c r="F566" s="700">
        <v>0.33333333333333298</v>
      </c>
      <c r="G566" s="700">
        <v>0.41666666666666669</v>
      </c>
      <c r="H566" s="700">
        <v>0.75</v>
      </c>
      <c r="I566" s="701">
        <v>540</v>
      </c>
      <c r="J566" s="698">
        <v>480</v>
      </c>
      <c r="K566" s="702">
        <v>-1</v>
      </c>
      <c r="L566" s="703">
        <v>8</v>
      </c>
      <c r="M566" s="698" t="s">
        <v>808</v>
      </c>
      <c r="N566" s="707" t="s">
        <v>733</v>
      </c>
      <c r="O566" s="708">
        <v>26032</v>
      </c>
      <c r="P566" s="708">
        <v>26075</v>
      </c>
      <c r="Q566" s="704">
        <v>43</v>
      </c>
      <c r="R566" s="707" t="s">
        <v>701</v>
      </c>
      <c r="S566" s="709"/>
      <c r="T566" s="707" t="s">
        <v>728</v>
      </c>
      <c r="U566" s="707" t="s">
        <v>1237</v>
      </c>
    </row>
    <row r="567" spans="1:21" ht="14.5">
      <c r="A567" s="697"/>
      <c r="B567" s="710" t="s">
        <v>734</v>
      </c>
      <c r="C567" s="711" t="s">
        <v>735</v>
      </c>
      <c r="D567" s="714" t="s">
        <v>1238</v>
      </c>
      <c r="E567" s="711" t="s">
        <v>89</v>
      </c>
      <c r="F567" s="712">
        <v>0.33333333333333298</v>
      </c>
      <c r="G567" s="712">
        <v>0.5625</v>
      </c>
      <c r="H567" s="712">
        <v>0.70833333333333337</v>
      </c>
      <c r="I567" s="713">
        <v>540</v>
      </c>
      <c r="J567" s="714">
        <v>210.00000000000006</v>
      </c>
      <c r="K567" s="715">
        <v>-5.4999999999999991</v>
      </c>
      <c r="L567" s="716">
        <v>3.5000000000000009</v>
      </c>
      <c r="M567" s="714" t="s">
        <v>816</v>
      </c>
      <c r="N567" s="711" t="s">
        <v>736</v>
      </c>
      <c r="O567" s="717">
        <v>33570</v>
      </c>
      <c r="P567" s="717">
        <v>33593</v>
      </c>
      <c r="Q567" s="704">
        <v>23</v>
      </c>
      <c r="R567" s="711" t="s">
        <v>701</v>
      </c>
      <c r="S567" s="718"/>
      <c r="T567" s="711" t="s">
        <v>806</v>
      </c>
      <c r="U567" s="711" t="s">
        <v>1239</v>
      </c>
    </row>
    <row r="568" spans="1:21" ht="14.5">
      <c r="A568" s="697"/>
      <c r="B568" s="714" t="s">
        <v>737</v>
      </c>
      <c r="C568" s="714" t="s">
        <v>738</v>
      </c>
      <c r="D568" s="707" t="s">
        <v>975</v>
      </c>
      <c r="E568" s="714" t="s">
        <v>1130</v>
      </c>
      <c r="F568" s="712">
        <v>0.33333333333333298</v>
      </c>
      <c r="G568" s="712">
        <v>0.39583333333333331</v>
      </c>
      <c r="H568" s="712">
        <v>0.79166666666666663</v>
      </c>
      <c r="I568" s="713">
        <v>540</v>
      </c>
      <c r="J568" s="714">
        <v>570</v>
      </c>
      <c r="K568" s="715">
        <v>0.5</v>
      </c>
      <c r="L568" s="716">
        <v>9.5</v>
      </c>
      <c r="M568" s="714" t="s">
        <v>953</v>
      </c>
      <c r="N568" s="714" t="s">
        <v>1240</v>
      </c>
      <c r="O568" s="719">
        <v>6977</v>
      </c>
      <c r="P568" s="719">
        <v>7100</v>
      </c>
      <c r="Q568" s="704">
        <v>123</v>
      </c>
      <c r="R568" s="714" t="s">
        <v>695</v>
      </c>
      <c r="S568" s="720">
        <v>15</v>
      </c>
      <c r="T568" s="714" t="s">
        <v>763</v>
      </c>
      <c r="U568" s="714" t="s">
        <v>739</v>
      </c>
    </row>
    <row r="569" spans="1:21" ht="14.5">
      <c r="A569" s="697"/>
      <c r="B569" s="707"/>
      <c r="C569" s="707" t="s">
        <v>740</v>
      </c>
      <c r="D569" s="707" t="s">
        <v>54</v>
      </c>
      <c r="E569" s="707" t="s">
        <v>741</v>
      </c>
      <c r="F569" s="700">
        <v>0.33333333333333298</v>
      </c>
      <c r="G569" s="700"/>
      <c r="H569" s="700"/>
      <c r="I569" s="701">
        <v>540</v>
      </c>
      <c r="J569" s="698">
        <v>0</v>
      </c>
      <c r="K569" s="702">
        <v>-9</v>
      </c>
      <c r="L569" s="703">
        <v>0</v>
      </c>
      <c r="M569" s="698" t="s">
        <v>694</v>
      </c>
      <c r="N569" s="707"/>
      <c r="O569" s="708"/>
      <c r="P569" s="708"/>
      <c r="Q569" s="704">
        <v>0</v>
      </c>
      <c r="R569" s="707" t="s">
        <v>742</v>
      </c>
      <c r="S569" s="709"/>
      <c r="T569" s="707"/>
      <c r="U569" s="707"/>
    </row>
    <row r="570" spans="1:21" ht="14.5">
      <c r="A570" s="697"/>
      <c r="B570" s="707" t="s">
        <v>54</v>
      </c>
      <c r="C570" s="707" t="s">
        <v>743</v>
      </c>
      <c r="D570" s="698"/>
      <c r="E570" s="707" t="s">
        <v>744</v>
      </c>
      <c r="F570" s="700">
        <v>0.33333333333333298</v>
      </c>
      <c r="G570" s="700"/>
      <c r="H570" s="700"/>
      <c r="I570" s="701">
        <v>540</v>
      </c>
      <c r="J570" s="698">
        <v>0</v>
      </c>
      <c r="K570" s="702">
        <v>-9</v>
      </c>
      <c r="L570" s="703">
        <v>0</v>
      </c>
      <c r="M570" s="698" t="s">
        <v>694</v>
      </c>
      <c r="N570" s="707"/>
      <c r="O570" s="708"/>
      <c r="P570" s="708"/>
      <c r="Q570" s="704">
        <v>0</v>
      </c>
      <c r="R570" s="707" t="s">
        <v>742</v>
      </c>
      <c r="S570" s="709"/>
      <c r="T570" s="707"/>
      <c r="U570" s="707"/>
    </row>
    <row r="571" spans="1:21" ht="14.5">
      <c r="A571" s="697"/>
      <c r="B571" s="698" t="s">
        <v>745</v>
      </c>
      <c r="C571" s="698"/>
      <c r="D571" s="698"/>
      <c r="E571" s="698"/>
      <c r="F571" s="700">
        <v>0.33333333333333298</v>
      </c>
      <c r="G571" s="700"/>
      <c r="H571" s="700"/>
      <c r="I571" s="701">
        <v>540</v>
      </c>
      <c r="J571" s="698">
        <v>0</v>
      </c>
      <c r="K571" s="702">
        <v>-9</v>
      </c>
      <c r="L571" s="703">
        <v>0</v>
      </c>
      <c r="M571" s="698" t="s">
        <v>694</v>
      </c>
      <c r="N571" s="698"/>
      <c r="O571" s="706"/>
      <c r="P571" s="706"/>
      <c r="Q571" s="704">
        <v>0</v>
      </c>
      <c r="R571" s="698"/>
      <c r="S571" s="705"/>
      <c r="T571" s="698"/>
      <c r="U571" s="698"/>
    </row>
    <row r="572" spans="1:21" ht="14.5">
      <c r="A572" s="697"/>
      <c r="B572" s="698" t="s">
        <v>746</v>
      </c>
      <c r="C572" s="698" t="s">
        <v>747</v>
      </c>
      <c r="D572" s="707" t="s">
        <v>788</v>
      </c>
      <c r="E572" s="698" t="s">
        <v>190</v>
      </c>
      <c r="F572" s="700">
        <v>0.33333333333333298</v>
      </c>
      <c r="G572" s="700"/>
      <c r="H572" s="700"/>
      <c r="I572" s="701">
        <v>540</v>
      </c>
      <c r="J572" s="698">
        <v>0</v>
      </c>
      <c r="K572" s="702">
        <v>-9</v>
      </c>
      <c r="L572" s="703">
        <v>0</v>
      </c>
      <c r="M572" s="698" t="s">
        <v>694</v>
      </c>
      <c r="N572" s="698"/>
      <c r="O572" s="706"/>
      <c r="P572" s="706"/>
      <c r="Q572" s="704">
        <v>0</v>
      </c>
      <c r="R572" s="698" t="s">
        <v>701</v>
      </c>
      <c r="S572" s="705"/>
      <c r="T572" s="698"/>
      <c r="U572" s="698"/>
    </row>
    <row r="573" spans="1:21" ht="14.5">
      <c r="A573" s="697"/>
      <c r="B573" s="707" t="s">
        <v>748</v>
      </c>
      <c r="C573" s="707" t="s">
        <v>749</v>
      </c>
      <c r="D573" s="707" t="s">
        <v>788</v>
      </c>
      <c r="E573" s="707" t="s">
        <v>278</v>
      </c>
      <c r="F573" s="700">
        <v>0.33333333333333298</v>
      </c>
      <c r="G573" s="700"/>
      <c r="H573" s="700"/>
      <c r="I573" s="701">
        <v>540</v>
      </c>
      <c r="J573" s="698">
        <v>0</v>
      </c>
      <c r="K573" s="702">
        <v>-9</v>
      </c>
      <c r="L573" s="703">
        <v>0</v>
      </c>
      <c r="M573" s="698" t="s">
        <v>694</v>
      </c>
      <c r="N573" s="707"/>
      <c r="O573" s="708"/>
      <c r="P573" s="708"/>
      <c r="Q573" s="704">
        <v>0</v>
      </c>
      <c r="R573" s="707" t="s">
        <v>695</v>
      </c>
      <c r="S573" s="709"/>
      <c r="T573" s="707"/>
      <c r="U573" s="707"/>
    </row>
    <row r="574" spans="1:21" ht="14.5">
      <c r="A574" s="697"/>
      <c r="B574" s="707" t="s">
        <v>750</v>
      </c>
      <c r="C574" s="707"/>
      <c r="D574" s="707"/>
      <c r="E574" s="707"/>
      <c r="F574" s="700">
        <v>0.33333333333333298</v>
      </c>
      <c r="G574" s="700"/>
      <c r="H574" s="700"/>
      <c r="I574" s="701">
        <v>540</v>
      </c>
      <c r="J574" s="698">
        <v>0</v>
      </c>
      <c r="K574" s="702">
        <v>-9</v>
      </c>
      <c r="L574" s="703">
        <v>0</v>
      </c>
      <c r="M574" s="698" t="s">
        <v>694</v>
      </c>
      <c r="N574" s="707"/>
      <c r="O574" s="708"/>
      <c r="P574" s="708"/>
      <c r="Q574" s="704">
        <v>0</v>
      </c>
      <c r="R574" s="707"/>
      <c r="S574" s="709"/>
      <c r="T574" s="707"/>
      <c r="U574" s="707"/>
    </row>
    <row r="575" spans="1:21" ht="14.5">
      <c r="A575" s="697"/>
      <c r="B575" s="707" t="s">
        <v>751</v>
      </c>
      <c r="C575" s="707" t="s">
        <v>752</v>
      </c>
      <c r="D575" s="711" t="s">
        <v>788</v>
      </c>
      <c r="E575" s="707" t="s">
        <v>725</v>
      </c>
      <c r="F575" s="700">
        <v>0.33333333333333298</v>
      </c>
      <c r="G575" s="700"/>
      <c r="H575" s="700"/>
      <c r="I575" s="701">
        <v>540</v>
      </c>
      <c r="J575" s="698">
        <v>0</v>
      </c>
      <c r="K575" s="702">
        <v>-9</v>
      </c>
      <c r="L575" s="703">
        <v>0</v>
      </c>
      <c r="M575" s="698" t="s">
        <v>694</v>
      </c>
      <c r="N575" s="707"/>
      <c r="O575" s="708"/>
      <c r="P575" s="708"/>
      <c r="Q575" s="704">
        <v>0</v>
      </c>
      <c r="R575" s="707" t="s">
        <v>701</v>
      </c>
      <c r="S575" s="709"/>
      <c r="T575" s="707"/>
      <c r="U575" s="707"/>
    </row>
    <row r="576" spans="1:21">
      <c r="A576" s="697"/>
      <c r="B576" s="710" t="s">
        <v>754</v>
      </c>
      <c r="C576" s="711" t="s">
        <v>755</v>
      </c>
      <c r="D576" s="721" t="s">
        <v>1241</v>
      </c>
      <c r="E576" s="711" t="s">
        <v>190</v>
      </c>
      <c r="F576" s="712">
        <v>0.33333333333333298</v>
      </c>
      <c r="G576" s="712">
        <v>0.33333333333333331</v>
      </c>
      <c r="H576" s="712">
        <v>0.70833333333333337</v>
      </c>
      <c r="I576" s="713">
        <v>540</v>
      </c>
      <c r="J576" s="714">
        <v>540.00000000000011</v>
      </c>
      <c r="K576" s="715">
        <v>1.8947806286936005E-15</v>
      </c>
      <c r="L576" s="716">
        <v>9.0000000000000018</v>
      </c>
      <c r="M576" s="714" t="s">
        <v>849</v>
      </c>
      <c r="N576" s="711" t="s">
        <v>916</v>
      </c>
      <c r="O576" s="717">
        <v>22901</v>
      </c>
      <c r="P576" s="717">
        <v>22934</v>
      </c>
      <c r="Q576" s="704">
        <v>33</v>
      </c>
      <c r="R576" s="711" t="s">
        <v>701</v>
      </c>
      <c r="S576" s="718"/>
      <c r="T576" s="711" t="s">
        <v>846</v>
      </c>
      <c r="U576" s="711"/>
    </row>
    <row r="577" spans="1:21">
      <c r="A577" s="697"/>
      <c r="B577" s="721" t="s">
        <v>54</v>
      </c>
      <c r="C577" s="721"/>
      <c r="D577" s="699" t="s">
        <v>54</v>
      </c>
      <c r="E577" s="721"/>
      <c r="F577" s="721"/>
      <c r="G577" s="721"/>
      <c r="H577" s="721"/>
      <c r="I577" s="721"/>
      <c r="J577" s="721"/>
      <c r="K577" s="721"/>
      <c r="L577" s="721"/>
      <c r="M577" s="721" t="s">
        <v>54</v>
      </c>
      <c r="N577" s="721"/>
      <c r="O577" s="722"/>
      <c r="P577" s="722"/>
      <c r="Q577" s="704"/>
      <c r="R577" s="721"/>
      <c r="S577" s="723"/>
      <c r="T577" s="721"/>
      <c r="U577" s="721"/>
    </row>
    <row r="578" spans="1:21" ht="14.5">
      <c r="A578" s="697">
        <v>46265</v>
      </c>
      <c r="B578" s="698" t="s">
        <v>691</v>
      </c>
      <c r="C578" s="698" t="s">
        <v>692</v>
      </c>
      <c r="D578" s="698" t="s">
        <v>788</v>
      </c>
      <c r="E578" s="698" t="s">
        <v>756</v>
      </c>
      <c r="F578" s="700">
        <v>0.33333333333333298</v>
      </c>
      <c r="G578" s="700"/>
      <c r="H578" s="700"/>
      <c r="I578" s="701">
        <v>540</v>
      </c>
      <c r="J578" s="698">
        <v>0</v>
      </c>
      <c r="K578" s="702">
        <v>-9</v>
      </c>
      <c r="L578" s="703">
        <v>0</v>
      </c>
      <c r="M578" s="698" t="s">
        <v>694</v>
      </c>
      <c r="N578" s="698"/>
      <c r="O578" s="706"/>
      <c r="P578" s="706"/>
      <c r="Q578" s="704">
        <v>0</v>
      </c>
      <c r="R578" s="698" t="s">
        <v>695</v>
      </c>
      <c r="S578" s="705"/>
      <c r="T578" s="698"/>
      <c r="U578" s="698"/>
    </row>
    <row r="579" spans="1:21" ht="14.5">
      <c r="A579" s="697"/>
      <c r="B579" s="698" t="s">
        <v>696</v>
      </c>
      <c r="C579" s="698" t="s">
        <v>697</v>
      </c>
      <c r="D579" s="698" t="s">
        <v>788</v>
      </c>
      <c r="E579" s="698" t="s">
        <v>756</v>
      </c>
      <c r="F579" s="700">
        <v>0.33333333333333298</v>
      </c>
      <c r="G579" s="700"/>
      <c r="H579" s="700"/>
      <c r="I579" s="701">
        <v>540</v>
      </c>
      <c r="J579" s="698">
        <v>0</v>
      </c>
      <c r="K579" s="702">
        <v>-9</v>
      </c>
      <c r="L579" s="703">
        <v>0</v>
      </c>
      <c r="M579" s="698" t="s">
        <v>694</v>
      </c>
      <c r="N579" s="698"/>
      <c r="O579" s="706"/>
      <c r="P579" s="706"/>
      <c r="Q579" s="704">
        <v>0</v>
      </c>
      <c r="R579" s="698" t="s">
        <v>695</v>
      </c>
      <c r="S579" s="705"/>
      <c r="T579" s="698"/>
      <c r="U579" s="698"/>
    </row>
    <row r="580" spans="1:21" ht="14.5">
      <c r="A580" s="697"/>
      <c r="B580" s="698" t="s">
        <v>698</v>
      </c>
      <c r="C580" s="698" t="s">
        <v>699</v>
      </c>
      <c r="D580" s="698" t="s">
        <v>1242</v>
      </c>
      <c r="E580" s="698" t="s">
        <v>700</v>
      </c>
      <c r="F580" s="700">
        <v>0.33333333333333298</v>
      </c>
      <c r="G580" s="700">
        <v>0.36458333333333331</v>
      </c>
      <c r="H580" s="700">
        <v>0.72499999999999998</v>
      </c>
      <c r="I580" s="701">
        <v>540</v>
      </c>
      <c r="J580" s="698">
        <v>519</v>
      </c>
      <c r="K580" s="702">
        <v>-0.35</v>
      </c>
      <c r="L580" s="703">
        <v>8.65</v>
      </c>
      <c r="M580" s="698" t="s">
        <v>1243</v>
      </c>
      <c r="N580" s="698" t="s">
        <v>1244</v>
      </c>
      <c r="O580" s="706">
        <v>32647</v>
      </c>
      <c r="P580" s="706">
        <v>32700</v>
      </c>
      <c r="Q580" s="704">
        <v>53</v>
      </c>
      <c r="R580" s="698" t="s">
        <v>701</v>
      </c>
      <c r="S580" s="705">
        <v>10</v>
      </c>
      <c r="T580" s="698" t="s">
        <v>774</v>
      </c>
      <c r="U580" s="698"/>
    </row>
    <row r="581" spans="1:21" ht="14.5">
      <c r="A581" s="697"/>
      <c r="B581" s="698" t="s">
        <v>702</v>
      </c>
      <c r="C581" s="698" t="s">
        <v>703</v>
      </c>
      <c r="D581" s="698" t="s">
        <v>1191</v>
      </c>
      <c r="E581" s="698" t="s">
        <v>700</v>
      </c>
      <c r="F581" s="700">
        <v>0.33333333333333298</v>
      </c>
      <c r="G581" s="700"/>
      <c r="H581" s="700"/>
      <c r="I581" s="701">
        <v>540</v>
      </c>
      <c r="J581" s="698">
        <v>0</v>
      </c>
      <c r="K581" s="702">
        <v>-9</v>
      </c>
      <c r="L581" s="703">
        <v>0</v>
      </c>
      <c r="M581" s="698" t="s">
        <v>694</v>
      </c>
      <c r="N581" s="698"/>
      <c r="O581" s="706"/>
      <c r="P581" s="706"/>
      <c r="Q581" s="704">
        <v>0</v>
      </c>
      <c r="R581" s="698" t="s">
        <v>701</v>
      </c>
      <c r="S581" s="705"/>
      <c r="T581" s="698"/>
      <c r="U581" s="698"/>
    </row>
    <row r="582" spans="1:21" ht="14.5">
      <c r="A582" s="697"/>
      <c r="B582" s="698" t="s">
        <v>704</v>
      </c>
      <c r="C582" s="698" t="s">
        <v>705</v>
      </c>
      <c r="D582" s="698" t="s">
        <v>788</v>
      </c>
      <c r="E582" s="698" t="s">
        <v>1060</v>
      </c>
      <c r="F582" s="700">
        <v>0.33333333333333298</v>
      </c>
      <c r="G582" s="700"/>
      <c r="H582" s="700"/>
      <c r="I582" s="701">
        <v>540</v>
      </c>
      <c r="J582" s="698">
        <v>0</v>
      </c>
      <c r="K582" s="702">
        <v>-9</v>
      </c>
      <c r="L582" s="703">
        <v>0</v>
      </c>
      <c r="M582" s="698" t="s">
        <v>694</v>
      </c>
      <c r="N582" s="698"/>
      <c r="O582" s="706"/>
      <c r="P582" s="706"/>
      <c r="Q582" s="704">
        <v>0</v>
      </c>
      <c r="R582" s="698" t="s">
        <v>701</v>
      </c>
      <c r="S582" s="705"/>
      <c r="T582" s="698"/>
      <c r="U582" s="698"/>
    </row>
    <row r="583" spans="1:21" ht="14.5">
      <c r="A583" s="697"/>
      <c r="B583" s="698" t="s">
        <v>706</v>
      </c>
      <c r="C583" s="698" t="s">
        <v>707</v>
      </c>
      <c r="D583" s="698" t="s">
        <v>788</v>
      </c>
      <c r="E583" s="698" t="s">
        <v>1060</v>
      </c>
      <c r="F583" s="700">
        <v>0.33333333333333298</v>
      </c>
      <c r="G583" s="700"/>
      <c r="H583" s="700"/>
      <c r="I583" s="701">
        <v>540</v>
      </c>
      <c r="J583" s="698">
        <v>0</v>
      </c>
      <c r="K583" s="702">
        <v>-9</v>
      </c>
      <c r="L583" s="703">
        <v>0</v>
      </c>
      <c r="M583" s="698" t="s">
        <v>694</v>
      </c>
      <c r="N583" s="698"/>
      <c r="O583" s="706"/>
      <c r="P583" s="706"/>
      <c r="Q583" s="704">
        <v>0</v>
      </c>
      <c r="R583" s="698" t="s">
        <v>701</v>
      </c>
      <c r="S583" s="705"/>
      <c r="T583" s="698"/>
      <c r="U583" s="698"/>
    </row>
    <row r="584" spans="1:21" ht="14.5">
      <c r="A584" s="697"/>
      <c r="B584" s="698" t="s">
        <v>708</v>
      </c>
      <c r="C584" s="698" t="s">
        <v>709</v>
      </c>
      <c r="D584" s="698" t="s">
        <v>779</v>
      </c>
      <c r="E584" s="698" t="s">
        <v>928</v>
      </c>
      <c r="F584" s="700">
        <v>0.33333333333333298</v>
      </c>
      <c r="G584" s="700">
        <v>0.2951388888888889</v>
      </c>
      <c r="H584" s="700">
        <v>0.71875</v>
      </c>
      <c r="I584" s="701">
        <v>540</v>
      </c>
      <c r="J584" s="698">
        <v>610</v>
      </c>
      <c r="K584" s="702">
        <v>1.1666666666666667</v>
      </c>
      <c r="L584" s="703">
        <v>10.166666666666666</v>
      </c>
      <c r="M584" s="698" t="s">
        <v>844</v>
      </c>
      <c r="N584" s="698" t="s">
        <v>711</v>
      </c>
      <c r="O584" s="706">
        <v>21972</v>
      </c>
      <c r="P584" s="706">
        <v>22013</v>
      </c>
      <c r="Q584" s="704">
        <v>41</v>
      </c>
      <c r="R584" s="698" t="s">
        <v>695</v>
      </c>
      <c r="S584" s="705"/>
      <c r="T584" s="698" t="s">
        <v>774</v>
      </c>
      <c r="U584" s="698" t="s">
        <v>966</v>
      </c>
    </row>
    <row r="585" spans="1:21" ht="14.5">
      <c r="A585" s="697"/>
      <c r="B585" s="698" t="s">
        <v>712</v>
      </c>
      <c r="C585" s="698" t="s">
        <v>713</v>
      </c>
      <c r="D585" s="698" t="s">
        <v>1245</v>
      </c>
      <c r="E585" s="698" t="s">
        <v>930</v>
      </c>
      <c r="F585" s="700">
        <v>0.33333333333333298</v>
      </c>
      <c r="G585" s="700">
        <v>0.375</v>
      </c>
      <c r="H585" s="700">
        <v>0.84722222222222221</v>
      </c>
      <c r="I585" s="701">
        <v>540</v>
      </c>
      <c r="J585" s="698">
        <v>680</v>
      </c>
      <c r="K585" s="702">
        <v>2.3333333333333335</v>
      </c>
      <c r="L585" s="703">
        <v>11.333333333333334</v>
      </c>
      <c r="M585" s="698" t="s">
        <v>1246</v>
      </c>
      <c r="N585" s="698" t="s">
        <v>714</v>
      </c>
      <c r="O585" s="706">
        <v>45623</v>
      </c>
      <c r="P585" s="706">
        <v>45646</v>
      </c>
      <c r="Q585" s="704">
        <v>23</v>
      </c>
      <c r="R585" s="698" t="s">
        <v>695</v>
      </c>
      <c r="S585" s="705"/>
      <c r="T585" s="698" t="s">
        <v>728</v>
      </c>
      <c r="U585" s="698" t="s">
        <v>785</v>
      </c>
    </row>
    <row r="586" spans="1:21" ht="14.5">
      <c r="A586" s="697"/>
      <c r="B586" s="698" t="s">
        <v>715</v>
      </c>
      <c r="C586" s="698" t="s">
        <v>716</v>
      </c>
      <c r="D586" s="707" t="s">
        <v>788</v>
      </c>
      <c r="E586" s="698" t="s">
        <v>190</v>
      </c>
      <c r="F586" s="700">
        <v>0.33333333333333298</v>
      </c>
      <c r="G586" s="700"/>
      <c r="H586" s="700"/>
      <c r="I586" s="701">
        <v>540</v>
      </c>
      <c r="J586" s="698">
        <v>0</v>
      </c>
      <c r="K586" s="702">
        <v>-9</v>
      </c>
      <c r="L586" s="703">
        <v>0</v>
      </c>
      <c r="M586" s="698" t="s">
        <v>694</v>
      </c>
      <c r="N586" s="698" t="s">
        <v>717</v>
      </c>
      <c r="O586" s="706"/>
      <c r="P586" s="706"/>
      <c r="Q586" s="704">
        <v>0</v>
      </c>
      <c r="R586" s="698" t="s">
        <v>695</v>
      </c>
      <c r="S586" s="705"/>
      <c r="T586" s="698"/>
      <c r="U586" s="698"/>
    </row>
    <row r="587" spans="1:21" ht="14.5">
      <c r="A587" s="697"/>
      <c r="B587" s="707" t="s">
        <v>718</v>
      </c>
      <c r="C587" s="707" t="s">
        <v>719</v>
      </c>
      <c r="D587" s="707" t="s">
        <v>788</v>
      </c>
      <c r="E587" s="707" t="s">
        <v>720</v>
      </c>
      <c r="F587" s="700">
        <v>0.33333333333333298</v>
      </c>
      <c r="G587" s="700"/>
      <c r="H587" s="700"/>
      <c r="I587" s="701">
        <v>540</v>
      </c>
      <c r="J587" s="698">
        <v>0</v>
      </c>
      <c r="K587" s="702">
        <v>-9</v>
      </c>
      <c r="L587" s="703">
        <v>0</v>
      </c>
      <c r="M587" s="698" t="s">
        <v>694</v>
      </c>
      <c r="N587" s="707" t="s">
        <v>721</v>
      </c>
      <c r="O587" s="708"/>
      <c r="P587" s="708"/>
      <c r="Q587" s="704">
        <v>0</v>
      </c>
      <c r="R587" s="707" t="s">
        <v>701</v>
      </c>
      <c r="S587" s="709"/>
      <c r="T587" s="707"/>
      <c r="U587" s="707"/>
    </row>
    <row r="588" spans="1:21" ht="14.5">
      <c r="A588" s="697"/>
      <c r="B588" s="707" t="s">
        <v>722</v>
      </c>
      <c r="C588" s="707" t="s">
        <v>723</v>
      </c>
      <c r="D588" s="707" t="s">
        <v>1247</v>
      </c>
      <c r="E588" s="707" t="s">
        <v>725</v>
      </c>
      <c r="F588" s="700">
        <v>0.33333333333333298</v>
      </c>
      <c r="G588" s="700">
        <v>0.54166666666666663</v>
      </c>
      <c r="H588" s="700">
        <v>0.79236111111111107</v>
      </c>
      <c r="I588" s="701">
        <v>540</v>
      </c>
      <c r="J588" s="698">
        <v>361</v>
      </c>
      <c r="K588" s="702">
        <v>-2.9833333333333334</v>
      </c>
      <c r="L588" s="703">
        <v>6.0166666666666666</v>
      </c>
      <c r="M588" s="698" t="s">
        <v>1248</v>
      </c>
      <c r="N588" s="707" t="s">
        <v>727</v>
      </c>
      <c r="O588" s="708">
        <v>30793</v>
      </c>
      <c r="P588" s="708">
        <v>30812</v>
      </c>
      <c r="Q588" s="704">
        <v>19</v>
      </c>
      <c r="R588" s="707" t="s">
        <v>695</v>
      </c>
      <c r="S588" s="709"/>
      <c r="T588" s="707" t="s">
        <v>728</v>
      </c>
      <c r="U588" s="707" t="s">
        <v>1151</v>
      </c>
    </row>
    <row r="589" spans="1:21" ht="14.5">
      <c r="A589" s="697"/>
      <c r="B589" s="707" t="s">
        <v>730</v>
      </c>
      <c r="C589" s="707" t="s">
        <v>731</v>
      </c>
      <c r="D589" s="711" t="s">
        <v>788</v>
      </c>
      <c r="E589" s="707" t="s">
        <v>732</v>
      </c>
      <c r="F589" s="700">
        <v>0.33333333333333298</v>
      </c>
      <c r="G589" s="700"/>
      <c r="H589" s="700"/>
      <c r="I589" s="701">
        <v>540</v>
      </c>
      <c r="J589" s="698">
        <v>0</v>
      </c>
      <c r="K589" s="702">
        <v>-9</v>
      </c>
      <c r="L589" s="703">
        <v>0</v>
      </c>
      <c r="M589" s="698" t="s">
        <v>694</v>
      </c>
      <c r="N589" s="707" t="s">
        <v>733</v>
      </c>
      <c r="O589" s="708"/>
      <c r="P589" s="708"/>
      <c r="Q589" s="704">
        <v>0</v>
      </c>
      <c r="R589" s="707" t="s">
        <v>701</v>
      </c>
      <c r="S589" s="709"/>
      <c r="T589" s="707"/>
      <c r="U589" s="707"/>
    </row>
    <row r="590" spans="1:21" ht="14.5">
      <c r="A590" s="697"/>
      <c r="B590" s="710" t="s">
        <v>734</v>
      </c>
      <c r="C590" s="711" t="s">
        <v>735</v>
      </c>
      <c r="D590" s="714" t="s">
        <v>788</v>
      </c>
      <c r="E590" s="711" t="s">
        <v>89</v>
      </c>
      <c r="F590" s="712">
        <v>0.33333333333333298</v>
      </c>
      <c r="G590" s="712"/>
      <c r="H590" s="712"/>
      <c r="I590" s="713">
        <v>540</v>
      </c>
      <c r="J590" s="714">
        <v>0</v>
      </c>
      <c r="K590" s="715">
        <v>-9</v>
      </c>
      <c r="L590" s="716">
        <v>0</v>
      </c>
      <c r="M590" s="714" t="s">
        <v>694</v>
      </c>
      <c r="N590" s="711" t="s">
        <v>736</v>
      </c>
      <c r="O590" s="717"/>
      <c r="P590" s="717"/>
      <c r="Q590" s="704">
        <v>0</v>
      </c>
      <c r="R590" s="711" t="s">
        <v>701</v>
      </c>
      <c r="S590" s="718"/>
      <c r="T590" s="711"/>
      <c r="U590" s="711"/>
    </row>
    <row r="591" spans="1:21" ht="14.5">
      <c r="A591" s="697"/>
      <c r="B591" s="714" t="s">
        <v>737</v>
      </c>
      <c r="C591" s="714" t="s">
        <v>738</v>
      </c>
      <c r="D591" s="707" t="s">
        <v>788</v>
      </c>
      <c r="E591" s="714"/>
      <c r="F591" s="712">
        <v>0.33333333333333298</v>
      </c>
      <c r="G591" s="712"/>
      <c r="H591" s="712"/>
      <c r="I591" s="713">
        <v>540</v>
      </c>
      <c r="J591" s="714">
        <v>0</v>
      </c>
      <c r="K591" s="715">
        <v>-9</v>
      </c>
      <c r="L591" s="716">
        <v>0</v>
      </c>
      <c r="M591" s="714" t="s">
        <v>694</v>
      </c>
      <c r="N591" s="714"/>
      <c r="O591" s="719"/>
      <c r="P591" s="719"/>
      <c r="Q591" s="704">
        <v>0</v>
      </c>
      <c r="R591" s="714" t="s">
        <v>695</v>
      </c>
      <c r="S591" s="720"/>
      <c r="T591" s="714"/>
      <c r="U591" s="714" t="s">
        <v>739</v>
      </c>
    </row>
    <row r="592" spans="1:21" ht="14.5">
      <c r="A592" s="697"/>
      <c r="B592" s="707"/>
      <c r="C592" s="707" t="s">
        <v>740</v>
      </c>
      <c r="D592" s="707" t="s">
        <v>54</v>
      </c>
      <c r="E592" s="707" t="s">
        <v>741</v>
      </c>
      <c r="F592" s="700">
        <v>0.33333333333333298</v>
      </c>
      <c r="G592" s="700"/>
      <c r="H592" s="700"/>
      <c r="I592" s="701">
        <v>540</v>
      </c>
      <c r="J592" s="698">
        <v>0</v>
      </c>
      <c r="K592" s="702">
        <v>-9</v>
      </c>
      <c r="L592" s="703">
        <v>0</v>
      </c>
      <c r="M592" s="698" t="s">
        <v>694</v>
      </c>
      <c r="N592" s="707"/>
      <c r="O592" s="708"/>
      <c r="P592" s="708"/>
      <c r="Q592" s="704">
        <v>0</v>
      </c>
      <c r="R592" s="707" t="s">
        <v>742</v>
      </c>
      <c r="S592" s="709"/>
      <c r="T592" s="707"/>
      <c r="U592" s="707"/>
    </row>
    <row r="593" spans="1:21" ht="14.5">
      <c r="A593" s="697"/>
      <c r="B593" s="707" t="s">
        <v>54</v>
      </c>
      <c r="C593" s="707" t="s">
        <v>743</v>
      </c>
      <c r="D593" s="698"/>
      <c r="E593" s="707" t="s">
        <v>744</v>
      </c>
      <c r="F593" s="700">
        <v>0.33333333333333298</v>
      </c>
      <c r="G593" s="700"/>
      <c r="H593" s="700"/>
      <c r="I593" s="701">
        <v>540</v>
      </c>
      <c r="J593" s="698">
        <v>0</v>
      </c>
      <c r="K593" s="702">
        <v>-9</v>
      </c>
      <c r="L593" s="703">
        <v>0</v>
      </c>
      <c r="M593" s="698" t="s">
        <v>694</v>
      </c>
      <c r="N593" s="707"/>
      <c r="O593" s="708"/>
      <c r="P593" s="708"/>
      <c r="Q593" s="704">
        <v>0</v>
      </c>
      <c r="R593" s="707" t="s">
        <v>742</v>
      </c>
      <c r="S593" s="709"/>
      <c r="T593" s="707"/>
      <c r="U593" s="707"/>
    </row>
    <row r="594" spans="1:21" ht="14.5">
      <c r="A594" s="697"/>
      <c r="B594" s="698" t="s">
        <v>745</v>
      </c>
      <c r="C594" s="698"/>
      <c r="D594" s="698"/>
      <c r="E594" s="698"/>
      <c r="F594" s="700">
        <v>0.33333333333333298</v>
      </c>
      <c r="G594" s="700"/>
      <c r="H594" s="700"/>
      <c r="I594" s="701">
        <v>540</v>
      </c>
      <c r="J594" s="698">
        <v>0</v>
      </c>
      <c r="K594" s="702">
        <v>-9</v>
      </c>
      <c r="L594" s="703">
        <v>0</v>
      </c>
      <c r="M594" s="698" t="s">
        <v>694</v>
      </c>
      <c r="N594" s="698"/>
      <c r="O594" s="706"/>
      <c r="P594" s="706"/>
      <c r="Q594" s="704">
        <v>0</v>
      </c>
      <c r="R594" s="698"/>
      <c r="S594" s="705"/>
      <c r="T594" s="698"/>
      <c r="U594" s="698"/>
    </row>
    <row r="595" spans="1:21" ht="14.5">
      <c r="A595" s="697"/>
      <c r="B595" s="698" t="s">
        <v>746</v>
      </c>
      <c r="C595" s="698" t="s">
        <v>747</v>
      </c>
      <c r="D595" s="707" t="s">
        <v>788</v>
      </c>
      <c r="E595" s="698" t="s">
        <v>190</v>
      </c>
      <c r="F595" s="700">
        <v>0.33333333333333298</v>
      </c>
      <c r="G595" s="700"/>
      <c r="H595" s="700"/>
      <c r="I595" s="701">
        <v>540</v>
      </c>
      <c r="J595" s="698">
        <v>0</v>
      </c>
      <c r="K595" s="702">
        <v>-9</v>
      </c>
      <c r="L595" s="703">
        <v>0</v>
      </c>
      <c r="M595" s="698" t="s">
        <v>694</v>
      </c>
      <c r="N595" s="698"/>
      <c r="O595" s="706"/>
      <c r="P595" s="706"/>
      <c r="Q595" s="704">
        <v>0</v>
      </c>
      <c r="R595" s="698" t="s">
        <v>701</v>
      </c>
      <c r="S595" s="705"/>
      <c r="T595" s="698"/>
      <c r="U595" s="698"/>
    </row>
    <row r="596" spans="1:21" ht="14.5">
      <c r="A596" s="697"/>
      <c r="B596" s="707" t="s">
        <v>748</v>
      </c>
      <c r="C596" s="707" t="s">
        <v>749</v>
      </c>
      <c r="D596" s="707" t="s">
        <v>788</v>
      </c>
      <c r="E596" s="707" t="s">
        <v>278</v>
      </c>
      <c r="F596" s="700">
        <v>0.33333333333333298</v>
      </c>
      <c r="G596" s="700"/>
      <c r="H596" s="700"/>
      <c r="I596" s="701">
        <v>540</v>
      </c>
      <c r="J596" s="698">
        <v>0</v>
      </c>
      <c r="K596" s="702">
        <v>-9</v>
      </c>
      <c r="L596" s="703">
        <v>0</v>
      </c>
      <c r="M596" s="698" t="s">
        <v>694</v>
      </c>
      <c r="N596" s="707"/>
      <c r="O596" s="708"/>
      <c r="P596" s="708"/>
      <c r="Q596" s="704">
        <v>0</v>
      </c>
      <c r="R596" s="707" t="s">
        <v>695</v>
      </c>
      <c r="S596" s="709"/>
      <c r="T596" s="707"/>
      <c r="U596" s="707"/>
    </row>
    <row r="597" spans="1:21" ht="14.5">
      <c r="A597" s="697"/>
      <c r="B597" s="707" t="s">
        <v>750</v>
      </c>
      <c r="C597" s="707"/>
      <c r="D597" s="707"/>
      <c r="E597" s="707"/>
      <c r="F597" s="700">
        <v>0.33333333333333298</v>
      </c>
      <c r="G597" s="700"/>
      <c r="H597" s="700"/>
      <c r="I597" s="701">
        <v>540</v>
      </c>
      <c r="J597" s="698">
        <v>0</v>
      </c>
      <c r="K597" s="702">
        <v>-9</v>
      </c>
      <c r="L597" s="703">
        <v>0</v>
      </c>
      <c r="M597" s="698" t="s">
        <v>694</v>
      </c>
      <c r="N597" s="707"/>
      <c r="O597" s="708"/>
      <c r="P597" s="708"/>
      <c r="Q597" s="704">
        <v>0</v>
      </c>
      <c r="R597" s="707"/>
      <c r="S597" s="709"/>
      <c r="T597" s="707"/>
      <c r="U597" s="707"/>
    </row>
    <row r="598" spans="1:21" ht="14.5">
      <c r="A598" s="697"/>
      <c r="B598" s="707" t="s">
        <v>751</v>
      </c>
      <c r="C598" s="707" t="s">
        <v>752</v>
      </c>
      <c r="D598" s="711" t="s">
        <v>1249</v>
      </c>
      <c r="E598" s="707" t="s">
        <v>725</v>
      </c>
      <c r="F598" s="700">
        <v>0.33333333333333298</v>
      </c>
      <c r="G598" s="700">
        <v>0.29652777777777778</v>
      </c>
      <c r="H598" s="700">
        <v>0.78472222222222221</v>
      </c>
      <c r="I598" s="701">
        <v>540</v>
      </c>
      <c r="J598" s="698">
        <v>703</v>
      </c>
      <c r="K598" s="702">
        <v>2.7166666666666668</v>
      </c>
      <c r="L598" s="703">
        <v>11.716666666666667</v>
      </c>
      <c r="M598" s="698" t="s">
        <v>1250</v>
      </c>
      <c r="N598" s="707" t="s">
        <v>915</v>
      </c>
      <c r="O598" s="708">
        <v>9624</v>
      </c>
      <c r="P598" s="708">
        <v>9692</v>
      </c>
      <c r="Q598" s="704">
        <v>68</v>
      </c>
      <c r="R598" s="707" t="s">
        <v>701</v>
      </c>
      <c r="S598" s="709">
        <v>20</v>
      </c>
      <c r="T598" s="707" t="s">
        <v>763</v>
      </c>
      <c r="U598" s="707"/>
    </row>
    <row r="599" spans="1:21">
      <c r="A599" s="697"/>
      <c r="B599" s="707" t="s">
        <v>754</v>
      </c>
      <c r="C599" s="707" t="s">
        <v>755</v>
      </c>
      <c r="D599" s="721" t="s">
        <v>788</v>
      </c>
      <c r="E599" s="707" t="s">
        <v>190</v>
      </c>
      <c r="F599" s="700">
        <v>0.33333333333333298</v>
      </c>
      <c r="G599" s="700"/>
      <c r="H599" s="700"/>
      <c r="I599" s="701">
        <v>540</v>
      </c>
      <c r="J599" s="698">
        <v>0</v>
      </c>
      <c r="K599" s="702">
        <v>-9</v>
      </c>
      <c r="L599" s="703">
        <v>0</v>
      </c>
      <c r="M599" s="698" t="s">
        <v>694</v>
      </c>
      <c r="N599" s="707"/>
      <c r="O599" s="708"/>
      <c r="P599" s="708"/>
      <c r="Q599" s="704">
        <v>0</v>
      </c>
      <c r="R599" s="707" t="s">
        <v>701</v>
      </c>
      <c r="S599" s="709"/>
      <c r="T599" s="707"/>
      <c r="U599" s="7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9816-E7CF-42C7-BFED-8DF5E3F7D3DD}">
  <dimension ref="A2:J64"/>
  <sheetViews>
    <sheetView showGridLines="0" workbookViewId="0">
      <pane ySplit="4" topLeftCell="A37" activePane="bottomLeft" state="frozen"/>
      <selection pane="bottomLeft" activeCell="A48" sqref="A48"/>
    </sheetView>
  </sheetViews>
  <sheetFormatPr defaultRowHeight="14"/>
  <cols>
    <col min="1" max="1" width="3.453125" bestFit="1" customWidth="1"/>
    <col min="2" max="2" width="20" bestFit="1" customWidth="1"/>
    <col min="3" max="6" width="14.90625" bestFit="1" customWidth="1"/>
    <col min="7" max="8" width="15.90625" bestFit="1" customWidth="1"/>
    <col min="9" max="9" width="14.90625" bestFit="1" customWidth="1"/>
    <col min="10" max="10" width="17.54296875" customWidth="1"/>
  </cols>
  <sheetData>
    <row r="2" spans="1:10" ht="14.5">
      <c r="A2" s="849" t="s">
        <v>553</v>
      </c>
      <c r="B2" s="849" t="s">
        <v>643</v>
      </c>
      <c r="C2" s="850" t="s">
        <v>644</v>
      </c>
      <c r="D2" s="850"/>
      <c r="E2" s="850"/>
      <c r="F2" s="850"/>
      <c r="G2" s="850"/>
      <c r="H2" s="850"/>
      <c r="I2" s="850"/>
      <c r="J2" s="849" t="s">
        <v>217</v>
      </c>
    </row>
    <row r="3" spans="1:10" ht="14.5">
      <c r="A3" s="849"/>
      <c r="B3" s="849"/>
      <c r="C3" s="657" t="s">
        <v>645</v>
      </c>
      <c r="D3" s="657" t="s">
        <v>646</v>
      </c>
      <c r="E3" s="657" t="s">
        <v>647</v>
      </c>
      <c r="F3" s="657" t="s">
        <v>648</v>
      </c>
      <c r="G3" s="657" t="s">
        <v>649</v>
      </c>
      <c r="H3" s="657" t="s">
        <v>650</v>
      </c>
      <c r="I3" s="657" t="s">
        <v>651</v>
      </c>
      <c r="J3" s="849"/>
    </row>
    <row r="4" spans="1:10" ht="14.5">
      <c r="A4" s="658">
        <v>1</v>
      </c>
      <c r="B4" s="664" t="s">
        <v>248</v>
      </c>
      <c r="C4" s="659"/>
      <c r="D4" s="659"/>
      <c r="E4" s="659"/>
      <c r="F4" s="659"/>
      <c r="G4" s="659"/>
      <c r="H4" s="659"/>
      <c r="I4" s="659"/>
      <c r="J4" s="659"/>
    </row>
    <row r="5" spans="1:10">
      <c r="A5" s="658"/>
      <c r="B5" s="658" t="s">
        <v>652</v>
      </c>
      <c r="C5" s="660">
        <v>12435000</v>
      </c>
      <c r="D5" s="660">
        <v>8280000.0000000019</v>
      </c>
      <c r="E5" s="660">
        <v>4290000.0000000009</v>
      </c>
      <c r="F5" s="660">
        <v>12600000.000000002</v>
      </c>
      <c r="G5" s="660">
        <v>9945000.0000000037</v>
      </c>
      <c r="H5" s="660">
        <v>10305000</v>
      </c>
      <c r="I5" s="660">
        <v>12900000</v>
      </c>
      <c r="J5" s="660">
        <f>SUM(C5:I5)</f>
        <v>70755000</v>
      </c>
    </row>
    <row r="6" spans="1:10">
      <c r="A6" s="658"/>
      <c r="B6" s="658" t="s">
        <v>653</v>
      </c>
      <c r="C6" s="660">
        <v>81370778</v>
      </c>
      <c r="D6" s="660">
        <v>75916549</v>
      </c>
      <c r="E6" s="660">
        <v>81231621</v>
      </c>
      <c r="F6" s="660">
        <v>91339509.000000015</v>
      </c>
      <c r="G6" s="660">
        <v>87380356.00000003</v>
      </c>
      <c r="H6" s="660">
        <v>93185444.999999985</v>
      </c>
      <c r="I6" s="660">
        <v>94672035</v>
      </c>
      <c r="J6" s="660">
        <f t="shared" ref="J6:J13" si="0">SUM(C6:I6)</f>
        <v>605096293</v>
      </c>
    </row>
    <row r="7" spans="1:10">
      <c r="A7" s="658"/>
      <c r="B7" s="658" t="s">
        <v>654</v>
      </c>
      <c r="C7" s="660">
        <v>0</v>
      </c>
      <c r="D7" s="660">
        <v>0</v>
      </c>
      <c r="E7" s="660">
        <v>0</v>
      </c>
      <c r="F7" s="660">
        <v>0</v>
      </c>
      <c r="G7" s="660">
        <v>0</v>
      </c>
      <c r="H7" s="660">
        <v>0</v>
      </c>
      <c r="I7" s="660"/>
      <c r="J7" s="660">
        <f t="shared" si="0"/>
        <v>0</v>
      </c>
    </row>
    <row r="8" spans="1:10">
      <c r="A8" s="658"/>
      <c r="B8" s="658" t="s">
        <v>655</v>
      </c>
      <c r="C8" s="660">
        <v>1700000.0000000002</v>
      </c>
      <c r="D8" s="660">
        <v>1700000.0000000002</v>
      </c>
      <c r="E8" s="660">
        <v>1700000</v>
      </c>
      <c r="F8" s="660">
        <v>1700000</v>
      </c>
      <c r="G8" s="660">
        <v>1700000.0000000002</v>
      </c>
      <c r="H8" s="660">
        <v>1700000.0000000005</v>
      </c>
      <c r="I8" s="660">
        <v>1700000</v>
      </c>
      <c r="J8" s="660">
        <f t="shared" si="0"/>
        <v>11900000</v>
      </c>
    </row>
    <row r="9" spans="1:10">
      <c r="A9" s="658"/>
      <c r="B9" s="658" t="s">
        <v>656</v>
      </c>
      <c r="C9" s="660">
        <v>700000</v>
      </c>
      <c r="D9" s="660">
        <v>700000</v>
      </c>
      <c r="E9" s="660">
        <v>0</v>
      </c>
      <c r="F9" s="660">
        <v>0</v>
      </c>
      <c r="G9" s="660">
        <v>0</v>
      </c>
      <c r="H9" s="660">
        <v>0</v>
      </c>
      <c r="I9" s="660">
        <v>0</v>
      </c>
      <c r="J9" s="660">
        <f t="shared" si="0"/>
        <v>1400000</v>
      </c>
    </row>
    <row r="10" spans="1:10">
      <c r="A10" s="658"/>
      <c r="B10" s="658" t="s">
        <v>657</v>
      </c>
      <c r="C10" s="660">
        <v>14400000</v>
      </c>
      <c r="D10" s="660">
        <v>0</v>
      </c>
      <c r="E10" s="660">
        <v>0</v>
      </c>
      <c r="F10" s="660">
        <v>0</v>
      </c>
      <c r="G10" s="660">
        <v>0</v>
      </c>
      <c r="H10" s="660">
        <v>14399999.999999996</v>
      </c>
      <c r="I10" s="660">
        <v>0</v>
      </c>
      <c r="J10" s="660">
        <f t="shared" si="0"/>
        <v>28799999.999999996</v>
      </c>
    </row>
    <row r="11" spans="1:10">
      <c r="A11" s="658"/>
      <c r="B11" s="658" t="s">
        <v>658</v>
      </c>
      <c r="C11" s="660">
        <v>2572500.0000000005</v>
      </c>
      <c r="D11" s="660">
        <v>1575000.0000000002</v>
      </c>
      <c r="E11" s="660">
        <v>0</v>
      </c>
      <c r="F11" s="660">
        <v>1575000.0000000002</v>
      </c>
      <c r="G11" s="660">
        <v>0</v>
      </c>
      <c r="H11" s="660">
        <v>1575000</v>
      </c>
      <c r="I11" s="660"/>
      <c r="J11" s="660">
        <f t="shared" si="0"/>
        <v>7297500.0000000009</v>
      </c>
    </row>
    <row r="12" spans="1:10">
      <c r="A12" s="658"/>
      <c r="B12" s="658" t="s">
        <v>659</v>
      </c>
      <c r="C12" s="660">
        <v>39793955.000000007</v>
      </c>
      <c r="D12" s="660">
        <v>33429955.000000007</v>
      </c>
      <c r="E12" s="660">
        <v>36052955.000000007</v>
      </c>
      <c r="F12" s="660">
        <v>42567455</v>
      </c>
      <c r="G12" s="660">
        <v>40352954.000000007</v>
      </c>
      <c r="H12" s="660">
        <v>35429455.000000007</v>
      </c>
      <c r="I12" s="660">
        <v>31301455.000000015</v>
      </c>
      <c r="J12" s="660">
        <f t="shared" si="0"/>
        <v>258928184.00000006</v>
      </c>
    </row>
    <row r="13" spans="1:10">
      <c r="A13" s="658"/>
      <c r="B13" s="658" t="s">
        <v>660</v>
      </c>
      <c r="C13" s="660">
        <v>1460000</v>
      </c>
      <c r="D13" s="660">
        <v>1460000</v>
      </c>
      <c r="E13" s="660">
        <v>1460000</v>
      </c>
      <c r="F13" s="660">
        <v>1460000.0000000005</v>
      </c>
      <c r="G13" s="660">
        <v>1460000</v>
      </c>
      <c r="H13" s="660">
        <v>0</v>
      </c>
      <c r="I13" s="660">
        <v>0</v>
      </c>
      <c r="J13" s="660">
        <f t="shared" si="0"/>
        <v>7300000</v>
      </c>
    </row>
    <row r="14" spans="1:10" s="3" customFormat="1" ht="14.5">
      <c r="A14" s="661"/>
      <c r="B14" s="665" t="s">
        <v>661</v>
      </c>
      <c r="C14" s="662">
        <f>SUM(C5:C13)</f>
        <v>154432233</v>
      </c>
      <c r="D14" s="662">
        <f t="shared" ref="D14:I14" si="1">SUM(D5:D13)</f>
        <v>123061504</v>
      </c>
      <c r="E14" s="662">
        <f t="shared" si="1"/>
        <v>124734576</v>
      </c>
      <c r="F14" s="662">
        <f t="shared" si="1"/>
        <v>151241964</v>
      </c>
      <c r="G14" s="662">
        <f t="shared" si="1"/>
        <v>140838310.00000003</v>
      </c>
      <c r="H14" s="662">
        <f t="shared" si="1"/>
        <v>156594900</v>
      </c>
      <c r="I14" s="662">
        <f t="shared" si="1"/>
        <v>140573490</v>
      </c>
      <c r="J14" s="662">
        <f>SUM(J5:J13)</f>
        <v>991476977</v>
      </c>
    </row>
    <row r="15" spans="1:10">
      <c r="A15" s="658"/>
      <c r="B15" s="658"/>
      <c r="C15" s="660"/>
      <c r="D15" s="660"/>
      <c r="E15" s="660"/>
      <c r="F15" s="660"/>
      <c r="G15" s="660"/>
      <c r="H15" s="660"/>
      <c r="I15" s="660"/>
      <c r="J15" s="660"/>
    </row>
    <row r="16" spans="1:10" ht="14.5">
      <c r="A16" s="658">
        <v>2</v>
      </c>
      <c r="B16" s="666" t="s">
        <v>272</v>
      </c>
      <c r="C16" s="659"/>
      <c r="D16" s="659"/>
      <c r="E16" s="659"/>
      <c r="F16" s="659"/>
      <c r="G16" s="659"/>
      <c r="H16" s="659"/>
      <c r="I16" s="659"/>
      <c r="J16" s="659"/>
    </row>
    <row r="17" spans="1:10">
      <c r="A17" s="658"/>
      <c r="B17" s="658" t="s">
        <v>652</v>
      </c>
      <c r="C17" s="660">
        <v>2985000</v>
      </c>
      <c r="D17" s="660">
        <v>2099999.9999999991</v>
      </c>
      <c r="E17" s="660">
        <v>1350000.0000000005</v>
      </c>
      <c r="F17" s="660">
        <v>1800000</v>
      </c>
      <c r="G17" s="660">
        <v>2700000.0000000009</v>
      </c>
      <c r="H17" s="660">
        <v>3749999.9999999986</v>
      </c>
      <c r="I17" s="660">
        <v>3000000</v>
      </c>
      <c r="J17" s="660">
        <f>SUM(C17:I17)</f>
        <v>17685000</v>
      </c>
    </row>
    <row r="18" spans="1:10">
      <c r="A18" s="658"/>
      <c r="B18" s="658" t="s">
        <v>662</v>
      </c>
      <c r="C18" s="660"/>
      <c r="D18" s="660"/>
      <c r="E18" s="660"/>
      <c r="F18" s="660"/>
      <c r="G18" s="660"/>
      <c r="H18" s="660"/>
      <c r="I18" s="660">
        <v>29816499.999999985</v>
      </c>
      <c r="J18" s="660">
        <f t="shared" ref="J18:J26" si="2">SUM(C18:I18)</f>
        <v>29816499.999999985</v>
      </c>
    </row>
    <row r="19" spans="1:10">
      <c r="A19" s="658"/>
      <c r="B19" s="658" t="s">
        <v>653</v>
      </c>
      <c r="C19" s="660">
        <v>40344885.999999993</v>
      </c>
      <c r="D19" s="660">
        <v>37668699.999999993</v>
      </c>
      <c r="E19" s="660">
        <v>40524186.000000015</v>
      </c>
      <c r="F19" s="660">
        <v>45181548.000000007</v>
      </c>
      <c r="G19" s="660">
        <v>44814959.000000045</v>
      </c>
      <c r="H19" s="660">
        <v>49137687.000000007</v>
      </c>
      <c r="I19" s="660">
        <v>50047500.000000015</v>
      </c>
      <c r="J19" s="660">
        <f t="shared" si="2"/>
        <v>307719466.00000006</v>
      </c>
    </row>
    <row r="20" spans="1:10">
      <c r="A20" s="658"/>
      <c r="B20" s="658" t="s">
        <v>654</v>
      </c>
      <c r="C20" s="660">
        <v>0</v>
      </c>
      <c r="D20" s="660">
        <v>0</v>
      </c>
      <c r="E20" s="660">
        <v>0</v>
      </c>
      <c r="F20" s="660">
        <v>0</v>
      </c>
      <c r="G20" s="660">
        <v>0</v>
      </c>
      <c r="H20" s="660">
        <v>0</v>
      </c>
      <c r="I20" s="660"/>
      <c r="J20" s="660">
        <f t="shared" si="2"/>
        <v>0</v>
      </c>
    </row>
    <row r="21" spans="1:10">
      <c r="A21" s="658"/>
      <c r="B21" s="658" t="s">
        <v>663</v>
      </c>
      <c r="C21" s="660"/>
      <c r="D21" s="660"/>
      <c r="E21" s="660"/>
      <c r="F21" s="660"/>
      <c r="G21" s="660"/>
      <c r="H21" s="660">
        <v>41999999.999999993</v>
      </c>
      <c r="I21" s="660"/>
      <c r="J21" s="660">
        <f t="shared" si="2"/>
        <v>41999999.999999993</v>
      </c>
    </row>
    <row r="22" spans="1:10">
      <c r="A22" s="658"/>
      <c r="B22" s="658" t="s">
        <v>655</v>
      </c>
      <c r="C22" s="660">
        <v>1699999.9999999991</v>
      </c>
      <c r="D22" s="660">
        <v>1699999.9999999991</v>
      </c>
      <c r="E22" s="660">
        <v>1700000.0000000007</v>
      </c>
      <c r="F22" s="660">
        <v>1699999.9999999998</v>
      </c>
      <c r="G22" s="660">
        <v>1699999.9999999993</v>
      </c>
      <c r="H22" s="660">
        <v>1699999.9999999995</v>
      </c>
      <c r="I22" s="660">
        <v>1699999.9999999998</v>
      </c>
      <c r="J22" s="660">
        <f t="shared" si="2"/>
        <v>11899999.999999998</v>
      </c>
    </row>
    <row r="23" spans="1:10">
      <c r="A23" s="658"/>
      <c r="B23" s="658" t="s">
        <v>656</v>
      </c>
      <c r="C23" s="660">
        <v>649999.99999999977</v>
      </c>
      <c r="D23" s="660">
        <v>649999.99999999977</v>
      </c>
      <c r="E23" s="660">
        <v>0</v>
      </c>
      <c r="F23" s="660">
        <v>0</v>
      </c>
      <c r="G23" s="660">
        <v>0</v>
      </c>
      <c r="H23" s="660">
        <v>0</v>
      </c>
      <c r="I23" s="660">
        <v>0</v>
      </c>
      <c r="J23" s="660">
        <f t="shared" si="2"/>
        <v>1299999.9999999995</v>
      </c>
    </row>
    <row r="24" spans="1:10">
      <c r="A24" s="658"/>
      <c r="B24" s="658" t="s">
        <v>658</v>
      </c>
      <c r="C24" s="660">
        <v>1207499.9999999995</v>
      </c>
      <c r="D24" s="660">
        <v>1207499.9999999995</v>
      </c>
      <c r="E24" s="660">
        <v>0</v>
      </c>
      <c r="F24" s="660">
        <v>1207500</v>
      </c>
      <c r="G24" s="660">
        <v>0</v>
      </c>
      <c r="H24" s="660">
        <v>1207499.9999999998</v>
      </c>
      <c r="I24" s="660"/>
      <c r="J24" s="660">
        <f t="shared" si="2"/>
        <v>4829999.9999999991</v>
      </c>
    </row>
    <row r="25" spans="1:10">
      <c r="A25" s="658"/>
      <c r="B25" s="658" t="s">
        <v>659</v>
      </c>
      <c r="C25" s="660">
        <v>3456865</v>
      </c>
      <c r="D25" s="660">
        <v>3478364.9999999995</v>
      </c>
      <c r="E25" s="660">
        <v>3134365.0000000009</v>
      </c>
      <c r="F25" s="660">
        <v>2811864.9999999991</v>
      </c>
      <c r="G25" s="660">
        <v>3456864.9999999995</v>
      </c>
      <c r="H25" s="660">
        <v>3392364.9999999995</v>
      </c>
      <c r="I25" s="660">
        <v>4338365</v>
      </c>
      <c r="J25" s="660">
        <f t="shared" si="2"/>
        <v>24069055</v>
      </c>
    </row>
    <row r="26" spans="1:10">
      <c r="A26" s="658"/>
      <c r="B26" s="658" t="s">
        <v>660</v>
      </c>
      <c r="C26" s="660">
        <v>1152999.9999999995</v>
      </c>
      <c r="D26" s="660">
        <v>1152999.9999999995</v>
      </c>
      <c r="E26" s="660">
        <v>1153000.0000000005</v>
      </c>
      <c r="F26" s="660">
        <v>1153000.0000000002</v>
      </c>
      <c r="G26" s="660">
        <v>1152999.9999999995</v>
      </c>
      <c r="H26" s="660">
        <v>0</v>
      </c>
      <c r="I26" s="660">
        <v>0</v>
      </c>
      <c r="J26" s="660">
        <f t="shared" si="2"/>
        <v>5765000</v>
      </c>
    </row>
    <row r="27" spans="1:10" s="3" customFormat="1" ht="14.5">
      <c r="A27" s="661"/>
      <c r="B27" s="667" t="s">
        <v>661</v>
      </c>
      <c r="C27" s="663">
        <f>SUM(C17:C26)</f>
        <v>51497250.999999993</v>
      </c>
      <c r="D27" s="663">
        <f t="shared" ref="D27:I27" si="3">SUM(D17:D26)</f>
        <v>47957564.999999993</v>
      </c>
      <c r="E27" s="663">
        <f t="shared" si="3"/>
        <v>47861551.000000015</v>
      </c>
      <c r="F27" s="663">
        <f t="shared" si="3"/>
        <v>53853913.000000007</v>
      </c>
      <c r="G27" s="663">
        <f t="shared" si="3"/>
        <v>53824824.000000045</v>
      </c>
      <c r="H27" s="663">
        <f t="shared" si="3"/>
        <v>101187552</v>
      </c>
      <c r="I27" s="663">
        <f t="shared" si="3"/>
        <v>88902365</v>
      </c>
      <c r="J27" s="663">
        <f>SUM(J17:J26)</f>
        <v>445085021.00000006</v>
      </c>
    </row>
    <row r="28" spans="1:10">
      <c r="A28" s="658"/>
      <c r="B28" s="658"/>
      <c r="C28" s="660"/>
      <c r="D28" s="660"/>
      <c r="E28" s="660"/>
      <c r="F28" s="660"/>
      <c r="G28" s="660"/>
      <c r="H28" s="660"/>
      <c r="I28" s="660"/>
      <c r="J28" s="660"/>
    </row>
    <row r="29" spans="1:10" ht="14.5">
      <c r="A29" s="658">
        <v>3</v>
      </c>
      <c r="B29" s="668" t="s">
        <v>664</v>
      </c>
      <c r="C29" s="659"/>
      <c r="D29" s="659"/>
      <c r="E29" s="659"/>
      <c r="F29" s="659"/>
      <c r="G29" s="659"/>
      <c r="H29" s="659"/>
      <c r="I29" s="659"/>
      <c r="J29" s="659"/>
    </row>
    <row r="30" spans="1:10">
      <c r="A30" s="658"/>
      <c r="B30" s="658" t="s">
        <v>652</v>
      </c>
      <c r="C30" s="660">
        <v>2670000</v>
      </c>
      <c r="D30" s="660">
        <v>2190000</v>
      </c>
      <c r="E30" s="660">
        <v>1800000</v>
      </c>
      <c r="F30" s="660">
        <v>2355000</v>
      </c>
      <c r="G30" s="660">
        <v>2325000</v>
      </c>
      <c r="H30" s="660">
        <v>2250000</v>
      </c>
      <c r="I30" s="660">
        <v>2295000</v>
      </c>
      <c r="J30" s="660">
        <f>SUM(C30:I30)</f>
        <v>15885000</v>
      </c>
    </row>
    <row r="31" spans="1:10">
      <c r="A31" s="658"/>
      <c r="B31" s="658" t="s">
        <v>653</v>
      </c>
      <c r="C31" s="660">
        <v>4619563</v>
      </c>
      <c r="D31" s="660">
        <v>3518262</v>
      </c>
      <c r="E31" s="660">
        <v>4098389</v>
      </c>
      <c r="F31" s="660">
        <v>4052835</v>
      </c>
      <c r="G31" s="660">
        <v>4005944</v>
      </c>
      <c r="H31" s="660">
        <v>3898764</v>
      </c>
      <c r="I31" s="660">
        <v>3573196</v>
      </c>
      <c r="J31" s="660">
        <f t="shared" ref="J31:J33" si="4">SUM(C31:I31)</f>
        <v>27766953</v>
      </c>
    </row>
    <row r="32" spans="1:10">
      <c r="A32" s="658"/>
      <c r="B32" s="658" t="s">
        <v>658</v>
      </c>
      <c r="C32" s="660">
        <v>367500</v>
      </c>
      <c r="D32" s="660">
        <v>682500</v>
      </c>
      <c r="E32" s="660">
        <v>0</v>
      </c>
      <c r="F32" s="660">
        <v>682500</v>
      </c>
      <c r="G32" s="660">
        <v>0</v>
      </c>
      <c r="H32" s="660">
        <v>682500</v>
      </c>
      <c r="I32" s="660"/>
      <c r="J32" s="660">
        <f t="shared" si="4"/>
        <v>2415000</v>
      </c>
    </row>
    <row r="33" spans="1:10" s="3" customFormat="1" ht="14.5">
      <c r="A33" s="661"/>
      <c r="B33" s="670" t="s">
        <v>661</v>
      </c>
      <c r="C33" s="671">
        <f>SUM(C30:C32)</f>
        <v>7657063</v>
      </c>
      <c r="D33" s="671">
        <f t="shared" ref="D33:I33" si="5">SUM(D30:D32)</f>
        <v>6390762</v>
      </c>
      <c r="E33" s="671">
        <f t="shared" si="5"/>
        <v>5898389</v>
      </c>
      <c r="F33" s="671">
        <f t="shared" si="5"/>
        <v>7090335</v>
      </c>
      <c r="G33" s="671">
        <f t="shared" si="5"/>
        <v>6330944</v>
      </c>
      <c r="H33" s="671">
        <f t="shared" si="5"/>
        <v>6831264</v>
      </c>
      <c r="I33" s="671">
        <f t="shared" si="5"/>
        <v>5868196</v>
      </c>
      <c r="J33" s="672">
        <f t="shared" si="4"/>
        <v>46066953</v>
      </c>
    </row>
    <row r="34" spans="1:10">
      <c r="A34" s="658"/>
      <c r="B34" s="658"/>
      <c r="C34" s="660"/>
      <c r="D34" s="660"/>
      <c r="E34" s="660"/>
      <c r="F34" s="660"/>
      <c r="G34" s="660"/>
      <c r="H34" s="660"/>
      <c r="I34" s="660"/>
      <c r="J34" s="660"/>
    </row>
    <row r="35" spans="1:10" ht="14.5">
      <c r="A35" s="658"/>
      <c r="B35" s="666" t="s">
        <v>273</v>
      </c>
      <c r="C35" s="659"/>
      <c r="D35" s="659"/>
      <c r="E35" s="659"/>
      <c r="F35" s="659"/>
      <c r="G35" s="659"/>
      <c r="H35" s="659"/>
      <c r="I35" s="659"/>
      <c r="J35" s="659"/>
    </row>
    <row r="36" spans="1:10">
      <c r="A36" s="658"/>
      <c r="B36" s="658" t="s">
        <v>652</v>
      </c>
      <c r="C36" s="660">
        <v>7635000</v>
      </c>
      <c r="D36" s="660">
        <v>5565000.0000000009</v>
      </c>
      <c r="E36" s="660">
        <v>4350000</v>
      </c>
      <c r="F36" s="660">
        <v>7350000</v>
      </c>
      <c r="G36" s="660">
        <v>7799999.9999999981</v>
      </c>
      <c r="H36" s="660">
        <v>7274999.9999999991</v>
      </c>
      <c r="I36" s="660">
        <v>7800000</v>
      </c>
      <c r="J36" s="660">
        <f>SUM(C36:I36)</f>
        <v>47775000</v>
      </c>
    </row>
    <row r="37" spans="1:10">
      <c r="A37" s="658"/>
      <c r="B37" s="658" t="s">
        <v>653</v>
      </c>
      <c r="C37" s="660">
        <v>95643338.000000015</v>
      </c>
      <c r="D37" s="660">
        <v>85533755</v>
      </c>
      <c r="E37" s="660">
        <v>97002441</v>
      </c>
      <c r="F37" s="660">
        <v>97032987.000000015</v>
      </c>
      <c r="G37" s="660">
        <v>100948865.99999997</v>
      </c>
      <c r="H37" s="660">
        <v>104024505.99999997</v>
      </c>
      <c r="I37" s="660">
        <v>99233601.000000015</v>
      </c>
      <c r="J37" s="660">
        <f t="shared" ref="J37:J39" si="6">SUM(C37:I37)</f>
        <v>679419494</v>
      </c>
    </row>
    <row r="38" spans="1:10">
      <c r="A38" s="658"/>
      <c r="B38" s="658" t="s">
        <v>658</v>
      </c>
      <c r="C38" s="660">
        <v>2572500.0000000005</v>
      </c>
      <c r="D38" s="660">
        <v>2572500.0000000005</v>
      </c>
      <c r="E38" s="660">
        <v>0</v>
      </c>
      <c r="F38" s="660">
        <v>2572500.0000000005</v>
      </c>
      <c r="G38" s="660">
        <v>0</v>
      </c>
      <c r="H38" s="660">
        <v>2572499.9999999986</v>
      </c>
      <c r="I38" s="660"/>
      <c r="J38" s="660">
        <f t="shared" si="6"/>
        <v>10290000</v>
      </c>
    </row>
    <row r="39" spans="1:10">
      <c r="A39" s="658"/>
      <c r="B39" s="658" t="s">
        <v>660</v>
      </c>
      <c r="C39" s="660">
        <v>1203999.9999999998</v>
      </c>
      <c r="D39" s="660">
        <v>1204000.0000000002</v>
      </c>
      <c r="E39" s="660">
        <v>1204000.0000000002</v>
      </c>
      <c r="F39" s="660">
        <v>1204000.0000000002</v>
      </c>
      <c r="G39" s="660">
        <v>1203999.9999999998</v>
      </c>
      <c r="H39" s="660">
        <v>0</v>
      </c>
      <c r="I39" s="660">
        <v>0</v>
      </c>
      <c r="J39" s="660">
        <f t="shared" si="6"/>
        <v>6020000</v>
      </c>
    </row>
    <row r="40" spans="1:10" s="3" customFormat="1" ht="14.5">
      <c r="A40" s="661"/>
      <c r="B40" s="673" t="s">
        <v>661</v>
      </c>
      <c r="C40" s="674">
        <f>SUM(C36:C39)</f>
        <v>107054838.00000001</v>
      </c>
      <c r="D40" s="674">
        <f t="shared" ref="D40:J40" si="7">SUM(D36:D39)</f>
        <v>94875255</v>
      </c>
      <c r="E40" s="674">
        <f t="shared" si="7"/>
        <v>102556441</v>
      </c>
      <c r="F40" s="674">
        <f t="shared" si="7"/>
        <v>108159487.00000001</v>
      </c>
      <c r="G40" s="674">
        <f t="shared" si="7"/>
        <v>109952865.99999997</v>
      </c>
      <c r="H40" s="674">
        <f t="shared" si="7"/>
        <v>113872005.99999997</v>
      </c>
      <c r="I40" s="674">
        <f t="shared" si="7"/>
        <v>107033601.00000001</v>
      </c>
      <c r="J40" s="674">
        <f t="shared" si="7"/>
        <v>743504494</v>
      </c>
    </row>
    <row r="41" spans="1:10">
      <c r="A41" s="658"/>
      <c r="B41" s="658"/>
      <c r="C41" s="660"/>
      <c r="D41" s="660"/>
      <c r="E41" s="660"/>
      <c r="F41" s="660"/>
      <c r="G41" s="660"/>
      <c r="H41" s="660"/>
      <c r="I41" s="660"/>
      <c r="J41" s="660"/>
    </row>
    <row r="42" spans="1:10" ht="14.5">
      <c r="A42" s="658"/>
      <c r="B42" s="675" t="s">
        <v>665</v>
      </c>
      <c r="C42" s="659"/>
      <c r="D42" s="659"/>
      <c r="E42" s="659"/>
      <c r="F42" s="659"/>
      <c r="G42" s="659"/>
      <c r="H42" s="659"/>
      <c r="I42" s="659"/>
      <c r="J42" s="659"/>
    </row>
    <row r="43" spans="1:10">
      <c r="A43" s="658"/>
      <c r="B43" s="658" t="s">
        <v>652</v>
      </c>
      <c r="C43" s="660">
        <v>4275000</v>
      </c>
      <c r="D43" s="660">
        <v>3795000</v>
      </c>
      <c r="E43" s="660">
        <v>2475000</v>
      </c>
      <c r="F43" s="660">
        <v>4020000</v>
      </c>
      <c r="G43" s="660">
        <v>3584999.9999999995</v>
      </c>
      <c r="H43" s="660">
        <v>5115000</v>
      </c>
      <c r="I43" s="660">
        <v>4665000</v>
      </c>
      <c r="J43" s="660">
        <f>SUM(C43:I43)</f>
        <v>27930000</v>
      </c>
    </row>
    <row r="44" spans="1:10">
      <c r="A44" s="658"/>
      <c r="B44" s="658" t="s">
        <v>658</v>
      </c>
      <c r="C44" s="660">
        <v>1207500</v>
      </c>
      <c r="D44" s="660">
        <v>1207500</v>
      </c>
      <c r="E44" s="660">
        <v>0</v>
      </c>
      <c r="F44" s="660">
        <v>1889999.9999999998</v>
      </c>
      <c r="G44" s="660">
        <v>0</v>
      </c>
      <c r="H44" s="660"/>
      <c r="I44" s="660"/>
      <c r="J44" s="660">
        <f t="shared" ref="J44:J45" si="8">SUM(C44:I44)</f>
        <v>4305000</v>
      </c>
    </row>
    <row r="45" spans="1:10">
      <c r="A45" s="658"/>
      <c r="B45" s="658" t="s">
        <v>666</v>
      </c>
      <c r="C45" s="660">
        <v>16452433</v>
      </c>
      <c r="D45" s="660">
        <v>14937295</v>
      </c>
      <c r="E45" s="660">
        <v>16831217</v>
      </c>
      <c r="F45" s="660">
        <v>18395763</v>
      </c>
      <c r="G45" s="660">
        <v>18856891.999999996</v>
      </c>
      <c r="H45" s="660">
        <v>19103926</v>
      </c>
      <c r="I45" s="660">
        <v>0</v>
      </c>
      <c r="J45" s="660">
        <f t="shared" si="8"/>
        <v>104577526</v>
      </c>
    </row>
    <row r="46" spans="1:10" s="3" customFormat="1" ht="14.5">
      <c r="A46" s="661"/>
      <c r="B46" s="676" t="s">
        <v>661</v>
      </c>
      <c r="C46" s="677">
        <f>SUM(C43:C45)</f>
        <v>21934933</v>
      </c>
      <c r="D46" s="677">
        <f t="shared" ref="D46:J46" si="9">SUM(D43:D45)</f>
        <v>19939795</v>
      </c>
      <c r="E46" s="677">
        <f t="shared" si="9"/>
        <v>19306217</v>
      </c>
      <c r="F46" s="677">
        <f t="shared" si="9"/>
        <v>24305763</v>
      </c>
      <c r="G46" s="677">
        <f t="shared" si="9"/>
        <v>22441891.999999996</v>
      </c>
      <c r="H46" s="677">
        <f t="shared" si="9"/>
        <v>24218926</v>
      </c>
      <c r="I46" s="677">
        <f t="shared" si="9"/>
        <v>4665000</v>
      </c>
      <c r="J46" s="677">
        <f t="shared" si="9"/>
        <v>136812526</v>
      </c>
    </row>
    <row r="47" spans="1:10">
      <c r="A47" s="658"/>
      <c r="B47" s="658"/>
      <c r="C47" s="660"/>
      <c r="D47" s="660"/>
      <c r="E47" s="660"/>
      <c r="F47" s="660"/>
      <c r="G47" s="660"/>
      <c r="H47" s="660"/>
      <c r="I47" s="660"/>
      <c r="J47" s="660"/>
    </row>
    <row r="48" spans="1:10" ht="14.5">
      <c r="A48" s="658"/>
      <c r="B48" s="669" t="s">
        <v>268</v>
      </c>
      <c r="C48" s="659"/>
      <c r="D48" s="659"/>
      <c r="E48" s="659"/>
      <c r="F48" s="659"/>
      <c r="G48" s="659"/>
      <c r="H48" s="659"/>
      <c r="I48" s="659"/>
      <c r="J48" s="659"/>
    </row>
    <row r="49" spans="1:10">
      <c r="A49" s="658"/>
      <c r="B49" s="658" t="s">
        <v>652</v>
      </c>
      <c r="C49" s="660">
        <v>5595000.0000000009</v>
      </c>
      <c r="D49" s="660">
        <v>3135000</v>
      </c>
      <c r="E49" s="660">
        <v>2715000</v>
      </c>
      <c r="F49" s="660">
        <v>4530000</v>
      </c>
      <c r="G49" s="660">
        <v>4935000</v>
      </c>
      <c r="H49" s="660">
        <v>4335000</v>
      </c>
      <c r="I49" s="660">
        <v>4305000</v>
      </c>
      <c r="J49" s="660">
        <v>25245000</v>
      </c>
    </row>
    <row r="50" spans="1:10">
      <c r="A50" s="658"/>
      <c r="B50" s="658" t="s">
        <v>658</v>
      </c>
      <c r="C50" s="660">
        <v>0</v>
      </c>
      <c r="D50" s="660"/>
      <c r="E50" s="660">
        <v>7454999.9999999981</v>
      </c>
      <c r="F50" s="660">
        <v>7454999.9999999981</v>
      </c>
      <c r="G50" s="660">
        <v>0</v>
      </c>
      <c r="H50" s="660"/>
      <c r="I50" s="660">
        <v>7454999.9999999991</v>
      </c>
      <c r="J50" s="660">
        <v>22364999.999999996</v>
      </c>
    </row>
    <row r="51" spans="1:10">
      <c r="A51" s="658"/>
      <c r="B51" s="658" t="s">
        <v>666</v>
      </c>
      <c r="C51" s="660">
        <v>9076789.0000000019</v>
      </c>
      <c r="D51" s="660">
        <v>8500688.0000000019</v>
      </c>
      <c r="E51" s="660">
        <v>9742505</v>
      </c>
      <c r="F51" s="660">
        <v>9153601.9999999981</v>
      </c>
      <c r="G51" s="660">
        <v>7886180</v>
      </c>
      <c r="H51" s="660">
        <v>5908233.9999999991</v>
      </c>
      <c r="I51" s="660">
        <v>0</v>
      </c>
      <c r="J51" s="660">
        <v>50267998</v>
      </c>
    </row>
    <row r="52" spans="1:10" s="3" customFormat="1" ht="14.5">
      <c r="A52" s="661"/>
      <c r="B52" s="682" t="s">
        <v>661</v>
      </c>
      <c r="C52" s="683">
        <v>1149284721.6157458</v>
      </c>
      <c r="D52" s="683">
        <v>1138535157.025702</v>
      </c>
      <c r="E52" s="683">
        <v>1162801029.4452255</v>
      </c>
      <c r="F52" s="683">
        <v>1217825972.4184601</v>
      </c>
      <c r="G52" s="683">
        <v>1278340563.2</v>
      </c>
      <c r="H52" s="683">
        <v>1248336213.4583769</v>
      </c>
      <c r="I52" s="683">
        <v>1088424640</v>
      </c>
      <c r="J52" s="683">
        <v>8283548297.1635103</v>
      </c>
    </row>
    <row r="53" spans="1:10">
      <c r="A53" s="658"/>
      <c r="B53" s="658"/>
      <c r="C53" s="660"/>
      <c r="D53" s="660"/>
      <c r="E53" s="660"/>
      <c r="F53" s="660"/>
      <c r="G53" s="660"/>
      <c r="H53" s="660"/>
      <c r="I53" s="660"/>
      <c r="J53" s="660"/>
    </row>
    <row r="54" spans="1:10" ht="14.5">
      <c r="A54" s="658"/>
      <c r="B54" s="666" t="s">
        <v>667</v>
      </c>
      <c r="C54" s="659"/>
      <c r="D54" s="659"/>
      <c r="E54" s="659"/>
      <c r="F54" s="659"/>
      <c r="G54" s="659"/>
      <c r="H54" s="659"/>
      <c r="I54" s="659"/>
      <c r="J54" s="659"/>
    </row>
    <row r="55" spans="1:10">
      <c r="A55" s="658"/>
      <c r="B55" s="658" t="s">
        <v>652</v>
      </c>
      <c r="C55" s="660"/>
      <c r="D55" s="660"/>
      <c r="E55" s="660"/>
      <c r="F55" s="660"/>
      <c r="G55" s="660"/>
      <c r="H55" s="660">
        <v>225000</v>
      </c>
      <c r="I55" s="660">
        <v>555000</v>
      </c>
      <c r="J55" s="660">
        <v>225000</v>
      </c>
    </row>
    <row r="56" spans="1:10">
      <c r="A56" s="658"/>
      <c r="B56" s="658" t="s">
        <v>668</v>
      </c>
      <c r="C56" s="660">
        <v>3200000</v>
      </c>
      <c r="D56" s="660">
        <v>3200000</v>
      </c>
      <c r="E56" s="660">
        <v>3200000</v>
      </c>
      <c r="F56" s="660">
        <v>3200000</v>
      </c>
      <c r="G56" s="660">
        <v>3200000</v>
      </c>
      <c r="H56" s="660">
        <v>3200000</v>
      </c>
      <c r="I56" s="660">
        <v>3200000</v>
      </c>
      <c r="J56" s="660">
        <v>22400000</v>
      </c>
    </row>
    <row r="57" spans="1:10">
      <c r="A57" s="658"/>
      <c r="B57" s="658" t="s">
        <v>653</v>
      </c>
      <c r="C57" s="660">
        <v>12488448</v>
      </c>
      <c r="D57" s="660">
        <v>11963448</v>
      </c>
      <c r="E57" s="660">
        <v>11963448</v>
      </c>
      <c r="F57" s="660">
        <v>11963448</v>
      </c>
      <c r="G57" s="660">
        <v>11963448</v>
      </c>
      <c r="H57" s="660">
        <v>11963448</v>
      </c>
      <c r="I57" s="660">
        <v>11963448</v>
      </c>
      <c r="J57" s="660">
        <v>84269136</v>
      </c>
    </row>
    <row r="58" spans="1:10">
      <c r="A58" s="658"/>
      <c r="B58" s="658" t="s">
        <v>659</v>
      </c>
      <c r="C58" s="660">
        <v>0</v>
      </c>
      <c r="D58" s="660">
        <v>63150</v>
      </c>
      <c r="E58" s="660">
        <v>63150</v>
      </c>
      <c r="F58" s="660">
        <v>63150</v>
      </c>
      <c r="G58" s="660">
        <v>0</v>
      </c>
      <c r="H58" s="660">
        <v>69065</v>
      </c>
      <c r="I58" s="660">
        <v>0</v>
      </c>
      <c r="J58" s="660">
        <v>258515</v>
      </c>
    </row>
    <row r="59" spans="1:10" s="3" customFormat="1" ht="14.5">
      <c r="A59" s="661"/>
      <c r="B59" s="684" t="s">
        <v>661</v>
      </c>
      <c r="C59" s="685">
        <v>1149284721.6157458</v>
      </c>
      <c r="D59" s="685">
        <v>1138535157.025702</v>
      </c>
      <c r="E59" s="685">
        <v>1162801029.4452255</v>
      </c>
      <c r="F59" s="685">
        <v>1217825972.4184601</v>
      </c>
      <c r="G59" s="685">
        <v>1278340563.2</v>
      </c>
      <c r="H59" s="685">
        <v>1248336213.4583769</v>
      </c>
      <c r="I59" s="685">
        <v>1088424640</v>
      </c>
      <c r="J59" s="685">
        <v>8283548297.1635103</v>
      </c>
    </row>
    <row r="60" spans="1:10" ht="14.5">
      <c r="A60" s="678"/>
      <c r="B60" s="679" t="s">
        <v>217</v>
      </c>
      <c r="C60" s="680">
        <f>C14+C27+C33+C40+C46+C52+C59</f>
        <v>2641145761.2314916</v>
      </c>
      <c r="D60" s="680">
        <f t="shared" ref="D60:J60" si="10">D14+D27+D33+D40+D46+D52+D59</f>
        <v>2569295195.051404</v>
      </c>
      <c r="E60" s="680">
        <f t="shared" si="10"/>
        <v>2625959232.890451</v>
      </c>
      <c r="F60" s="680">
        <f t="shared" si="10"/>
        <v>2780303406.8369203</v>
      </c>
      <c r="G60" s="680">
        <f t="shared" si="10"/>
        <v>2890069962.4000001</v>
      </c>
      <c r="H60" s="680">
        <f t="shared" si="10"/>
        <v>2899377074.9167538</v>
      </c>
      <c r="I60" s="680">
        <f t="shared" si="10"/>
        <v>2523891932</v>
      </c>
      <c r="J60" s="680">
        <f t="shared" si="10"/>
        <v>18930042565.327019</v>
      </c>
    </row>
    <row r="64" spans="1:10">
      <c r="J64" s="681"/>
    </row>
  </sheetData>
  <mergeCells count="4">
    <mergeCell ref="A2:A3"/>
    <mergeCell ref="B2:B3"/>
    <mergeCell ref="C2:I2"/>
    <mergeCell ref="J2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679E-84CE-4834-BD7A-43BD70110967}">
  <dimension ref="A2:L153"/>
  <sheetViews>
    <sheetView showGridLines="0" topLeftCell="A91" workbookViewId="0">
      <selection activeCell="A91" sqref="A91"/>
    </sheetView>
  </sheetViews>
  <sheetFormatPr defaultRowHeight="14"/>
  <cols>
    <col min="1" max="1" width="2.81640625" bestFit="1" customWidth="1"/>
    <col min="2" max="2" width="23.36328125" customWidth="1"/>
    <col min="3" max="3" width="8.81640625" bestFit="1" customWidth="1"/>
    <col min="4" max="4" width="8.54296875" bestFit="1" customWidth="1"/>
    <col min="5" max="5" width="6.81640625" bestFit="1" customWidth="1"/>
    <col min="6" max="6" width="9.81640625" bestFit="1" customWidth="1"/>
    <col min="7" max="7" width="8.453125" bestFit="1" customWidth="1"/>
    <col min="8" max="8" width="12.1796875" bestFit="1" customWidth="1"/>
    <col min="9" max="9" width="0" hidden="1" customWidth="1"/>
    <col min="10" max="10" width="9.81640625" bestFit="1" customWidth="1"/>
  </cols>
  <sheetData>
    <row r="2" spans="1:9" s="3" customFormat="1" ht="14.5">
      <c r="A2" s="3" t="s">
        <v>239</v>
      </c>
    </row>
    <row r="3" spans="1:9">
      <c r="A3" s="287" t="s">
        <v>240</v>
      </c>
      <c r="B3" s="287" t="s">
        <v>241</v>
      </c>
      <c r="C3" s="287" t="s">
        <v>242</v>
      </c>
      <c r="D3" s="287" t="s">
        <v>243</v>
      </c>
      <c r="E3" s="300" t="s">
        <v>244</v>
      </c>
      <c r="F3" s="287" t="s">
        <v>245</v>
      </c>
      <c r="G3" s="288" t="s">
        <v>246</v>
      </c>
      <c r="H3" s="288" t="s">
        <v>247</v>
      </c>
    </row>
    <row r="4" spans="1:9">
      <c r="A4" s="289">
        <v>1</v>
      </c>
      <c r="B4" s="290" t="s">
        <v>248</v>
      </c>
      <c r="C4" s="289" t="s">
        <v>249</v>
      </c>
      <c r="D4" s="291">
        <v>860</v>
      </c>
      <c r="E4" s="299">
        <v>829</v>
      </c>
      <c r="F4" s="292">
        <v>15000</v>
      </c>
      <c r="G4" s="293">
        <f>D4*F4</f>
        <v>12900000</v>
      </c>
      <c r="H4" s="294">
        <f>E4*F4</f>
        <v>12435000</v>
      </c>
      <c r="I4" t="s">
        <v>230</v>
      </c>
    </row>
    <row r="5" spans="1:9">
      <c r="A5" s="289">
        <v>2</v>
      </c>
      <c r="B5" s="290" t="s">
        <v>250</v>
      </c>
      <c r="C5" s="289" t="s">
        <v>249</v>
      </c>
      <c r="D5" s="291">
        <v>55</v>
      </c>
      <c r="E5" s="299">
        <v>20</v>
      </c>
      <c r="F5" s="292">
        <v>15000</v>
      </c>
      <c r="G5" s="293">
        <f t="shared" ref="G5:G21" si="0">D5*F5</f>
        <v>825000</v>
      </c>
      <c r="H5" s="294">
        <f t="shared" ref="H5:H21" si="1">E5*F5</f>
        <v>300000</v>
      </c>
      <c r="I5" t="s">
        <v>251</v>
      </c>
    </row>
    <row r="6" spans="1:9">
      <c r="A6" s="289">
        <v>3</v>
      </c>
      <c r="B6" s="290" t="s">
        <v>252</v>
      </c>
      <c r="C6" s="289" t="s">
        <v>249</v>
      </c>
      <c r="D6" s="291">
        <v>60</v>
      </c>
      <c r="E6" s="299"/>
      <c r="F6" s="292">
        <v>15000</v>
      </c>
      <c r="G6" s="293">
        <f t="shared" si="0"/>
        <v>900000</v>
      </c>
      <c r="H6" s="294">
        <f t="shared" si="1"/>
        <v>0</v>
      </c>
      <c r="I6" t="s">
        <v>253</v>
      </c>
    </row>
    <row r="7" spans="1:9">
      <c r="A7" s="289">
        <v>4</v>
      </c>
      <c r="B7" s="290" t="s">
        <v>254</v>
      </c>
      <c r="C7" s="289" t="s">
        <v>249</v>
      </c>
      <c r="D7" s="291">
        <v>75</v>
      </c>
      <c r="E7" s="299">
        <v>19</v>
      </c>
      <c r="F7" s="292">
        <v>15000</v>
      </c>
      <c r="G7" s="293">
        <f t="shared" si="0"/>
        <v>1125000</v>
      </c>
      <c r="H7" s="294">
        <f t="shared" si="1"/>
        <v>285000</v>
      </c>
      <c r="I7" t="s">
        <v>253</v>
      </c>
    </row>
    <row r="8" spans="1:9">
      <c r="A8" s="289">
        <v>5</v>
      </c>
      <c r="B8" s="290" t="s">
        <v>255</v>
      </c>
      <c r="C8" s="289" t="s">
        <v>249</v>
      </c>
      <c r="D8" s="291">
        <v>55</v>
      </c>
      <c r="E8" s="299">
        <v>20</v>
      </c>
      <c r="F8" s="292">
        <v>15000</v>
      </c>
      <c r="G8" s="293">
        <f t="shared" si="0"/>
        <v>825000</v>
      </c>
      <c r="H8" s="294">
        <f t="shared" si="1"/>
        <v>300000</v>
      </c>
      <c r="I8" t="s">
        <v>256</v>
      </c>
    </row>
    <row r="9" spans="1:9">
      <c r="A9" s="289">
        <v>6</v>
      </c>
      <c r="B9" s="290" t="s">
        <v>257</v>
      </c>
      <c r="C9" s="289" t="s">
        <v>249</v>
      </c>
      <c r="D9" s="291">
        <v>95</v>
      </c>
      <c r="E9" s="299"/>
      <c r="F9" s="292">
        <v>15000</v>
      </c>
      <c r="G9" s="293">
        <f t="shared" si="0"/>
        <v>1425000</v>
      </c>
      <c r="H9" s="294">
        <f t="shared" si="1"/>
        <v>0</v>
      </c>
      <c r="I9" t="s">
        <v>258</v>
      </c>
    </row>
    <row r="10" spans="1:9">
      <c r="A10" s="289">
        <v>7</v>
      </c>
      <c r="B10" s="290" t="s">
        <v>259</v>
      </c>
      <c r="C10" s="289" t="s">
        <v>249</v>
      </c>
      <c r="D10" s="291">
        <v>260</v>
      </c>
      <c r="E10" s="299">
        <v>178</v>
      </c>
      <c r="F10" s="292">
        <v>15000</v>
      </c>
      <c r="G10" s="293">
        <f t="shared" si="0"/>
        <v>3900000</v>
      </c>
      <c r="H10" s="294">
        <f t="shared" si="1"/>
        <v>2670000</v>
      </c>
      <c r="I10" t="s">
        <v>161</v>
      </c>
    </row>
    <row r="11" spans="1:9">
      <c r="A11" s="289">
        <v>8</v>
      </c>
      <c r="B11" s="290" t="s">
        <v>260</v>
      </c>
      <c r="C11" s="289" t="s">
        <v>249</v>
      </c>
      <c r="D11" s="291">
        <v>60</v>
      </c>
      <c r="E11" s="299">
        <v>21</v>
      </c>
      <c r="F11" s="292">
        <v>15000</v>
      </c>
      <c r="G11" s="293">
        <f t="shared" si="0"/>
        <v>900000</v>
      </c>
      <c r="H11" s="294">
        <f t="shared" si="1"/>
        <v>315000</v>
      </c>
      <c r="I11" t="s">
        <v>261</v>
      </c>
    </row>
    <row r="12" spans="1:9">
      <c r="A12" s="289">
        <v>9</v>
      </c>
      <c r="B12" s="290" t="s">
        <v>262</v>
      </c>
      <c r="C12" s="289" t="s">
        <v>249</v>
      </c>
      <c r="D12" s="291">
        <v>65</v>
      </c>
      <c r="E12" s="299">
        <v>25</v>
      </c>
      <c r="F12" s="292">
        <v>15000</v>
      </c>
      <c r="G12" s="293">
        <f t="shared" si="0"/>
        <v>975000</v>
      </c>
      <c r="H12" s="294">
        <f t="shared" si="1"/>
        <v>375000</v>
      </c>
      <c r="I12" t="s">
        <v>263</v>
      </c>
    </row>
    <row r="13" spans="1:9">
      <c r="A13" s="289">
        <v>10</v>
      </c>
      <c r="B13" s="290" t="s">
        <v>264</v>
      </c>
      <c r="C13" s="289" t="s">
        <v>249</v>
      </c>
      <c r="D13" s="291">
        <v>55</v>
      </c>
      <c r="E13" s="299">
        <v>22</v>
      </c>
      <c r="F13" s="292">
        <v>15000</v>
      </c>
      <c r="G13" s="293">
        <f t="shared" si="0"/>
        <v>825000</v>
      </c>
      <c r="H13" s="294">
        <f t="shared" si="1"/>
        <v>330000</v>
      </c>
      <c r="I13" t="s">
        <v>265</v>
      </c>
    </row>
    <row r="14" spans="1:9">
      <c r="A14" s="289">
        <v>11</v>
      </c>
      <c r="B14" s="290" t="s">
        <v>266</v>
      </c>
      <c r="C14" s="289" t="s">
        <v>249</v>
      </c>
      <c r="D14" s="291">
        <v>60</v>
      </c>
      <c r="E14" s="299">
        <v>21</v>
      </c>
      <c r="F14" s="292">
        <v>15000</v>
      </c>
      <c r="G14" s="293">
        <f t="shared" si="0"/>
        <v>900000</v>
      </c>
      <c r="H14" s="294">
        <f t="shared" si="1"/>
        <v>315000</v>
      </c>
      <c r="I14" t="s">
        <v>267</v>
      </c>
    </row>
    <row r="15" spans="1:9">
      <c r="A15" s="289">
        <v>12</v>
      </c>
      <c r="B15" s="290" t="s">
        <v>268</v>
      </c>
      <c r="C15" s="289" t="s">
        <v>249</v>
      </c>
      <c r="D15" s="291">
        <v>335</v>
      </c>
      <c r="E15" s="299">
        <v>373</v>
      </c>
      <c r="F15" s="292">
        <v>15000</v>
      </c>
      <c r="G15" s="293">
        <f t="shared" si="0"/>
        <v>5025000</v>
      </c>
      <c r="H15" s="294">
        <f t="shared" si="1"/>
        <v>5595000</v>
      </c>
      <c r="I15" t="s">
        <v>269</v>
      </c>
    </row>
    <row r="16" spans="1:9">
      <c r="A16" s="289">
        <v>13</v>
      </c>
      <c r="B16" s="290" t="s">
        <v>270</v>
      </c>
      <c r="C16" s="289" t="s">
        <v>249</v>
      </c>
      <c r="D16" s="291">
        <v>55</v>
      </c>
      <c r="E16" s="299">
        <v>10</v>
      </c>
      <c r="F16" s="292">
        <v>15000</v>
      </c>
      <c r="G16" s="293">
        <f t="shared" si="0"/>
        <v>825000</v>
      </c>
      <c r="H16" s="294">
        <f t="shared" si="1"/>
        <v>150000</v>
      </c>
      <c r="I16" t="s">
        <v>271</v>
      </c>
    </row>
    <row r="17" spans="1:12">
      <c r="A17" s="289">
        <v>14</v>
      </c>
      <c r="B17" s="290" t="s">
        <v>272</v>
      </c>
      <c r="C17" s="289" t="s">
        <v>249</v>
      </c>
      <c r="D17" s="291">
        <v>360</v>
      </c>
      <c r="E17" s="299">
        <v>199</v>
      </c>
      <c r="F17" s="292">
        <v>15000</v>
      </c>
      <c r="G17" s="293">
        <f t="shared" si="0"/>
        <v>5400000</v>
      </c>
      <c r="H17" s="294">
        <f t="shared" si="1"/>
        <v>2985000</v>
      </c>
      <c r="I17" t="s">
        <v>233</v>
      </c>
    </row>
    <row r="18" spans="1:12">
      <c r="A18" s="289">
        <v>15</v>
      </c>
      <c r="B18" s="290" t="s">
        <v>273</v>
      </c>
      <c r="C18" s="289" t="s">
        <v>249</v>
      </c>
      <c r="D18" s="291">
        <v>585</v>
      </c>
      <c r="E18" s="299">
        <v>509</v>
      </c>
      <c r="F18" s="292">
        <v>15000</v>
      </c>
      <c r="G18" s="293">
        <f t="shared" si="0"/>
        <v>8775000</v>
      </c>
      <c r="H18" s="294">
        <f t="shared" si="1"/>
        <v>7635000</v>
      </c>
      <c r="I18" t="s">
        <v>232</v>
      </c>
    </row>
    <row r="19" spans="1:12">
      <c r="A19" s="289">
        <v>16</v>
      </c>
      <c r="B19" s="290" t="s">
        <v>274</v>
      </c>
      <c r="C19" s="289" t="s">
        <v>249</v>
      </c>
      <c r="D19" s="291">
        <v>70</v>
      </c>
      <c r="E19" s="299">
        <v>127</v>
      </c>
      <c r="F19" s="292">
        <v>15000</v>
      </c>
      <c r="G19" s="293">
        <f t="shared" si="0"/>
        <v>1050000</v>
      </c>
      <c r="H19" s="294">
        <f t="shared" si="1"/>
        <v>1905000</v>
      </c>
      <c r="I19" t="s">
        <v>275</v>
      </c>
    </row>
    <row r="20" spans="1:12">
      <c r="A20" s="289">
        <v>17</v>
      </c>
      <c r="B20" s="290" t="s">
        <v>276</v>
      </c>
      <c r="C20" s="289" t="s">
        <v>249</v>
      </c>
      <c r="D20" s="291">
        <v>190</v>
      </c>
      <c r="E20" s="299">
        <v>158</v>
      </c>
      <c r="F20" s="292">
        <v>15000</v>
      </c>
      <c r="G20" s="293">
        <f t="shared" si="0"/>
        <v>2850000</v>
      </c>
      <c r="H20" s="294">
        <f t="shared" si="1"/>
        <v>2370000</v>
      </c>
    </row>
    <row r="21" spans="1:12">
      <c r="A21" s="289">
        <v>18</v>
      </c>
      <c r="B21" s="295" t="s">
        <v>277</v>
      </c>
      <c r="C21" s="289" t="s">
        <v>249</v>
      </c>
      <c r="D21" s="291">
        <v>70</v>
      </c>
      <c r="E21" s="299">
        <v>35</v>
      </c>
      <c r="F21" s="292">
        <v>15000</v>
      </c>
      <c r="G21" s="293">
        <f t="shared" si="0"/>
        <v>1050000</v>
      </c>
      <c r="H21" s="294">
        <f t="shared" si="1"/>
        <v>525000</v>
      </c>
      <c r="I21" t="s">
        <v>278</v>
      </c>
    </row>
    <row r="22" spans="1:12">
      <c r="A22" s="735" t="s">
        <v>279</v>
      </c>
      <c r="B22" s="736"/>
      <c r="C22" s="737"/>
      <c r="D22" s="296">
        <f>SUM(D4:D21)</f>
        <v>3365</v>
      </c>
      <c r="E22" s="301">
        <f>SUM(E4:E21)</f>
        <v>2566</v>
      </c>
      <c r="F22" s="296"/>
      <c r="G22" s="296">
        <f>SUM(G4:G21)</f>
        <v>50475000</v>
      </c>
      <c r="H22" s="296">
        <f>SUM(H4:H21)</f>
        <v>38490000</v>
      </c>
    </row>
    <row r="24" spans="1:12" s="3" customFormat="1" ht="14.5">
      <c r="A24" s="3" t="s">
        <v>280</v>
      </c>
      <c r="L24" s="298"/>
    </row>
    <row r="25" spans="1:12">
      <c r="A25" s="287" t="s">
        <v>240</v>
      </c>
      <c r="B25" s="287" t="s">
        <v>241</v>
      </c>
      <c r="C25" s="287" t="s">
        <v>242</v>
      </c>
      <c r="D25" s="287" t="s">
        <v>243</v>
      </c>
      <c r="E25" s="300" t="s">
        <v>244</v>
      </c>
      <c r="F25" s="287" t="s">
        <v>245</v>
      </c>
      <c r="G25" s="288" t="s">
        <v>246</v>
      </c>
      <c r="H25" s="288" t="s">
        <v>247</v>
      </c>
    </row>
    <row r="26" spans="1:12">
      <c r="A26" s="289">
        <v>1</v>
      </c>
      <c r="B26" s="290" t="s">
        <v>248</v>
      </c>
      <c r="C26" s="289" t="s">
        <v>281</v>
      </c>
      <c r="D26" s="291">
        <v>850</v>
      </c>
      <c r="E26" s="299">
        <v>552</v>
      </c>
      <c r="F26" s="292">
        <v>15000</v>
      </c>
      <c r="G26" s="293">
        <f>D26*F26</f>
        <v>12750000</v>
      </c>
      <c r="H26" s="294">
        <f>E26*F26</f>
        <v>8280000</v>
      </c>
    </row>
    <row r="27" spans="1:12">
      <c r="A27" s="289">
        <v>2</v>
      </c>
      <c r="B27" s="290" t="s">
        <v>250</v>
      </c>
      <c r="C27" s="289" t="s">
        <v>281</v>
      </c>
      <c r="D27" s="291">
        <v>50</v>
      </c>
      <c r="E27" s="299">
        <v>16</v>
      </c>
      <c r="F27" s="292">
        <v>15000</v>
      </c>
      <c r="G27" s="293">
        <f t="shared" ref="G27:G42" si="2">D27*F27</f>
        <v>750000</v>
      </c>
      <c r="H27" s="294">
        <f t="shared" ref="H27:H42" si="3">E27*F27</f>
        <v>240000</v>
      </c>
    </row>
    <row r="28" spans="1:12">
      <c r="A28" s="289">
        <v>3</v>
      </c>
      <c r="B28" s="290" t="s">
        <v>252</v>
      </c>
      <c r="C28" s="289" t="s">
        <v>281</v>
      </c>
      <c r="D28" s="291">
        <v>60</v>
      </c>
      <c r="E28" s="299"/>
      <c r="F28" s="292">
        <v>15000</v>
      </c>
      <c r="G28" s="293">
        <f t="shared" si="2"/>
        <v>900000</v>
      </c>
      <c r="H28" s="294">
        <f t="shared" si="3"/>
        <v>0</v>
      </c>
    </row>
    <row r="29" spans="1:12">
      <c r="A29" s="289">
        <v>4</v>
      </c>
      <c r="B29" s="290" t="s">
        <v>254</v>
      </c>
      <c r="C29" s="289" t="s">
        <v>281</v>
      </c>
      <c r="D29" s="291">
        <v>75</v>
      </c>
      <c r="E29" s="299">
        <v>18</v>
      </c>
      <c r="F29" s="292">
        <v>15000</v>
      </c>
      <c r="G29" s="293">
        <f t="shared" si="2"/>
        <v>1125000</v>
      </c>
      <c r="H29" s="294">
        <f t="shared" si="3"/>
        <v>270000</v>
      </c>
    </row>
    <row r="30" spans="1:12">
      <c r="A30" s="289">
        <v>5</v>
      </c>
      <c r="B30" s="290" t="s">
        <v>255</v>
      </c>
      <c r="C30" s="289" t="s">
        <v>281</v>
      </c>
      <c r="D30" s="291">
        <v>55</v>
      </c>
      <c r="E30" s="299">
        <v>26</v>
      </c>
      <c r="F30" s="292">
        <v>15000</v>
      </c>
      <c r="G30" s="293">
        <f t="shared" si="2"/>
        <v>825000</v>
      </c>
      <c r="H30" s="294">
        <f t="shared" si="3"/>
        <v>390000</v>
      </c>
    </row>
    <row r="31" spans="1:12">
      <c r="A31" s="289">
        <v>6</v>
      </c>
      <c r="B31" s="290" t="s">
        <v>259</v>
      </c>
      <c r="C31" s="289" t="s">
        <v>281</v>
      </c>
      <c r="D31" s="291">
        <v>260</v>
      </c>
      <c r="E31" s="299">
        <v>146</v>
      </c>
      <c r="F31" s="292">
        <v>15000</v>
      </c>
      <c r="G31" s="293">
        <f t="shared" si="2"/>
        <v>3900000</v>
      </c>
      <c r="H31" s="294">
        <f t="shared" si="3"/>
        <v>2190000</v>
      </c>
    </row>
    <row r="32" spans="1:12">
      <c r="A32" s="289">
        <v>7</v>
      </c>
      <c r="B32" s="290" t="s">
        <v>260</v>
      </c>
      <c r="C32" s="289" t="s">
        <v>281</v>
      </c>
      <c r="D32" s="291">
        <v>60</v>
      </c>
      <c r="E32" s="299">
        <v>20</v>
      </c>
      <c r="F32" s="292">
        <v>15000</v>
      </c>
      <c r="G32" s="293">
        <f t="shared" si="2"/>
        <v>900000</v>
      </c>
      <c r="H32" s="294">
        <f t="shared" si="3"/>
        <v>300000</v>
      </c>
    </row>
    <row r="33" spans="1:8">
      <c r="A33" s="289">
        <v>8</v>
      </c>
      <c r="B33" s="290" t="s">
        <v>262</v>
      </c>
      <c r="C33" s="289" t="s">
        <v>281</v>
      </c>
      <c r="D33" s="291">
        <v>65</v>
      </c>
      <c r="E33" s="299">
        <v>12</v>
      </c>
      <c r="F33" s="292">
        <v>15000</v>
      </c>
      <c r="G33" s="293">
        <f t="shared" si="2"/>
        <v>975000</v>
      </c>
      <c r="H33" s="294">
        <f t="shared" si="3"/>
        <v>180000</v>
      </c>
    </row>
    <row r="34" spans="1:8">
      <c r="A34" s="289">
        <v>9</v>
      </c>
      <c r="B34" s="290" t="s">
        <v>264</v>
      </c>
      <c r="C34" s="289" t="s">
        <v>281</v>
      </c>
      <c r="D34" s="291">
        <v>60</v>
      </c>
      <c r="E34" s="299">
        <v>14</v>
      </c>
      <c r="F34" s="292">
        <v>15000</v>
      </c>
      <c r="G34" s="293">
        <f t="shared" si="2"/>
        <v>900000</v>
      </c>
      <c r="H34" s="294">
        <f t="shared" si="3"/>
        <v>210000</v>
      </c>
    </row>
    <row r="35" spans="1:8">
      <c r="A35" s="289">
        <v>10</v>
      </c>
      <c r="B35" s="290" t="s">
        <v>266</v>
      </c>
      <c r="C35" s="289" t="s">
        <v>281</v>
      </c>
      <c r="D35" s="291">
        <v>60</v>
      </c>
      <c r="E35" s="299">
        <v>18</v>
      </c>
      <c r="F35" s="292">
        <v>15000</v>
      </c>
      <c r="G35" s="293">
        <f t="shared" si="2"/>
        <v>900000</v>
      </c>
      <c r="H35" s="294">
        <f t="shared" si="3"/>
        <v>270000</v>
      </c>
    </row>
    <row r="36" spans="1:8">
      <c r="A36" s="289">
        <v>11</v>
      </c>
      <c r="B36" s="290" t="s">
        <v>268</v>
      </c>
      <c r="C36" s="289" t="s">
        <v>281</v>
      </c>
      <c r="D36" s="291">
        <v>335</v>
      </c>
      <c r="E36" s="299">
        <v>209</v>
      </c>
      <c r="F36" s="292">
        <v>15000</v>
      </c>
      <c r="G36" s="293">
        <f t="shared" si="2"/>
        <v>5025000</v>
      </c>
      <c r="H36" s="294">
        <f t="shared" si="3"/>
        <v>3135000</v>
      </c>
    </row>
    <row r="37" spans="1:8">
      <c r="A37" s="289">
        <v>12</v>
      </c>
      <c r="B37" s="290" t="s">
        <v>270</v>
      </c>
      <c r="C37" s="289" t="s">
        <v>281</v>
      </c>
      <c r="D37" s="291">
        <v>55</v>
      </c>
      <c r="E37" s="299">
        <v>7</v>
      </c>
      <c r="F37" s="292">
        <v>15000</v>
      </c>
      <c r="G37" s="293">
        <f t="shared" si="2"/>
        <v>825000</v>
      </c>
      <c r="H37" s="294">
        <f t="shared" si="3"/>
        <v>105000</v>
      </c>
    </row>
    <row r="38" spans="1:8">
      <c r="A38" s="289">
        <v>13</v>
      </c>
      <c r="B38" s="290" t="s">
        <v>272</v>
      </c>
      <c r="C38" s="289" t="s">
        <v>281</v>
      </c>
      <c r="D38" s="291">
        <v>360</v>
      </c>
      <c r="E38" s="299">
        <v>140</v>
      </c>
      <c r="F38" s="292">
        <v>15000</v>
      </c>
      <c r="G38" s="293">
        <f t="shared" si="2"/>
        <v>5400000</v>
      </c>
      <c r="H38" s="294">
        <f t="shared" si="3"/>
        <v>2100000</v>
      </c>
    </row>
    <row r="39" spans="1:8">
      <c r="A39" s="289">
        <v>14</v>
      </c>
      <c r="B39" s="290" t="s">
        <v>273</v>
      </c>
      <c r="C39" s="289" t="s">
        <v>281</v>
      </c>
      <c r="D39" s="291">
        <v>600</v>
      </c>
      <c r="E39" s="299">
        <v>371</v>
      </c>
      <c r="F39" s="292">
        <v>15000</v>
      </c>
      <c r="G39" s="293">
        <f t="shared" si="2"/>
        <v>9000000</v>
      </c>
      <c r="H39" s="294">
        <f t="shared" si="3"/>
        <v>5565000</v>
      </c>
    </row>
    <row r="40" spans="1:8">
      <c r="A40" s="289">
        <v>15</v>
      </c>
      <c r="B40" s="290" t="s">
        <v>274</v>
      </c>
      <c r="C40" s="289" t="s">
        <v>281</v>
      </c>
      <c r="D40" s="291">
        <v>75</v>
      </c>
      <c r="E40" s="299">
        <v>120</v>
      </c>
      <c r="F40" s="292">
        <v>15000</v>
      </c>
      <c r="G40" s="293">
        <f t="shared" si="2"/>
        <v>1125000</v>
      </c>
      <c r="H40" s="294">
        <f t="shared" si="3"/>
        <v>1800000</v>
      </c>
    </row>
    <row r="41" spans="1:8">
      <c r="A41" s="289">
        <v>16</v>
      </c>
      <c r="B41" s="290" t="s">
        <v>276</v>
      </c>
      <c r="C41" s="289" t="s">
        <v>281</v>
      </c>
      <c r="D41" s="291">
        <v>190</v>
      </c>
      <c r="E41" s="299">
        <v>133</v>
      </c>
      <c r="F41" s="292">
        <v>15000</v>
      </c>
      <c r="G41" s="293">
        <f t="shared" si="2"/>
        <v>2850000</v>
      </c>
      <c r="H41" s="294">
        <f t="shared" si="3"/>
        <v>1995000</v>
      </c>
    </row>
    <row r="42" spans="1:8">
      <c r="A42" s="289">
        <v>17</v>
      </c>
      <c r="B42" s="295" t="s">
        <v>277</v>
      </c>
      <c r="C42" s="289" t="s">
        <v>281</v>
      </c>
      <c r="D42" s="291">
        <v>70</v>
      </c>
      <c r="E42" s="299"/>
      <c r="F42" s="292">
        <v>15000</v>
      </c>
      <c r="G42" s="293">
        <f t="shared" si="2"/>
        <v>1050000</v>
      </c>
      <c r="H42" s="294">
        <f t="shared" si="3"/>
        <v>0</v>
      </c>
    </row>
    <row r="43" spans="1:8">
      <c r="A43" s="735" t="s">
        <v>279</v>
      </c>
      <c r="B43" s="736"/>
      <c r="C43" s="737"/>
      <c r="D43" s="296">
        <f>SUM(D26:D42)</f>
        <v>3280</v>
      </c>
      <c r="E43" s="301">
        <f>SUM(E26:E42)</f>
        <v>1802</v>
      </c>
      <c r="F43" s="296"/>
      <c r="G43" s="296">
        <f>SUM(G26:G42)</f>
        <v>49200000</v>
      </c>
      <c r="H43" s="296">
        <f>SUM(H26:H42)</f>
        <v>27030000</v>
      </c>
    </row>
    <row r="45" spans="1:8" s="3" customFormat="1" ht="14.5">
      <c r="A45" s="3" t="s">
        <v>282</v>
      </c>
    </row>
    <row r="46" spans="1:8">
      <c r="A46" s="287" t="s">
        <v>240</v>
      </c>
      <c r="B46" s="287" t="s">
        <v>241</v>
      </c>
      <c r="C46" s="287" t="s">
        <v>242</v>
      </c>
      <c r="D46" s="287" t="s">
        <v>243</v>
      </c>
      <c r="E46" s="300" t="s">
        <v>244</v>
      </c>
      <c r="F46" s="287" t="s">
        <v>245</v>
      </c>
      <c r="G46" s="288" t="s">
        <v>246</v>
      </c>
      <c r="H46" s="288" t="s">
        <v>247</v>
      </c>
    </row>
    <row r="47" spans="1:8">
      <c r="A47" s="289">
        <v>1</v>
      </c>
      <c r="B47" s="290" t="s">
        <v>248</v>
      </c>
      <c r="C47" s="289" t="s">
        <v>283</v>
      </c>
      <c r="D47" s="291">
        <v>850</v>
      </c>
      <c r="E47" s="299">
        <v>286</v>
      </c>
      <c r="F47" s="292">
        <v>15000</v>
      </c>
      <c r="G47" s="293">
        <f>D47*F47</f>
        <v>12750000</v>
      </c>
      <c r="H47" s="294">
        <f>E47*F47</f>
        <v>4290000</v>
      </c>
    </row>
    <row r="48" spans="1:8">
      <c r="A48" s="289">
        <v>2</v>
      </c>
      <c r="B48" s="290" t="s">
        <v>250</v>
      </c>
      <c r="C48" s="289" t="s">
        <v>283</v>
      </c>
      <c r="D48" s="291">
        <v>50</v>
      </c>
      <c r="E48" s="299">
        <v>13</v>
      </c>
      <c r="F48" s="292">
        <v>15000</v>
      </c>
      <c r="G48" s="293">
        <f t="shared" ref="G48:G64" si="4">D48*F48</f>
        <v>750000</v>
      </c>
      <c r="H48" s="294">
        <f t="shared" ref="H48:H64" si="5">E48*F48</f>
        <v>195000</v>
      </c>
    </row>
    <row r="49" spans="1:8">
      <c r="A49" s="289">
        <v>3</v>
      </c>
      <c r="B49" s="290" t="s">
        <v>252</v>
      </c>
      <c r="C49" s="289" t="s">
        <v>283</v>
      </c>
      <c r="D49" s="291">
        <v>60</v>
      </c>
      <c r="E49" s="299"/>
      <c r="F49" s="292">
        <v>15000</v>
      </c>
      <c r="G49" s="293">
        <f t="shared" si="4"/>
        <v>900000</v>
      </c>
      <c r="H49" s="294">
        <f t="shared" si="5"/>
        <v>0</v>
      </c>
    </row>
    <row r="50" spans="1:8">
      <c r="A50" s="289">
        <v>4</v>
      </c>
      <c r="B50" s="290" t="s">
        <v>254</v>
      </c>
      <c r="C50" s="289" t="s">
        <v>283</v>
      </c>
      <c r="D50" s="291">
        <v>75</v>
      </c>
      <c r="E50" s="299">
        <v>8</v>
      </c>
      <c r="F50" s="292">
        <v>15000</v>
      </c>
      <c r="G50" s="293">
        <f t="shared" si="4"/>
        <v>1125000</v>
      </c>
      <c r="H50" s="294">
        <f t="shared" si="5"/>
        <v>120000</v>
      </c>
    </row>
    <row r="51" spans="1:8">
      <c r="A51" s="289">
        <v>5</v>
      </c>
      <c r="B51" s="290" t="s">
        <v>255</v>
      </c>
      <c r="C51" s="289" t="s">
        <v>283</v>
      </c>
      <c r="D51" s="291">
        <v>55</v>
      </c>
      <c r="E51" s="299">
        <v>30</v>
      </c>
      <c r="F51" s="292">
        <v>15000</v>
      </c>
      <c r="G51" s="293">
        <f t="shared" si="4"/>
        <v>825000</v>
      </c>
      <c r="H51" s="294">
        <f t="shared" si="5"/>
        <v>450000</v>
      </c>
    </row>
    <row r="52" spans="1:8">
      <c r="A52" s="289">
        <v>6</v>
      </c>
      <c r="B52" s="290" t="s">
        <v>284</v>
      </c>
      <c r="C52" s="289" t="s">
        <v>283</v>
      </c>
      <c r="D52" s="291">
        <v>15</v>
      </c>
      <c r="E52" s="299">
        <v>9</v>
      </c>
      <c r="F52" s="292">
        <v>15000</v>
      </c>
      <c r="G52" s="293">
        <f t="shared" si="4"/>
        <v>225000</v>
      </c>
      <c r="H52" s="294">
        <f t="shared" si="5"/>
        <v>135000</v>
      </c>
    </row>
    <row r="53" spans="1:8">
      <c r="A53" s="289">
        <v>7</v>
      </c>
      <c r="B53" s="290" t="s">
        <v>259</v>
      </c>
      <c r="C53" s="289" t="s">
        <v>283</v>
      </c>
      <c r="D53" s="291">
        <v>260</v>
      </c>
      <c r="E53" s="299">
        <v>120</v>
      </c>
      <c r="F53" s="292">
        <v>15000</v>
      </c>
      <c r="G53" s="293">
        <f t="shared" si="4"/>
        <v>3900000</v>
      </c>
      <c r="H53" s="294">
        <f t="shared" si="5"/>
        <v>1800000</v>
      </c>
    </row>
    <row r="54" spans="1:8">
      <c r="A54" s="289">
        <v>8</v>
      </c>
      <c r="B54" s="290" t="s">
        <v>260</v>
      </c>
      <c r="C54" s="289" t="s">
        <v>283</v>
      </c>
      <c r="D54" s="291">
        <v>60</v>
      </c>
      <c r="E54" s="299">
        <v>10</v>
      </c>
      <c r="F54" s="292">
        <v>15000</v>
      </c>
      <c r="G54" s="293">
        <f t="shared" si="4"/>
        <v>900000</v>
      </c>
      <c r="H54" s="294">
        <f t="shared" si="5"/>
        <v>150000</v>
      </c>
    </row>
    <row r="55" spans="1:8">
      <c r="A55" s="289">
        <v>9</v>
      </c>
      <c r="B55" s="290" t="s">
        <v>262</v>
      </c>
      <c r="C55" s="289" t="s">
        <v>283</v>
      </c>
      <c r="D55" s="291">
        <v>65</v>
      </c>
      <c r="E55" s="299">
        <v>23</v>
      </c>
      <c r="F55" s="292">
        <v>15000</v>
      </c>
      <c r="G55" s="293">
        <f t="shared" si="4"/>
        <v>975000</v>
      </c>
      <c r="H55" s="294">
        <f t="shared" si="5"/>
        <v>345000</v>
      </c>
    </row>
    <row r="56" spans="1:8">
      <c r="A56" s="289">
        <v>10</v>
      </c>
      <c r="B56" s="290" t="s">
        <v>264</v>
      </c>
      <c r="C56" s="289" t="s">
        <v>283</v>
      </c>
      <c r="D56" s="291">
        <v>60</v>
      </c>
      <c r="E56" s="299">
        <v>5</v>
      </c>
      <c r="F56" s="292">
        <v>15000</v>
      </c>
      <c r="G56" s="293">
        <f t="shared" si="4"/>
        <v>900000</v>
      </c>
      <c r="H56" s="294">
        <f t="shared" si="5"/>
        <v>75000</v>
      </c>
    </row>
    <row r="57" spans="1:8">
      <c r="A57" s="289">
        <v>11</v>
      </c>
      <c r="B57" s="290" t="s">
        <v>266</v>
      </c>
      <c r="C57" s="289" t="s">
        <v>283</v>
      </c>
      <c r="D57" s="291">
        <v>60</v>
      </c>
      <c r="E57" s="299">
        <v>16</v>
      </c>
      <c r="F57" s="292">
        <v>15000</v>
      </c>
      <c r="G57" s="293">
        <f t="shared" si="4"/>
        <v>900000</v>
      </c>
      <c r="H57" s="294">
        <f t="shared" si="5"/>
        <v>240000</v>
      </c>
    </row>
    <row r="58" spans="1:8">
      <c r="A58" s="289">
        <v>12</v>
      </c>
      <c r="B58" s="290" t="s">
        <v>268</v>
      </c>
      <c r="C58" s="289" t="s">
        <v>283</v>
      </c>
      <c r="D58" s="291">
        <v>335</v>
      </c>
      <c r="E58" s="299">
        <v>181</v>
      </c>
      <c r="F58" s="292">
        <v>15000</v>
      </c>
      <c r="G58" s="293">
        <f t="shared" si="4"/>
        <v>5025000</v>
      </c>
      <c r="H58" s="294">
        <f t="shared" si="5"/>
        <v>2715000</v>
      </c>
    </row>
    <row r="59" spans="1:8">
      <c r="A59" s="289">
        <v>13</v>
      </c>
      <c r="B59" s="290" t="s">
        <v>270</v>
      </c>
      <c r="C59" s="289" t="s">
        <v>283</v>
      </c>
      <c r="D59" s="291">
        <v>55</v>
      </c>
      <c r="E59" s="299">
        <v>8</v>
      </c>
      <c r="F59" s="292">
        <v>15000</v>
      </c>
      <c r="G59" s="293">
        <f t="shared" si="4"/>
        <v>825000</v>
      </c>
      <c r="H59" s="294">
        <f t="shared" si="5"/>
        <v>120000</v>
      </c>
    </row>
    <row r="60" spans="1:8">
      <c r="A60" s="289">
        <v>14</v>
      </c>
      <c r="B60" s="290" t="s">
        <v>272</v>
      </c>
      <c r="C60" s="289" t="s">
        <v>283</v>
      </c>
      <c r="D60" s="291">
        <v>360</v>
      </c>
      <c r="E60" s="299">
        <v>90</v>
      </c>
      <c r="F60" s="292">
        <v>15000</v>
      </c>
      <c r="G60" s="293">
        <f t="shared" si="4"/>
        <v>5400000</v>
      </c>
      <c r="H60" s="294">
        <f t="shared" si="5"/>
        <v>1350000</v>
      </c>
    </row>
    <row r="61" spans="1:8">
      <c r="A61" s="289">
        <v>15</v>
      </c>
      <c r="B61" s="290" t="s">
        <v>273</v>
      </c>
      <c r="C61" s="289" t="s">
        <v>283</v>
      </c>
      <c r="D61" s="291">
        <v>600</v>
      </c>
      <c r="E61" s="299">
        <v>290</v>
      </c>
      <c r="F61" s="292">
        <v>15000</v>
      </c>
      <c r="G61" s="293">
        <f t="shared" si="4"/>
        <v>9000000</v>
      </c>
      <c r="H61" s="294">
        <f t="shared" si="5"/>
        <v>4350000</v>
      </c>
    </row>
    <row r="62" spans="1:8">
      <c r="A62" s="289">
        <v>16</v>
      </c>
      <c r="B62" s="290" t="s">
        <v>274</v>
      </c>
      <c r="C62" s="289" t="s">
        <v>283</v>
      </c>
      <c r="D62" s="291">
        <v>75</v>
      </c>
      <c r="E62" s="299">
        <v>81</v>
      </c>
      <c r="F62" s="292">
        <v>15000</v>
      </c>
      <c r="G62" s="293">
        <f t="shared" si="4"/>
        <v>1125000</v>
      </c>
      <c r="H62" s="294">
        <f t="shared" si="5"/>
        <v>1215000</v>
      </c>
    </row>
    <row r="63" spans="1:8">
      <c r="A63" s="289">
        <v>17</v>
      </c>
      <c r="B63" s="290" t="s">
        <v>276</v>
      </c>
      <c r="C63" s="289" t="s">
        <v>283</v>
      </c>
      <c r="D63" s="291">
        <v>190</v>
      </c>
      <c r="E63" s="299">
        <v>84</v>
      </c>
      <c r="F63" s="292">
        <v>15000</v>
      </c>
      <c r="G63" s="293">
        <f t="shared" si="4"/>
        <v>2850000</v>
      </c>
      <c r="H63" s="294">
        <f t="shared" si="5"/>
        <v>1260000</v>
      </c>
    </row>
    <row r="64" spans="1:8">
      <c r="A64" s="289">
        <v>18</v>
      </c>
      <c r="B64" s="295" t="s">
        <v>277</v>
      </c>
      <c r="C64" s="289" t="s">
        <v>283</v>
      </c>
      <c r="D64" s="291">
        <v>70</v>
      </c>
      <c r="E64" s="299">
        <v>16</v>
      </c>
      <c r="F64" s="292">
        <v>15000</v>
      </c>
      <c r="G64" s="293">
        <f t="shared" si="4"/>
        <v>1050000</v>
      </c>
      <c r="H64" s="294">
        <f t="shared" si="5"/>
        <v>240000</v>
      </c>
    </row>
    <row r="65" spans="1:8">
      <c r="A65" s="735" t="s">
        <v>279</v>
      </c>
      <c r="B65" s="736"/>
      <c r="C65" s="737"/>
      <c r="D65" s="296">
        <f>SUM(D47:D64)</f>
        <v>3295</v>
      </c>
      <c r="E65" s="301">
        <f>SUM(E47:E64)</f>
        <v>1270</v>
      </c>
      <c r="F65" s="296"/>
      <c r="G65" s="296">
        <f>SUM(G47:G64)</f>
        <v>49425000</v>
      </c>
      <c r="H65" s="296">
        <f>SUM(H47:H64)</f>
        <v>19050000</v>
      </c>
    </row>
    <row r="67" spans="1:8" s="3" customFormat="1" ht="14.5">
      <c r="A67" s="3" t="s">
        <v>285</v>
      </c>
    </row>
    <row r="68" spans="1:8">
      <c r="A68" s="287" t="s">
        <v>240</v>
      </c>
      <c r="B68" s="287" t="s">
        <v>241</v>
      </c>
      <c r="C68" s="287" t="s">
        <v>242</v>
      </c>
      <c r="D68" s="287" t="s">
        <v>243</v>
      </c>
      <c r="E68" s="300" t="s">
        <v>244</v>
      </c>
      <c r="F68" s="287" t="s">
        <v>245</v>
      </c>
      <c r="G68" s="288" t="s">
        <v>246</v>
      </c>
      <c r="H68" s="288" t="s">
        <v>247</v>
      </c>
    </row>
    <row r="69" spans="1:8">
      <c r="A69" s="289">
        <v>1</v>
      </c>
      <c r="B69" s="290" t="s">
        <v>248</v>
      </c>
      <c r="C69" s="297">
        <v>46113</v>
      </c>
      <c r="D69" s="291">
        <v>850</v>
      </c>
      <c r="E69" s="299">
        <v>840</v>
      </c>
      <c r="F69" s="292">
        <v>15000</v>
      </c>
      <c r="G69" s="293">
        <f>D69*F69</f>
        <v>12750000</v>
      </c>
      <c r="H69" s="294">
        <f>E69*F69</f>
        <v>12600000</v>
      </c>
    </row>
    <row r="70" spans="1:8">
      <c r="A70" s="289">
        <v>2</v>
      </c>
      <c r="B70" s="290" t="s">
        <v>250</v>
      </c>
      <c r="C70" s="297">
        <v>46113</v>
      </c>
      <c r="D70" s="291">
        <v>50</v>
      </c>
      <c r="E70" s="299">
        <v>6</v>
      </c>
      <c r="F70" s="292">
        <v>15000</v>
      </c>
      <c r="G70" s="293">
        <f t="shared" ref="G70:G86" si="6">D70*F70</f>
        <v>750000</v>
      </c>
      <c r="H70" s="294">
        <f t="shared" ref="H70:H85" si="7">E70*F70</f>
        <v>90000</v>
      </c>
    </row>
    <row r="71" spans="1:8">
      <c r="A71" s="289">
        <v>3</v>
      </c>
      <c r="B71" s="290" t="s">
        <v>252</v>
      </c>
      <c r="C71" s="297">
        <v>46113</v>
      </c>
      <c r="D71" s="291">
        <v>60</v>
      </c>
      <c r="E71" s="299"/>
      <c r="F71" s="292">
        <v>15000</v>
      </c>
      <c r="G71" s="293">
        <f t="shared" si="6"/>
        <v>900000</v>
      </c>
      <c r="H71" s="294">
        <f t="shared" si="7"/>
        <v>0</v>
      </c>
    </row>
    <row r="72" spans="1:8">
      <c r="A72" s="289">
        <v>4</v>
      </c>
      <c r="B72" s="290" t="s">
        <v>254</v>
      </c>
      <c r="C72" s="297">
        <v>46113</v>
      </c>
      <c r="D72" s="291">
        <v>75</v>
      </c>
      <c r="E72" s="299">
        <v>24</v>
      </c>
      <c r="F72" s="292">
        <v>15000</v>
      </c>
      <c r="G72" s="293">
        <f t="shared" si="6"/>
        <v>1125000</v>
      </c>
      <c r="H72" s="294">
        <f t="shared" si="7"/>
        <v>360000</v>
      </c>
    </row>
    <row r="73" spans="1:8">
      <c r="A73" s="289">
        <v>5</v>
      </c>
      <c r="B73" s="290" t="s">
        <v>255</v>
      </c>
      <c r="C73" s="297">
        <v>46113</v>
      </c>
      <c r="D73" s="291">
        <v>55</v>
      </c>
      <c r="E73" s="299">
        <v>30</v>
      </c>
      <c r="F73" s="292">
        <v>15000</v>
      </c>
      <c r="G73" s="293">
        <f t="shared" si="6"/>
        <v>825000</v>
      </c>
      <c r="H73" s="294">
        <f t="shared" si="7"/>
        <v>450000</v>
      </c>
    </row>
    <row r="74" spans="1:8">
      <c r="A74" s="289">
        <v>6</v>
      </c>
      <c r="B74" s="290" t="s">
        <v>284</v>
      </c>
      <c r="C74" s="297">
        <v>46113</v>
      </c>
      <c r="D74" s="291">
        <v>15</v>
      </c>
      <c r="E74" s="299">
        <v>5</v>
      </c>
      <c r="F74" s="292">
        <v>15000</v>
      </c>
      <c r="G74" s="293">
        <f t="shared" si="6"/>
        <v>225000</v>
      </c>
      <c r="H74" s="294">
        <f t="shared" si="7"/>
        <v>75000</v>
      </c>
    </row>
    <row r="75" spans="1:8">
      <c r="A75" s="289">
        <v>7</v>
      </c>
      <c r="B75" s="290" t="s">
        <v>259</v>
      </c>
      <c r="C75" s="297">
        <v>46113</v>
      </c>
      <c r="D75" s="291">
        <v>260</v>
      </c>
      <c r="E75" s="299">
        <v>157</v>
      </c>
      <c r="F75" s="292">
        <v>15000</v>
      </c>
      <c r="G75" s="293">
        <f t="shared" si="6"/>
        <v>3900000</v>
      </c>
      <c r="H75" s="294">
        <f t="shared" si="7"/>
        <v>2355000</v>
      </c>
    </row>
    <row r="76" spans="1:8">
      <c r="A76" s="289">
        <v>8</v>
      </c>
      <c r="B76" s="290" t="s">
        <v>260</v>
      </c>
      <c r="C76" s="297">
        <v>46113</v>
      </c>
      <c r="D76" s="291">
        <v>60</v>
      </c>
      <c r="E76" s="299">
        <v>16</v>
      </c>
      <c r="F76" s="292">
        <v>15000</v>
      </c>
      <c r="G76" s="293">
        <f t="shared" si="6"/>
        <v>900000</v>
      </c>
      <c r="H76" s="294">
        <f t="shared" si="7"/>
        <v>240000</v>
      </c>
    </row>
    <row r="77" spans="1:8">
      <c r="A77" s="289">
        <v>9</v>
      </c>
      <c r="B77" s="290" t="s">
        <v>262</v>
      </c>
      <c r="C77" s="297">
        <v>46113</v>
      </c>
      <c r="D77" s="291">
        <v>65</v>
      </c>
      <c r="E77" s="299">
        <v>18</v>
      </c>
      <c r="F77" s="292">
        <v>15000</v>
      </c>
      <c r="G77" s="293">
        <f t="shared" si="6"/>
        <v>975000</v>
      </c>
      <c r="H77" s="294">
        <f t="shared" si="7"/>
        <v>270000</v>
      </c>
    </row>
    <row r="78" spans="1:8">
      <c r="A78" s="289">
        <v>10</v>
      </c>
      <c r="B78" s="290" t="s">
        <v>264</v>
      </c>
      <c r="C78" s="297">
        <v>46113</v>
      </c>
      <c r="D78" s="291">
        <v>60</v>
      </c>
      <c r="E78" s="299">
        <v>16</v>
      </c>
      <c r="F78" s="292">
        <v>15000</v>
      </c>
      <c r="G78" s="293">
        <f t="shared" si="6"/>
        <v>900000</v>
      </c>
      <c r="H78" s="294">
        <f t="shared" si="7"/>
        <v>240000</v>
      </c>
    </row>
    <row r="79" spans="1:8">
      <c r="A79" s="289">
        <v>11</v>
      </c>
      <c r="B79" s="290" t="s">
        <v>266</v>
      </c>
      <c r="C79" s="297">
        <v>46113</v>
      </c>
      <c r="D79" s="291">
        <v>60</v>
      </c>
      <c r="E79" s="299">
        <v>17</v>
      </c>
      <c r="F79" s="292">
        <v>15000</v>
      </c>
      <c r="G79" s="293">
        <f t="shared" si="6"/>
        <v>900000</v>
      </c>
      <c r="H79" s="294">
        <f t="shared" si="7"/>
        <v>255000</v>
      </c>
    </row>
    <row r="80" spans="1:8">
      <c r="A80" s="289">
        <v>12</v>
      </c>
      <c r="B80" s="290" t="s">
        <v>268</v>
      </c>
      <c r="C80" s="297">
        <v>46113</v>
      </c>
      <c r="D80" s="291">
        <v>335</v>
      </c>
      <c r="E80" s="299">
        <v>302</v>
      </c>
      <c r="F80" s="292">
        <v>15000</v>
      </c>
      <c r="G80" s="293">
        <f t="shared" si="6"/>
        <v>5025000</v>
      </c>
      <c r="H80" s="294">
        <f t="shared" si="7"/>
        <v>4530000</v>
      </c>
    </row>
    <row r="81" spans="1:8">
      <c r="A81" s="289">
        <v>13</v>
      </c>
      <c r="B81" s="290" t="s">
        <v>270</v>
      </c>
      <c r="C81" s="297">
        <v>46113</v>
      </c>
      <c r="D81" s="291">
        <v>55</v>
      </c>
      <c r="E81" s="299">
        <v>14</v>
      </c>
      <c r="F81" s="292">
        <v>15000</v>
      </c>
      <c r="G81" s="293">
        <f t="shared" si="6"/>
        <v>825000</v>
      </c>
      <c r="H81" s="294">
        <f t="shared" si="7"/>
        <v>210000</v>
      </c>
    </row>
    <row r="82" spans="1:8">
      <c r="A82" s="289">
        <v>14</v>
      </c>
      <c r="B82" s="290" t="s">
        <v>272</v>
      </c>
      <c r="C82" s="297">
        <v>46113</v>
      </c>
      <c r="D82" s="291">
        <v>360</v>
      </c>
      <c r="E82" s="299">
        <v>120</v>
      </c>
      <c r="F82" s="292">
        <v>15000</v>
      </c>
      <c r="G82" s="293">
        <f t="shared" si="6"/>
        <v>5400000</v>
      </c>
      <c r="H82" s="294">
        <f t="shared" si="7"/>
        <v>1800000</v>
      </c>
    </row>
    <row r="83" spans="1:8">
      <c r="A83" s="289">
        <v>15</v>
      </c>
      <c r="B83" s="290" t="s">
        <v>273</v>
      </c>
      <c r="C83" s="297">
        <v>46113</v>
      </c>
      <c r="D83" s="291">
        <v>600</v>
      </c>
      <c r="E83" s="299">
        <v>490</v>
      </c>
      <c r="F83" s="292">
        <v>15000</v>
      </c>
      <c r="G83" s="293">
        <f t="shared" si="6"/>
        <v>9000000</v>
      </c>
      <c r="H83" s="294">
        <f t="shared" si="7"/>
        <v>7350000</v>
      </c>
    </row>
    <row r="84" spans="1:8">
      <c r="A84" s="289">
        <v>16</v>
      </c>
      <c r="B84" s="290" t="s">
        <v>274</v>
      </c>
      <c r="C84" s="297">
        <v>46113</v>
      </c>
      <c r="D84" s="291">
        <v>80</v>
      </c>
      <c r="E84" s="299">
        <v>165</v>
      </c>
      <c r="F84" s="292">
        <v>15000</v>
      </c>
      <c r="G84" s="293">
        <f t="shared" si="6"/>
        <v>1200000</v>
      </c>
      <c r="H84" s="294">
        <f t="shared" si="7"/>
        <v>2475000</v>
      </c>
    </row>
    <row r="85" spans="1:8">
      <c r="A85" s="289">
        <v>17</v>
      </c>
      <c r="B85" s="290" t="s">
        <v>276</v>
      </c>
      <c r="C85" s="297">
        <v>46113</v>
      </c>
      <c r="D85" s="291">
        <v>190</v>
      </c>
      <c r="E85" s="299">
        <v>103</v>
      </c>
      <c r="F85" s="292">
        <v>15000</v>
      </c>
      <c r="G85" s="293">
        <f t="shared" si="6"/>
        <v>2850000</v>
      </c>
      <c r="H85" s="294">
        <f t="shared" si="7"/>
        <v>1545000</v>
      </c>
    </row>
    <row r="86" spans="1:8">
      <c r="A86" s="289">
        <v>18</v>
      </c>
      <c r="B86" s="295" t="s">
        <v>277</v>
      </c>
      <c r="C86" s="297">
        <v>46113</v>
      </c>
      <c r="D86" s="291">
        <v>70</v>
      </c>
      <c r="E86" s="299">
        <v>20</v>
      </c>
      <c r="F86" s="292">
        <v>15000</v>
      </c>
      <c r="G86" s="293">
        <f t="shared" si="6"/>
        <v>1050000</v>
      </c>
      <c r="H86" s="294">
        <f>E86*F86</f>
        <v>300000</v>
      </c>
    </row>
    <row r="87" spans="1:8">
      <c r="A87" s="735" t="s">
        <v>279</v>
      </c>
      <c r="B87" s="736"/>
      <c r="C87" s="737"/>
      <c r="D87" s="296">
        <f>SUM(D69:D86)</f>
        <v>3300</v>
      </c>
      <c r="E87" s="301">
        <f>SUM(E69:E86)</f>
        <v>2343</v>
      </c>
      <c r="F87" s="296"/>
      <c r="G87" s="296">
        <f>SUM(G69:G86)</f>
        <v>49500000</v>
      </c>
      <c r="H87" s="296">
        <f>SUM(H69:H86)</f>
        <v>35145000</v>
      </c>
    </row>
    <row r="89" spans="1:8" s="3" customFormat="1" ht="14.5">
      <c r="A89" s="3" t="s">
        <v>286</v>
      </c>
    </row>
    <row r="90" spans="1:8">
      <c r="A90" s="287" t="s">
        <v>240</v>
      </c>
      <c r="B90" s="287" t="s">
        <v>241</v>
      </c>
      <c r="C90" s="287" t="s">
        <v>242</v>
      </c>
      <c r="D90" s="287" t="s">
        <v>243</v>
      </c>
      <c r="E90" s="300" t="s">
        <v>244</v>
      </c>
      <c r="F90" s="287" t="s">
        <v>245</v>
      </c>
      <c r="G90" s="288" t="s">
        <v>246</v>
      </c>
      <c r="H90" s="288" t="s">
        <v>247</v>
      </c>
    </row>
    <row r="91" spans="1:8">
      <c r="A91" s="289">
        <v>1</v>
      </c>
      <c r="B91" s="290" t="s">
        <v>248</v>
      </c>
      <c r="C91" s="297">
        <v>46143</v>
      </c>
      <c r="D91" s="291">
        <v>800</v>
      </c>
      <c r="E91" s="299">
        <v>663</v>
      </c>
      <c r="F91" s="292">
        <v>15000</v>
      </c>
      <c r="G91" s="293">
        <f>D91*F91</f>
        <v>12000000</v>
      </c>
      <c r="H91" s="294">
        <f>E91*F91</f>
        <v>9945000</v>
      </c>
    </row>
    <row r="92" spans="1:8">
      <c r="A92" s="289">
        <v>2</v>
      </c>
      <c r="B92" s="290" t="s">
        <v>250</v>
      </c>
      <c r="C92" s="297">
        <v>46143</v>
      </c>
      <c r="D92" s="291">
        <v>50</v>
      </c>
      <c r="E92" s="299"/>
      <c r="F92" s="292">
        <v>15000</v>
      </c>
      <c r="G92" s="293">
        <f t="shared" ref="G92:G108" si="8">D92*F92</f>
        <v>750000</v>
      </c>
      <c r="H92" s="294">
        <f t="shared" ref="H92:H107" si="9">E92*F92</f>
        <v>0</v>
      </c>
    </row>
    <row r="93" spans="1:8">
      <c r="A93" s="289">
        <v>3</v>
      </c>
      <c r="B93" s="290" t="s">
        <v>252</v>
      </c>
      <c r="C93" s="297">
        <v>46143</v>
      </c>
      <c r="D93" s="291">
        <v>60</v>
      </c>
      <c r="E93" s="299"/>
      <c r="F93" s="292">
        <v>15000</v>
      </c>
      <c r="G93" s="293">
        <f t="shared" si="8"/>
        <v>900000</v>
      </c>
      <c r="H93" s="294">
        <f t="shared" si="9"/>
        <v>0</v>
      </c>
    </row>
    <row r="94" spans="1:8">
      <c r="A94" s="289">
        <v>4</v>
      </c>
      <c r="B94" s="290" t="s">
        <v>254</v>
      </c>
      <c r="C94" s="297">
        <v>46143</v>
      </c>
      <c r="D94" s="291">
        <v>75</v>
      </c>
      <c r="E94" s="299">
        <v>19</v>
      </c>
      <c r="F94" s="292">
        <v>15000</v>
      </c>
      <c r="G94" s="293">
        <f t="shared" si="8"/>
        <v>1125000</v>
      </c>
      <c r="H94" s="294">
        <f t="shared" si="9"/>
        <v>285000</v>
      </c>
    </row>
    <row r="95" spans="1:8">
      <c r="A95" s="289">
        <v>5</v>
      </c>
      <c r="B95" s="290" t="s">
        <v>255</v>
      </c>
      <c r="C95" s="297">
        <v>46143</v>
      </c>
      <c r="D95" s="291">
        <v>55</v>
      </c>
      <c r="E95" s="299">
        <v>25</v>
      </c>
      <c r="F95" s="292">
        <v>15000</v>
      </c>
      <c r="G95" s="293">
        <f t="shared" si="8"/>
        <v>825000</v>
      </c>
      <c r="H95" s="294">
        <f t="shared" si="9"/>
        <v>375000</v>
      </c>
    </row>
    <row r="96" spans="1:8">
      <c r="A96" s="289">
        <v>6</v>
      </c>
      <c r="B96" s="290" t="s">
        <v>284</v>
      </c>
      <c r="C96" s="297">
        <v>46143</v>
      </c>
      <c r="D96" s="291">
        <v>20</v>
      </c>
      <c r="E96" s="299">
        <v>9</v>
      </c>
      <c r="F96" s="292">
        <v>15000</v>
      </c>
      <c r="G96" s="293">
        <f t="shared" si="8"/>
        <v>300000</v>
      </c>
      <c r="H96" s="294">
        <f t="shared" si="9"/>
        <v>135000</v>
      </c>
    </row>
    <row r="97" spans="1:8">
      <c r="A97" s="289">
        <v>7</v>
      </c>
      <c r="B97" s="290" t="s">
        <v>259</v>
      </c>
      <c r="C97" s="297">
        <v>46143</v>
      </c>
      <c r="D97" s="291">
        <v>260</v>
      </c>
      <c r="E97" s="299">
        <v>155</v>
      </c>
      <c r="F97" s="292">
        <v>15000</v>
      </c>
      <c r="G97" s="293">
        <f t="shared" si="8"/>
        <v>3900000</v>
      </c>
      <c r="H97" s="294">
        <f t="shared" si="9"/>
        <v>2325000</v>
      </c>
    </row>
    <row r="98" spans="1:8">
      <c r="A98" s="289">
        <v>8</v>
      </c>
      <c r="B98" s="290" t="s">
        <v>260</v>
      </c>
      <c r="C98" s="297">
        <v>46143</v>
      </c>
      <c r="D98" s="291">
        <v>60</v>
      </c>
      <c r="E98" s="299">
        <v>20</v>
      </c>
      <c r="F98" s="292">
        <v>15000</v>
      </c>
      <c r="G98" s="293">
        <f t="shared" si="8"/>
        <v>900000</v>
      </c>
      <c r="H98" s="294">
        <f t="shared" si="9"/>
        <v>300000</v>
      </c>
    </row>
    <row r="99" spans="1:8">
      <c r="A99" s="289">
        <v>9</v>
      </c>
      <c r="B99" s="290" t="s">
        <v>262</v>
      </c>
      <c r="C99" s="297">
        <v>46143</v>
      </c>
      <c r="D99" s="291">
        <v>65</v>
      </c>
      <c r="E99" s="299">
        <v>24</v>
      </c>
      <c r="F99" s="292">
        <v>15000</v>
      </c>
      <c r="G99" s="293">
        <f t="shared" si="8"/>
        <v>975000</v>
      </c>
      <c r="H99" s="294">
        <f t="shared" si="9"/>
        <v>360000</v>
      </c>
    </row>
    <row r="100" spans="1:8">
      <c r="A100" s="289">
        <v>10</v>
      </c>
      <c r="B100" s="290" t="s">
        <v>264</v>
      </c>
      <c r="C100" s="297">
        <v>46143</v>
      </c>
      <c r="D100" s="291">
        <v>60</v>
      </c>
      <c r="E100" s="299">
        <v>16</v>
      </c>
      <c r="F100" s="292">
        <v>15000</v>
      </c>
      <c r="G100" s="293">
        <f t="shared" si="8"/>
        <v>900000</v>
      </c>
      <c r="H100" s="294">
        <f t="shared" si="9"/>
        <v>240000</v>
      </c>
    </row>
    <row r="101" spans="1:8">
      <c r="A101" s="289">
        <v>11</v>
      </c>
      <c r="B101" s="290" t="s">
        <v>266</v>
      </c>
      <c r="C101" s="297">
        <v>46143</v>
      </c>
      <c r="D101" s="291">
        <v>60</v>
      </c>
      <c r="E101" s="299">
        <v>22</v>
      </c>
      <c r="F101" s="292">
        <v>15000</v>
      </c>
      <c r="G101" s="293">
        <f t="shared" si="8"/>
        <v>900000</v>
      </c>
      <c r="H101" s="294">
        <f t="shared" si="9"/>
        <v>330000</v>
      </c>
    </row>
    <row r="102" spans="1:8">
      <c r="A102" s="289">
        <v>12</v>
      </c>
      <c r="B102" s="290" t="s">
        <v>268</v>
      </c>
      <c r="C102" s="297">
        <v>46143</v>
      </c>
      <c r="D102" s="291">
        <v>325</v>
      </c>
      <c r="E102" s="299">
        <v>329</v>
      </c>
      <c r="F102" s="292">
        <v>15000</v>
      </c>
      <c r="G102" s="293">
        <f t="shared" si="8"/>
        <v>4875000</v>
      </c>
      <c r="H102" s="294">
        <f t="shared" si="9"/>
        <v>4935000</v>
      </c>
    </row>
    <row r="103" spans="1:8">
      <c r="A103" s="289">
        <v>13</v>
      </c>
      <c r="B103" s="290" t="s">
        <v>270</v>
      </c>
      <c r="C103" s="297">
        <v>46143</v>
      </c>
      <c r="D103" s="291">
        <v>55</v>
      </c>
      <c r="E103" s="299">
        <v>10</v>
      </c>
      <c r="F103" s="292">
        <v>15000</v>
      </c>
      <c r="G103" s="293">
        <f t="shared" si="8"/>
        <v>825000</v>
      </c>
      <c r="H103" s="294">
        <f t="shared" si="9"/>
        <v>150000</v>
      </c>
    </row>
    <row r="104" spans="1:8">
      <c r="A104" s="289">
        <v>14</v>
      </c>
      <c r="B104" s="290" t="s">
        <v>272</v>
      </c>
      <c r="C104" s="297">
        <v>46143</v>
      </c>
      <c r="D104" s="291">
        <v>360</v>
      </c>
      <c r="E104" s="299">
        <v>180</v>
      </c>
      <c r="F104" s="292">
        <v>15000</v>
      </c>
      <c r="G104" s="293">
        <f t="shared" si="8"/>
        <v>5400000</v>
      </c>
      <c r="H104" s="294">
        <f t="shared" si="9"/>
        <v>2700000</v>
      </c>
    </row>
    <row r="105" spans="1:8">
      <c r="A105" s="289">
        <v>15</v>
      </c>
      <c r="B105" s="290" t="s">
        <v>273</v>
      </c>
      <c r="C105" s="297">
        <v>46143</v>
      </c>
      <c r="D105" s="291">
        <v>600</v>
      </c>
      <c r="E105" s="299">
        <v>520</v>
      </c>
      <c r="F105" s="292">
        <v>15000</v>
      </c>
      <c r="G105" s="293">
        <f t="shared" si="8"/>
        <v>9000000</v>
      </c>
      <c r="H105" s="294">
        <f t="shared" si="9"/>
        <v>7800000</v>
      </c>
    </row>
    <row r="106" spans="1:8">
      <c r="A106" s="289">
        <v>16</v>
      </c>
      <c r="B106" s="290" t="s">
        <v>274</v>
      </c>
      <c r="C106" s="297">
        <v>46143</v>
      </c>
      <c r="D106" s="291">
        <v>80</v>
      </c>
      <c r="E106" s="299">
        <v>97</v>
      </c>
      <c r="F106" s="292">
        <v>15000</v>
      </c>
      <c r="G106" s="293">
        <f t="shared" si="8"/>
        <v>1200000</v>
      </c>
      <c r="H106" s="294">
        <f t="shared" si="9"/>
        <v>1455000</v>
      </c>
    </row>
    <row r="107" spans="1:8">
      <c r="A107" s="289">
        <v>17</v>
      </c>
      <c r="B107" s="290" t="s">
        <v>276</v>
      </c>
      <c r="C107" s="297">
        <v>46143</v>
      </c>
      <c r="D107" s="291">
        <v>190</v>
      </c>
      <c r="E107" s="299">
        <v>142</v>
      </c>
      <c r="F107" s="292">
        <v>15000</v>
      </c>
      <c r="G107" s="293">
        <f t="shared" si="8"/>
        <v>2850000</v>
      </c>
      <c r="H107" s="294">
        <f t="shared" si="9"/>
        <v>2130000</v>
      </c>
    </row>
    <row r="108" spans="1:8">
      <c r="A108" s="289">
        <v>18</v>
      </c>
      <c r="B108" s="295" t="s">
        <v>277</v>
      </c>
      <c r="C108" s="297">
        <v>46143</v>
      </c>
      <c r="D108" s="291">
        <v>70</v>
      </c>
      <c r="E108" s="299">
        <v>33</v>
      </c>
      <c r="F108" s="292">
        <v>15000</v>
      </c>
      <c r="G108" s="293">
        <f t="shared" si="8"/>
        <v>1050000</v>
      </c>
      <c r="H108" s="294">
        <f>E108*F108</f>
        <v>495000</v>
      </c>
    </row>
    <row r="109" spans="1:8">
      <c r="A109" s="735" t="s">
        <v>279</v>
      </c>
      <c r="B109" s="736"/>
      <c r="C109" s="737"/>
      <c r="D109" s="296">
        <f>SUM(D91:D108)</f>
        <v>3245</v>
      </c>
      <c r="E109" s="301">
        <f>SUM(E91:E108)</f>
        <v>2264</v>
      </c>
      <c r="F109" s="296"/>
      <c r="G109" s="296">
        <f>SUM(G91:G108)</f>
        <v>48675000</v>
      </c>
      <c r="H109" s="296">
        <f>SUM(H91:H108)</f>
        <v>33960000</v>
      </c>
    </row>
    <row r="111" spans="1:8" s="3" customFormat="1" ht="14.5">
      <c r="A111" s="3" t="s">
        <v>287</v>
      </c>
    </row>
    <row r="112" spans="1:8">
      <c r="A112" s="287" t="s">
        <v>240</v>
      </c>
      <c r="B112" s="287" t="s">
        <v>241</v>
      </c>
      <c r="C112" s="287" t="s">
        <v>242</v>
      </c>
      <c r="D112" s="287" t="s">
        <v>243</v>
      </c>
      <c r="E112" s="300" t="s">
        <v>244</v>
      </c>
      <c r="F112" s="287" t="s">
        <v>245</v>
      </c>
      <c r="G112" s="288" t="s">
        <v>246</v>
      </c>
      <c r="H112" s="288" t="s">
        <v>247</v>
      </c>
    </row>
    <row r="113" spans="1:8">
      <c r="A113" s="289">
        <v>1</v>
      </c>
      <c r="B113" s="290" t="s">
        <v>248</v>
      </c>
      <c r="C113" s="297">
        <v>46174</v>
      </c>
      <c r="D113" s="291">
        <v>750</v>
      </c>
      <c r="E113" s="299">
        <v>687</v>
      </c>
      <c r="F113" s="292">
        <v>15000</v>
      </c>
      <c r="G113" s="293">
        <f>D113*F113</f>
        <v>11250000</v>
      </c>
      <c r="H113" s="294">
        <f>E113*F113</f>
        <v>10305000</v>
      </c>
    </row>
    <row r="114" spans="1:8">
      <c r="A114" s="289">
        <v>2</v>
      </c>
      <c r="B114" s="290" t="s">
        <v>250</v>
      </c>
      <c r="C114" s="297">
        <v>46174</v>
      </c>
      <c r="D114" s="291">
        <v>50</v>
      </c>
      <c r="E114" s="299">
        <v>13</v>
      </c>
      <c r="F114" s="292">
        <v>15000</v>
      </c>
      <c r="G114" s="293">
        <f t="shared" ref="G114:G130" si="10">D114*F114</f>
        <v>750000</v>
      </c>
      <c r="H114" s="294">
        <f t="shared" ref="H114:H129" si="11">E114*F114</f>
        <v>195000</v>
      </c>
    </row>
    <row r="115" spans="1:8">
      <c r="A115" s="289">
        <v>3</v>
      </c>
      <c r="B115" s="290" t="s">
        <v>252</v>
      </c>
      <c r="C115" s="297">
        <v>46174</v>
      </c>
      <c r="D115" s="291">
        <v>60</v>
      </c>
      <c r="E115" s="299"/>
      <c r="F115" s="292">
        <v>15000</v>
      </c>
      <c r="G115" s="293">
        <f t="shared" si="10"/>
        <v>900000</v>
      </c>
      <c r="H115" s="294">
        <f t="shared" si="11"/>
        <v>0</v>
      </c>
    </row>
    <row r="116" spans="1:8">
      <c r="A116" s="289">
        <v>4</v>
      </c>
      <c r="B116" s="290" t="s">
        <v>254</v>
      </c>
      <c r="C116" s="297">
        <v>46174</v>
      </c>
      <c r="D116" s="291">
        <v>75</v>
      </c>
      <c r="E116" s="299">
        <v>17</v>
      </c>
      <c r="F116" s="292">
        <v>15000</v>
      </c>
      <c r="G116" s="293">
        <f t="shared" si="10"/>
        <v>1125000</v>
      </c>
      <c r="H116" s="294">
        <f t="shared" si="11"/>
        <v>255000</v>
      </c>
    </row>
    <row r="117" spans="1:8">
      <c r="A117" s="289">
        <v>5</v>
      </c>
      <c r="B117" s="290" t="s">
        <v>255</v>
      </c>
      <c r="C117" s="297">
        <v>46174</v>
      </c>
      <c r="D117" s="291">
        <v>55</v>
      </c>
      <c r="E117" s="299">
        <v>26</v>
      </c>
      <c r="F117" s="292">
        <v>15000</v>
      </c>
      <c r="G117" s="293">
        <f t="shared" si="10"/>
        <v>825000</v>
      </c>
      <c r="H117" s="294">
        <f t="shared" si="11"/>
        <v>390000</v>
      </c>
    </row>
    <row r="118" spans="1:8">
      <c r="A118" s="289">
        <v>6</v>
      </c>
      <c r="B118" s="290" t="s">
        <v>284</v>
      </c>
      <c r="C118" s="297">
        <v>46174</v>
      </c>
      <c r="D118" s="291">
        <v>20</v>
      </c>
      <c r="E118" s="299">
        <v>8</v>
      </c>
      <c r="F118" s="292">
        <v>15000</v>
      </c>
      <c r="G118" s="293">
        <f t="shared" si="10"/>
        <v>300000</v>
      </c>
      <c r="H118" s="294">
        <f t="shared" si="11"/>
        <v>120000</v>
      </c>
    </row>
    <row r="119" spans="1:8">
      <c r="A119" s="289">
        <v>7</v>
      </c>
      <c r="B119" s="290" t="s">
        <v>259</v>
      </c>
      <c r="C119" s="297">
        <v>46174</v>
      </c>
      <c r="D119" s="291">
        <v>250</v>
      </c>
      <c r="E119" s="299">
        <v>150</v>
      </c>
      <c r="F119" s="292">
        <v>15000</v>
      </c>
      <c r="G119" s="293">
        <f t="shared" si="10"/>
        <v>3750000</v>
      </c>
      <c r="H119" s="294">
        <f t="shared" si="11"/>
        <v>2250000</v>
      </c>
    </row>
    <row r="120" spans="1:8">
      <c r="A120" s="289">
        <v>8</v>
      </c>
      <c r="B120" s="290" t="s">
        <v>260</v>
      </c>
      <c r="C120" s="297">
        <v>46174</v>
      </c>
      <c r="D120" s="291">
        <v>60</v>
      </c>
      <c r="E120" s="299">
        <v>15</v>
      </c>
      <c r="F120" s="292">
        <v>15000</v>
      </c>
      <c r="G120" s="293">
        <f t="shared" si="10"/>
        <v>900000</v>
      </c>
      <c r="H120" s="294">
        <f t="shared" si="11"/>
        <v>225000</v>
      </c>
    </row>
    <row r="121" spans="1:8">
      <c r="A121" s="289">
        <v>9</v>
      </c>
      <c r="B121" s="290" t="s">
        <v>262</v>
      </c>
      <c r="C121" s="297">
        <v>46174</v>
      </c>
      <c r="D121" s="291">
        <v>65</v>
      </c>
      <c r="E121" s="299">
        <v>20</v>
      </c>
      <c r="F121" s="292">
        <v>15000</v>
      </c>
      <c r="G121" s="293">
        <f t="shared" si="10"/>
        <v>975000</v>
      </c>
      <c r="H121" s="294">
        <f t="shared" si="11"/>
        <v>300000</v>
      </c>
    </row>
    <row r="122" spans="1:8">
      <c r="A122" s="289">
        <v>10</v>
      </c>
      <c r="B122" s="290" t="s">
        <v>264</v>
      </c>
      <c r="C122" s="297">
        <v>46174</v>
      </c>
      <c r="D122" s="291">
        <v>60</v>
      </c>
      <c r="E122" s="299">
        <v>17</v>
      </c>
      <c r="F122" s="292">
        <v>15000</v>
      </c>
      <c r="G122" s="293">
        <f t="shared" si="10"/>
        <v>900000</v>
      </c>
      <c r="H122" s="294">
        <f t="shared" si="11"/>
        <v>255000</v>
      </c>
    </row>
    <row r="123" spans="1:8">
      <c r="A123" s="289">
        <v>11</v>
      </c>
      <c r="B123" s="290" t="s">
        <v>266</v>
      </c>
      <c r="C123" s="297">
        <v>46174</v>
      </c>
      <c r="D123" s="291">
        <v>60</v>
      </c>
      <c r="E123" s="299">
        <v>22</v>
      </c>
      <c r="F123" s="292">
        <v>15000</v>
      </c>
      <c r="G123" s="293">
        <f t="shared" si="10"/>
        <v>900000</v>
      </c>
      <c r="H123" s="294">
        <f t="shared" si="11"/>
        <v>330000</v>
      </c>
    </row>
    <row r="124" spans="1:8">
      <c r="A124" s="289">
        <v>12</v>
      </c>
      <c r="B124" s="290" t="s">
        <v>268</v>
      </c>
      <c r="C124" s="297">
        <v>46174</v>
      </c>
      <c r="D124" s="291">
        <v>300</v>
      </c>
      <c r="E124" s="299">
        <v>289</v>
      </c>
      <c r="F124" s="292">
        <v>15000</v>
      </c>
      <c r="G124" s="293">
        <f t="shared" si="10"/>
        <v>4500000</v>
      </c>
      <c r="H124" s="294">
        <f t="shared" si="11"/>
        <v>4335000</v>
      </c>
    </row>
    <row r="125" spans="1:8">
      <c r="A125" s="289">
        <v>13</v>
      </c>
      <c r="B125" s="290" t="s">
        <v>270</v>
      </c>
      <c r="C125" s="297">
        <v>46174</v>
      </c>
      <c r="D125" s="291">
        <v>50</v>
      </c>
      <c r="E125" s="299">
        <v>9</v>
      </c>
      <c r="F125" s="292">
        <v>15000</v>
      </c>
      <c r="G125" s="293">
        <f t="shared" si="10"/>
        <v>750000</v>
      </c>
      <c r="H125" s="294">
        <f t="shared" si="11"/>
        <v>135000</v>
      </c>
    </row>
    <row r="126" spans="1:8">
      <c r="A126" s="289">
        <v>14</v>
      </c>
      <c r="B126" s="290" t="s">
        <v>272</v>
      </c>
      <c r="C126" s="297">
        <v>46174</v>
      </c>
      <c r="D126" s="291">
        <v>375</v>
      </c>
      <c r="E126" s="299">
        <v>250</v>
      </c>
      <c r="F126" s="292">
        <v>15000</v>
      </c>
      <c r="G126" s="293">
        <f t="shared" si="10"/>
        <v>5625000</v>
      </c>
      <c r="H126" s="294">
        <f t="shared" si="11"/>
        <v>3750000</v>
      </c>
    </row>
    <row r="127" spans="1:8">
      <c r="A127" s="289">
        <v>15</v>
      </c>
      <c r="B127" s="290" t="s">
        <v>273</v>
      </c>
      <c r="C127" s="297">
        <v>46174</v>
      </c>
      <c r="D127" s="291">
        <v>600</v>
      </c>
      <c r="E127" s="299">
        <v>485</v>
      </c>
      <c r="F127" s="292">
        <v>15000</v>
      </c>
      <c r="G127" s="293">
        <f t="shared" si="10"/>
        <v>9000000</v>
      </c>
      <c r="H127" s="294">
        <f t="shared" si="11"/>
        <v>7275000</v>
      </c>
    </row>
    <row r="128" spans="1:8">
      <c r="A128" s="289">
        <v>16</v>
      </c>
      <c r="B128" s="290" t="s">
        <v>274</v>
      </c>
      <c r="C128" s="297">
        <v>46174</v>
      </c>
      <c r="D128" s="291">
        <v>80</v>
      </c>
      <c r="E128" s="299">
        <v>189</v>
      </c>
      <c r="F128" s="292">
        <v>15000</v>
      </c>
      <c r="G128" s="293">
        <f t="shared" si="10"/>
        <v>1200000</v>
      </c>
      <c r="H128" s="294">
        <f t="shared" si="11"/>
        <v>2835000</v>
      </c>
    </row>
    <row r="129" spans="1:8">
      <c r="A129" s="289">
        <v>17</v>
      </c>
      <c r="B129" s="290" t="s">
        <v>276</v>
      </c>
      <c r="C129" s="297">
        <v>46174</v>
      </c>
      <c r="D129" s="291">
        <v>190</v>
      </c>
      <c r="E129" s="299">
        <v>152</v>
      </c>
      <c r="F129" s="292">
        <v>15000</v>
      </c>
      <c r="G129" s="293">
        <f t="shared" si="10"/>
        <v>2850000</v>
      </c>
      <c r="H129" s="294">
        <f t="shared" si="11"/>
        <v>2280000</v>
      </c>
    </row>
    <row r="130" spans="1:8">
      <c r="A130" s="289">
        <v>18</v>
      </c>
      <c r="B130" s="295" t="s">
        <v>277</v>
      </c>
      <c r="C130" s="297">
        <v>46174</v>
      </c>
      <c r="D130" s="291">
        <v>70</v>
      </c>
      <c r="E130" s="299">
        <v>15</v>
      </c>
      <c r="F130" s="292">
        <v>15000</v>
      </c>
      <c r="G130" s="293">
        <f t="shared" si="10"/>
        <v>1050000</v>
      </c>
      <c r="H130" s="294">
        <f>E130*F130</f>
        <v>225000</v>
      </c>
    </row>
    <row r="131" spans="1:8">
      <c r="A131" s="735" t="s">
        <v>279</v>
      </c>
      <c r="B131" s="736"/>
      <c r="C131" s="737"/>
      <c r="D131" s="296">
        <f>SUM(D113:D130)</f>
        <v>3170</v>
      </c>
      <c r="E131" s="301">
        <f>SUM(E113:E130)</f>
        <v>2364</v>
      </c>
      <c r="F131" s="296"/>
      <c r="G131" s="296">
        <f>SUM(G113:G130)</f>
        <v>47550000</v>
      </c>
      <c r="H131" s="296">
        <f>SUM(H113:H130)</f>
        <v>35460000</v>
      </c>
    </row>
    <row r="133" spans="1:8" s="3" customFormat="1" ht="14.5">
      <c r="A133" s="3" t="s">
        <v>288</v>
      </c>
    </row>
    <row r="134" spans="1:8">
      <c r="A134" s="287" t="s">
        <v>240</v>
      </c>
      <c r="B134" s="287" t="s">
        <v>241</v>
      </c>
      <c r="C134" s="287" t="s">
        <v>242</v>
      </c>
      <c r="D134" s="287" t="s">
        <v>243</v>
      </c>
      <c r="E134" s="300" t="s">
        <v>244</v>
      </c>
      <c r="F134" s="287" t="s">
        <v>245</v>
      </c>
      <c r="G134" s="288" t="s">
        <v>246</v>
      </c>
      <c r="H134" s="288" t="s">
        <v>247</v>
      </c>
    </row>
    <row r="135" spans="1:8">
      <c r="A135" s="289">
        <v>1</v>
      </c>
      <c r="B135" s="290" t="s">
        <v>248</v>
      </c>
      <c r="C135" s="297">
        <v>46204</v>
      </c>
      <c r="D135" s="291">
        <v>750</v>
      </c>
      <c r="E135" s="299">
        <v>860</v>
      </c>
      <c r="F135" s="292">
        <v>15000</v>
      </c>
      <c r="G135" s="293">
        <f>D135*F135</f>
        <v>11250000</v>
      </c>
      <c r="H135" s="294">
        <f>E135*F135</f>
        <v>12900000</v>
      </c>
    </row>
    <row r="136" spans="1:8">
      <c r="A136" s="289">
        <v>2</v>
      </c>
      <c r="B136" s="290" t="s">
        <v>250</v>
      </c>
      <c r="C136" s="297">
        <v>46204</v>
      </c>
      <c r="D136" s="291">
        <v>50</v>
      </c>
      <c r="E136" s="299">
        <v>26</v>
      </c>
      <c r="F136" s="292">
        <v>15000</v>
      </c>
      <c r="G136" s="293">
        <f t="shared" ref="G136:G152" si="12">D136*F136</f>
        <v>750000</v>
      </c>
      <c r="H136" s="294">
        <f t="shared" ref="H136:H151" si="13">E136*F136</f>
        <v>390000</v>
      </c>
    </row>
    <row r="137" spans="1:8">
      <c r="A137" s="289">
        <v>3</v>
      </c>
      <c r="B137" s="290" t="s">
        <v>252</v>
      </c>
      <c r="C137" s="297">
        <v>46204</v>
      </c>
      <c r="D137" s="291">
        <v>60</v>
      </c>
      <c r="E137" s="299"/>
      <c r="F137" s="292">
        <v>15000</v>
      </c>
      <c r="G137" s="293">
        <f t="shared" si="12"/>
        <v>900000</v>
      </c>
      <c r="H137" s="294">
        <f t="shared" si="13"/>
        <v>0</v>
      </c>
    </row>
    <row r="138" spans="1:8">
      <c r="A138" s="289">
        <v>4</v>
      </c>
      <c r="B138" s="290" t="s">
        <v>254</v>
      </c>
      <c r="C138" s="297">
        <v>46204</v>
      </c>
      <c r="D138" s="291">
        <v>75</v>
      </c>
      <c r="E138" s="299">
        <v>22</v>
      </c>
      <c r="F138" s="292">
        <v>15000</v>
      </c>
      <c r="G138" s="293">
        <f t="shared" si="12"/>
        <v>1125000</v>
      </c>
      <c r="H138" s="294">
        <f t="shared" si="13"/>
        <v>330000</v>
      </c>
    </row>
    <row r="139" spans="1:8">
      <c r="A139" s="289">
        <v>5</v>
      </c>
      <c r="B139" s="290" t="s">
        <v>255</v>
      </c>
      <c r="C139" s="297">
        <v>46204</v>
      </c>
      <c r="D139" s="291">
        <v>55</v>
      </c>
      <c r="E139" s="299">
        <v>22</v>
      </c>
      <c r="F139" s="292">
        <v>15000</v>
      </c>
      <c r="G139" s="293">
        <f t="shared" si="12"/>
        <v>825000</v>
      </c>
      <c r="H139" s="294">
        <f t="shared" si="13"/>
        <v>330000</v>
      </c>
    </row>
    <row r="140" spans="1:8">
      <c r="A140" s="289">
        <v>6</v>
      </c>
      <c r="B140" s="290" t="s">
        <v>284</v>
      </c>
      <c r="C140" s="297">
        <v>46204</v>
      </c>
      <c r="D140" s="291">
        <v>20</v>
      </c>
      <c r="E140" s="299">
        <v>9</v>
      </c>
      <c r="F140" s="292">
        <v>15000</v>
      </c>
      <c r="G140" s="293">
        <f t="shared" si="12"/>
        <v>300000</v>
      </c>
      <c r="H140" s="294">
        <f t="shared" si="13"/>
        <v>135000</v>
      </c>
    </row>
    <row r="141" spans="1:8">
      <c r="A141" s="289">
        <v>7</v>
      </c>
      <c r="B141" s="290" t="s">
        <v>259</v>
      </c>
      <c r="C141" s="297">
        <v>46204</v>
      </c>
      <c r="D141" s="291">
        <v>250</v>
      </c>
      <c r="E141" s="299">
        <v>153</v>
      </c>
      <c r="F141" s="292">
        <v>15000</v>
      </c>
      <c r="G141" s="293">
        <f t="shared" si="12"/>
        <v>3750000</v>
      </c>
      <c r="H141" s="294">
        <f t="shared" si="13"/>
        <v>2295000</v>
      </c>
    </row>
    <row r="142" spans="1:8">
      <c r="A142" s="289">
        <v>8</v>
      </c>
      <c r="B142" s="290" t="s">
        <v>260</v>
      </c>
      <c r="C142" s="297">
        <v>46204</v>
      </c>
      <c r="D142" s="291">
        <v>60</v>
      </c>
      <c r="E142" s="299">
        <v>15</v>
      </c>
      <c r="F142" s="292">
        <v>15000</v>
      </c>
      <c r="G142" s="293">
        <f t="shared" si="12"/>
        <v>900000</v>
      </c>
      <c r="H142" s="294">
        <f t="shared" si="13"/>
        <v>225000</v>
      </c>
    </row>
    <row r="143" spans="1:8">
      <c r="A143" s="289">
        <v>9</v>
      </c>
      <c r="B143" s="290" t="s">
        <v>262</v>
      </c>
      <c r="C143" s="297">
        <v>46204</v>
      </c>
      <c r="D143" s="291">
        <v>65</v>
      </c>
      <c r="E143" s="299">
        <v>20</v>
      </c>
      <c r="F143" s="292">
        <v>15000</v>
      </c>
      <c r="G143" s="293">
        <f t="shared" si="12"/>
        <v>975000</v>
      </c>
      <c r="H143" s="294">
        <f t="shared" si="13"/>
        <v>300000</v>
      </c>
    </row>
    <row r="144" spans="1:8">
      <c r="A144" s="289">
        <v>10</v>
      </c>
      <c r="B144" s="290" t="s">
        <v>264</v>
      </c>
      <c r="C144" s="297">
        <v>46204</v>
      </c>
      <c r="D144" s="291">
        <v>60</v>
      </c>
      <c r="E144" s="299">
        <v>10</v>
      </c>
      <c r="F144" s="292">
        <v>15000</v>
      </c>
      <c r="G144" s="293">
        <f t="shared" si="12"/>
        <v>900000</v>
      </c>
      <c r="H144" s="294">
        <f t="shared" si="13"/>
        <v>150000</v>
      </c>
    </row>
    <row r="145" spans="1:10">
      <c r="A145" s="289">
        <v>11</v>
      </c>
      <c r="B145" s="290" t="s">
        <v>266</v>
      </c>
      <c r="C145" s="297">
        <v>46204</v>
      </c>
      <c r="D145" s="291">
        <v>60</v>
      </c>
      <c r="E145" s="299">
        <v>21</v>
      </c>
      <c r="F145" s="292">
        <v>15000</v>
      </c>
      <c r="G145" s="293">
        <f t="shared" si="12"/>
        <v>900000</v>
      </c>
      <c r="H145" s="294">
        <f t="shared" si="13"/>
        <v>315000</v>
      </c>
    </row>
    <row r="146" spans="1:10">
      <c r="A146" s="289">
        <v>12</v>
      </c>
      <c r="B146" s="290" t="s">
        <v>268</v>
      </c>
      <c r="C146" s="297">
        <v>46204</v>
      </c>
      <c r="D146" s="291">
        <v>300</v>
      </c>
      <c r="E146" s="299">
        <v>287</v>
      </c>
      <c r="F146" s="292">
        <v>15000</v>
      </c>
      <c r="G146" s="293">
        <f t="shared" si="12"/>
        <v>4500000</v>
      </c>
      <c r="H146" s="294">
        <f t="shared" si="13"/>
        <v>4305000</v>
      </c>
    </row>
    <row r="147" spans="1:10">
      <c r="A147" s="289">
        <v>13</v>
      </c>
      <c r="B147" s="290" t="s">
        <v>270</v>
      </c>
      <c r="C147" s="297">
        <v>46204</v>
      </c>
      <c r="D147" s="291">
        <v>50</v>
      </c>
      <c r="E147" s="299">
        <v>15</v>
      </c>
      <c r="F147" s="292">
        <v>15000</v>
      </c>
      <c r="G147" s="293">
        <f t="shared" si="12"/>
        <v>750000</v>
      </c>
      <c r="H147" s="294">
        <f t="shared" si="13"/>
        <v>225000</v>
      </c>
    </row>
    <row r="148" spans="1:10">
      <c r="A148" s="289">
        <v>14</v>
      </c>
      <c r="B148" s="290" t="s">
        <v>272</v>
      </c>
      <c r="C148" s="297">
        <v>46204</v>
      </c>
      <c r="D148" s="291">
        <v>375</v>
      </c>
      <c r="E148" s="299">
        <v>200</v>
      </c>
      <c r="F148" s="292">
        <v>15000</v>
      </c>
      <c r="G148" s="293">
        <f t="shared" si="12"/>
        <v>5625000</v>
      </c>
      <c r="H148" s="294">
        <f t="shared" si="13"/>
        <v>3000000</v>
      </c>
    </row>
    <row r="149" spans="1:10">
      <c r="A149" s="289">
        <v>15</v>
      </c>
      <c r="B149" s="290" t="s">
        <v>273</v>
      </c>
      <c r="C149" s="297">
        <v>46204</v>
      </c>
      <c r="D149" s="291">
        <v>600</v>
      </c>
      <c r="E149" s="299">
        <v>520</v>
      </c>
      <c r="F149" s="292">
        <v>15000</v>
      </c>
      <c r="G149" s="293">
        <f t="shared" si="12"/>
        <v>9000000</v>
      </c>
      <c r="H149" s="294">
        <f t="shared" si="13"/>
        <v>7800000</v>
      </c>
    </row>
    <row r="150" spans="1:10">
      <c r="A150" s="289">
        <v>16</v>
      </c>
      <c r="B150" s="290" t="s">
        <v>274</v>
      </c>
      <c r="C150" s="297">
        <v>46204</v>
      </c>
      <c r="D150" s="291">
        <v>80</v>
      </c>
      <c r="E150" s="299">
        <v>180</v>
      </c>
      <c r="F150" s="292">
        <v>15000</v>
      </c>
      <c r="G150" s="293">
        <f t="shared" si="12"/>
        <v>1200000</v>
      </c>
      <c r="H150" s="294">
        <f t="shared" si="13"/>
        <v>2700000</v>
      </c>
      <c r="J150" s="686">
        <f>H150+H151</f>
        <v>4665000</v>
      </c>
    </row>
    <row r="151" spans="1:10">
      <c r="A151" s="289">
        <v>17</v>
      </c>
      <c r="B151" s="290" t="s">
        <v>276</v>
      </c>
      <c r="C151" s="297">
        <v>46204</v>
      </c>
      <c r="D151" s="291">
        <v>190</v>
      </c>
      <c r="E151" s="299">
        <v>131</v>
      </c>
      <c r="F151" s="292">
        <v>15000</v>
      </c>
      <c r="G151" s="293">
        <f t="shared" si="12"/>
        <v>2850000</v>
      </c>
      <c r="H151" s="294">
        <f t="shared" si="13"/>
        <v>1965000</v>
      </c>
    </row>
    <row r="152" spans="1:10">
      <c r="A152" s="289">
        <v>18</v>
      </c>
      <c r="B152" s="295" t="s">
        <v>277</v>
      </c>
      <c r="C152" s="297">
        <v>46204</v>
      </c>
      <c r="D152" s="291">
        <v>70</v>
      </c>
      <c r="E152" s="299">
        <v>37</v>
      </c>
      <c r="F152" s="292">
        <v>15000</v>
      </c>
      <c r="G152" s="293">
        <f t="shared" si="12"/>
        <v>1050000</v>
      </c>
      <c r="H152" s="294">
        <f>E152*F152</f>
        <v>555000</v>
      </c>
    </row>
    <row r="153" spans="1:10">
      <c r="A153" s="735" t="s">
        <v>279</v>
      </c>
      <c r="B153" s="736"/>
      <c r="C153" s="737"/>
      <c r="D153" s="296">
        <f>SUM(D135:D152)</f>
        <v>3170</v>
      </c>
      <c r="E153" s="301">
        <f>SUM(E135:E152)</f>
        <v>2528</v>
      </c>
      <c r="F153" s="296"/>
      <c r="G153" s="296">
        <f>SUM(G135:G152)</f>
        <v>47550000</v>
      </c>
      <c r="H153" s="296">
        <f>SUM(H135:H152)</f>
        <v>37920000</v>
      </c>
    </row>
  </sheetData>
  <mergeCells count="7">
    <mergeCell ref="A153:C153"/>
    <mergeCell ref="A22:C22"/>
    <mergeCell ref="A43:C43"/>
    <mergeCell ref="A65:C65"/>
    <mergeCell ref="A87:C87"/>
    <mergeCell ref="A109:C109"/>
    <mergeCell ref="A131:C1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3ae11-2d21-45b6-9c0a-4aed6398b919">
      <Terms xmlns="http://schemas.microsoft.com/office/infopath/2007/PartnerControls"/>
    </lcf76f155ced4ddcb4097134ff3c332f>
    <TaxCatchAll xmlns="3bca8c76-c0ee-4633-afd2-e36a567822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6581C9D474AD4294919C3740D2E685" ma:contentTypeVersion="11" ma:contentTypeDescription="Create a new document." ma:contentTypeScope="" ma:versionID="c9aca1433f91efc05adf540eeb2a5951">
  <xsd:schema xmlns:xsd="http://www.w3.org/2001/XMLSchema" xmlns:xs="http://www.w3.org/2001/XMLSchema" xmlns:p="http://schemas.microsoft.com/office/2006/metadata/properties" xmlns:ns2="d8a3ae11-2d21-45b6-9c0a-4aed6398b919" xmlns:ns3="3bca8c76-c0ee-4633-afd2-e36a5678227a" targetNamespace="http://schemas.microsoft.com/office/2006/metadata/properties" ma:root="true" ma:fieldsID="ad5a38daeac13519aeb94de2bb1c5854" ns2:_="" ns3:_="">
    <xsd:import namespace="d8a3ae11-2d21-45b6-9c0a-4aed6398b919"/>
    <xsd:import namespace="3bca8c76-c0ee-4633-afd2-e36a567822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3ae11-2d21-45b6-9c0a-4aed6398b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61979f6-2d9b-4e33-9db7-96064153f0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a8c76-c0ee-4633-afd2-e36a5678227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4fb16d7-c7c2-4e26-bb34-f10e5358a418}" ma:internalName="TaxCatchAll" ma:showField="CatchAllData" ma:web="3bca8c76-c0ee-4633-afd2-e36a567822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1C86CA-510A-48F5-A694-E7A9E85232A2}">
  <ds:schemaRefs/>
</ds:datastoreItem>
</file>

<file path=customXml/itemProps2.xml><?xml version="1.0" encoding="utf-8"?>
<ds:datastoreItem xmlns:ds="http://schemas.openxmlformats.org/officeDocument/2006/customXml" ds:itemID="{B02539D2-7F83-47CE-80AD-70E36D8209B5}">
  <ds:schemaRefs/>
</ds:datastoreItem>
</file>

<file path=customXml/itemProps3.xml><?xml version="1.0" encoding="utf-8"?>
<ds:datastoreItem xmlns:ds="http://schemas.openxmlformats.org/officeDocument/2006/customXml" ds:itemID="{5A722EFF-E39C-4BB9-A432-77AA9C219A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area 2</vt:lpstr>
      <vt:lpstr>Summary Idle Seat</vt:lpstr>
      <vt:lpstr>Jmh SDM Suport Fam</vt:lpstr>
      <vt:lpstr>Kerusakan Sarana kerja</vt:lpstr>
      <vt:lpstr>Lap. Mobil Opr</vt:lpstr>
      <vt:lpstr>Biaya Mandatory</vt:lpstr>
      <vt:lpstr>Pemakaian Air Minum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Muchlisun - PT. Infomedia Nusantara</dc:creator>
  <cp:lastModifiedBy>mahmud.rafin.inf@outlook.com</cp:lastModifiedBy>
  <dcterms:created xsi:type="dcterms:W3CDTF">2026-01-21T04:34:00Z</dcterms:created>
  <dcterms:modified xsi:type="dcterms:W3CDTF">2026-09-03T01:47:08Z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0x010100866581C9D474AD4294919C3740D2E685</vt:lpwstr>
  </property>
  <property fmtid="{D5CDD505-2E9C-101B-9397-08002B2CF9AE}" pid="3" name="MediaServiceImageTags">
    <vt:lpwstr/>
  </property>
  <property fmtid="{D5CDD505-2E9C-101B-9397-08002B2CF9AE}" pid="4" name="ICV">
    <vt:lpwstr>96FE844EDC98462BB480EAF56FCC3A05_13</vt:lpwstr>
  </property>
  <property fmtid="{D5CDD505-2E9C-101B-9397-08002B2CF9AE}" pid="5" name="KSOProductBuildVer">
    <vt:lpwstr>1033-12.1.0.26372</vt:lpwstr>
  </property>
  <property fmtid="{D5CDD505-2E9C-101B-9397-08002B2CF9AE}" pid="6" name="CalculationRule">
    <vt:i4>0</vt:i4>
  </property>
</Properties>
</file>